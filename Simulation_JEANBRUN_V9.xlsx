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ypothèses" sheetId="1" r:id="rId5"/>
    <sheet state="visible" name="Synthèse Visuelle" sheetId="2" r:id="rId6"/>
    <sheet state="visible" name="Synthèse client - simplifiée" sheetId="3" r:id="rId7"/>
    <sheet state="visible" name="Synthèse Client - détaillée" sheetId="4" r:id="rId8"/>
    <sheet state="visible" name="Revente" sheetId="5" r:id="rId9"/>
    <sheet state="visible" name="Moteur" sheetId="6" r:id="rId10"/>
    <sheet state="visible" name="Règles fiscales" sheetId="7" r:id="rId11"/>
    <sheet state="visible" name="Plafonds loyers" sheetId="8" r:id="rId12"/>
    <sheet state="visible" name="Barème fiscal" sheetId="9" r:id="rId13"/>
    <sheet state="visible" name="Tableau dAMT financier" sheetId="10" r:id="rId14"/>
  </sheets>
  <definedNames>
    <definedName name="index">'Hypothèses'!$B$11</definedName>
    <definedName name="apport">'Hypothèses'!$B$14</definedName>
    <definedName name="durée">'Hypothèses'!$B$18</definedName>
  </definedNames>
  <calcPr/>
</workbook>
</file>

<file path=xl/sharedStrings.xml><?xml version="1.0" encoding="utf-8"?>
<sst xmlns="http://schemas.openxmlformats.org/spreadsheetml/2006/main" count="766" uniqueCount="561">
  <si>
    <t xml:space="preserve">  HYPOTHÈSES D'INVESTISSEMENT  —  Dispositif Jeanbrun</t>
  </si>
  <si>
    <t xml:space="preserve">  ✏  SAISIE CONSEILLER  —  cellule modifiable</t>
  </si>
  <si>
    <t xml:space="preserve">  🔒  CALCULÉ AUTOMATIQUEMENT  —  cellule verrouillée</t>
  </si>
  <si>
    <t xml:space="preserve">  🏠  BIEN IMMOBILIER</t>
  </si>
  <si>
    <t>Prix d'acquisition</t>
  </si>
  <si>
    <t>€</t>
  </si>
  <si>
    <t xml:space="preserve">  📐  SURFACE PONDÉRÉE (Annexes)</t>
  </si>
  <si>
    <t>Frais d'acquisition ("frais de notaire")</t>
  </si>
  <si>
    <t>%</t>
  </si>
  <si>
    <t>RDC (OUI / NON)</t>
  </si>
  <si>
    <t>NON</t>
  </si>
  <si>
    <t>Coût total acquisition (frais inclus)</t>
  </si>
  <si>
    <t>Surface terrasse (m²)</t>
  </si>
  <si>
    <t>Surface balcon (m²)</t>
  </si>
  <si>
    <t>Surface habitable</t>
  </si>
  <si>
    <t>m²</t>
  </si>
  <si>
    <t>Zone d'acquisition</t>
  </si>
  <si>
    <t>A</t>
  </si>
  <si>
    <t>Surface pondérée (m²)</t>
  </si>
  <si>
    <t>Coefficient multiplicateur</t>
  </si>
  <si>
    <t>Indexation revenus du client et valeur du bien</t>
  </si>
  <si>
    <t>%/an</t>
  </si>
  <si>
    <t>▸ RDC=OUI → terrasse exclue ; cap 9/16 m²</t>
  </si>
  <si>
    <t>Loyer MAX légal (€/mois)</t>
  </si>
  <si>
    <t xml:space="preserve">  💳  FINANCEMENT</t>
  </si>
  <si>
    <t>Apport personnel</t>
  </si>
  <si>
    <t>Montant emprunté</t>
  </si>
  <si>
    <t>Taux d'intérêt annuel</t>
  </si>
  <si>
    <t>Taux assurance emprunteur</t>
  </si>
  <si>
    <t>Durée du financement</t>
  </si>
  <si>
    <t>ans</t>
  </si>
  <si>
    <t>Assurance mensuelle</t>
  </si>
  <si>
    <t>€/mois</t>
  </si>
  <si>
    <t>Mensualité crédit (hors assurance)</t>
  </si>
  <si>
    <t>Frais garantie + dossier + courtage</t>
  </si>
  <si>
    <t xml:space="preserve">  🏘  REVENUS LOCATIFS</t>
  </si>
  <si>
    <t xml:space="preserve">  📋  PLAFONDS AMORTISSEMENT</t>
  </si>
  <si>
    <t>Type de loyer</t>
  </si>
  <si>
    <t>Loyer intermédiaire</t>
  </si>
  <si>
    <t>Plafond loyer légal (€/m²/mois)</t>
  </si>
  <si>
    <t>€/m²</t>
  </si>
  <si>
    <t>Loyer social</t>
  </si>
  <si>
    <t>Loyer mensuel retenu  ⚠ ≤ MAX légal</t>
  </si>
  <si>
    <t>≤ MAX légal</t>
  </si>
  <si>
    <t>Loyer très social</t>
  </si>
  <si>
    <t>Loyer annuel</t>
  </si>
  <si>
    <t>€/an</t>
  </si>
  <si>
    <t>Loyer souhaité (conseiller)</t>
  </si>
  <si>
    <t>Indexation loyers (%/an)</t>
  </si>
  <si>
    <t>Charges exploit. + taxe foncière</t>
  </si>
  <si>
    <t>% loyers</t>
  </si>
  <si>
    <t xml:space="preserve">  📊  DISPOSITIF JEANBRUN</t>
  </si>
  <si>
    <t>Base amortissement (80% coût total)</t>
  </si>
  <si>
    <t>Taux d'amortissement (selon type)</t>
  </si>
  <si>
    <t>Plafond annuel (taux × base)</t>
  </si>
  <si>
    <t>Amortissement annuel</t>
  </si>
  <si>
    <t xml:space="preserve">  👤  SITUATION FISCALE DU CLIENT</t>
  </si>
  <si>
    <t>Type de revenus</t>
  </si>
  <si>
    <t>Salaires (abatt. 10%)</t>
  </si>
  <si>
    <t>Revenus annuels déclarés</t>
  </si>
  <si>
    <t>Revenus fonciers — autres biens</t>
  </si>
  <si>
    <t>Nombre de parts fiscales</t>
  </si>
  <si>
    <t>parts</t>
  </si>
  <si>
    <t>Taux prélèvements sociaux</t>
  </si>
  <si>
    <t>Nombre de déclarants</t>
  </si>
  <si>
    <t>pers.</t>
  </si>
  <si>
    <t xml:space="preserve">  💹  PLUS-VALUE À LA REVENTE</t>
  </si>
  <si>
    <t>Forfait frais d'acquisition PV</t>
  </si>
  <si>
    <t>Forfait travaux (&gt; 5 ans détenus)</t>
  </si>
  <si>
    <t>Taux IR plus-value</t>
  </si>
  <si>
    <t>Taux PS plus-value</t>
  </si>
  <si>
    <t xml:space="preserve">  ⚙  CALCULS INTERMÉDIAIRES</t>
  </si>
  <si>
    <t>Abattement applicable (calculé)</t>
  </si>
  <si>
    <t>Revenus nets après abattement</t>
  </si>
  <si>
    <t>médicis  IMMOBILIER NEUF</t>
  </si>
  <si>
    <t>▸ DISPOSITIF JEANBRUN  —  Projection simplifiée · Simulation personnalisée</t>
  </si>
  <si>
    <t>REVENUS DÉCLARÉS</t>
  </si>
  <si>
    <t>TRANCHE MARGINALE</t>
  </si>
  <si>
    <t>PRIX D'ACQUISITION</t>
  </si>
  <si>
    <t>LOYER INITIAL</t>
  </si>
  <si>
    <t>SURFACE / ZONE</t>
  </si>
  <si>
    <t>ÉCONOMIE FISCALE AN 1</t>
  </si>
  <si>
    <t xml:space="preserve">  COMPTE EN T  ·  Moyennes mensuelles calculées sur chaque horizon</t>
  </si>
  <si>
    <t>9</t>
  </si>
  <si>
    <t>15</t>
  </si>
  <si>
    <t>25</t>
  </si>
  <si>
    <t>Fin durée d'engagement</t>
  </si>
  <si>
    <t>★  Horizon de référence</t>
  </si>
  <si>
    <t>Financement soldé · Pleine propriété</t>
  </si>
  <si>
    <t>✚  CE QUI RENTRE</t>
  </si>
  <si>
    <t>−  CE QUI SORT</t>
  </si>
  <si>
    <t>Loyers moy.</t>
  </si>
  <si>
    <t>Crédit</t>
  </si>
  <si>
    <t>Gain fiscal</t>
  </si>
  <si>
    <t>Charges</t>
  </si>
  <si>
    <t>Total</t>
  </si>
  <si>
    <t>Effort d'épargne mensuel moyen</t>
  </si>
  <si>
    <t>← Reste à charge mensuel réel après loyers et économie fiscale</t>
  </si>
  <si>
    <t xml:space="preserve">  Capital net constitué par année de détention (Valeur revente - CRD - impôt PV)  ·  Hypothèses de revalorisation du bien à 0% et 1,5%</t>
  </si>
  <si>
    <t>💶</t>
  </si>
  <si>
    <t>Le côté vert (+)</t>
  </si>
  <si>
    <t>🏦</t>
  </si>
  <si>
    <t>Le côté rouge (−)</t>
  </si>
  <si>
    <t>📊</t>
  </si>
  <si>
    <t>Le gain fiscal — 2 composantes</t>
  </si>
  <si>
    <t>Ce que vous percevez : loyers encaissés + économie d'impôt grâce au dispositif Jeanbrun.</t>
  </si>
  <si>
    <r>
      <rPr>
        <rFont val="Calibri"/>
        <color rgb="FF7A8FA6"/>
        <sz val="11.0"/>
      </rPr>
      <t xml:space="preserve">Ce que vous déboursez : mensualité de crédit + charges d'exploitation annuelles </t>
    </r>
    <r>
      <rPr>
        <rFont val="Calibri"/>
        <color rgb="FF7A8FA6"/>
        <sz val="7.0"/>
      </rPr>
      <t>(gestion / GLI / taxe foncière / assurance PNO / provisions menus travaux :;ces charges sont estimées))</t>
    </r>
  </si>
  <si>
    <t>Déficit naturel (acquis sans Jeanbrun) + avantage lié à l'amortissement Jeanbrun. Les deux s'additionnent.</t>
  </si>
  <si>
    <t>www.medicis-immobilier-neuf.fr · Simulation personnalisée non contractuelle · Hypothèses d'indexation et fiscalité constantes - Tout investissementlocatif comporte des risques (location / impayés / travbaux / baisse de valeur)</t>
  </si>
  <si>
    <t>PROJECTION SIMPLIFIÉE — DISPOSITIF JEANBRUN</t>
  </si>
  <si>
    <t>Compte en T • Moyennes mensuelles • Document non contractuel</t>
  </si>
  <si>
    <t xml:space="preserve">  SITUATION DU FOYER</t>
  </si>
  <si>
    <t xml:space="preserve">  OPÉRATION IMMOBILIÈRE</t>
  </si>
  <si>
    <t>Revenus déclarés</t>
  </si>
  <si>
    <t>Parts</t>
  </si>
  <si>
    <t>TMI</t>
  </si>
  <si>
    <t>Éco. fiscale an 1</t>
  </si>
  <si>
    <t>Surface pondérée</t>
  </si>
  <si>
    <t>Mensualité crédit</t>
  </si>
  <si>
    <t>Apport</t>
  </si>
  <si>
    <t>Loyer mensuel initial estimé</t>
  </si>
  <si>
    <t xml:space="preserve">  🔹  HORIZON 9 ANS - COMPTE EN T</t>
  </si>
  <si>
    <t xml:space="preserve">  Moyennes mensuelles calculées sur 9 ans (108 mois)</t>
  </si>
  <si>
    <t xml:space="preserve">     CE QUI RENTRE  (+)</t>
  </si>
  <si>
    <t xml:space="preserve">     CE QUI SORT  (−)</t>
  </si>
  <si>
    <t xml:space="preserve">  BILAN À 9 ANS</t>
  </si>
  <si>
    <t xml:space="preserve">  Loyer mensuel moyen</t>
  </si>
  <si>
    <t xml:space="preserve">  Mensualité de crédit</t>
  </si>
  <si>
    <t>Capital consitué (net PV)</t>
  </si>
  <si>
    <t xml:space="preserve">  Gain Fiscal à réinvestir / mois</t>
  </si>
  <si>
    <t xml:space="preserve">  Charges d'exploitation / mois</t>
  </si>
  <si>
    <t xml:space="preserve">  Gain fiscal total</t>
  </si>
  <si>
    <t xml:space="preserve">  TOTAL ENTRÉES</t>
  </si>
  <si>
    <t xml:space="preserve">  TOTAL SORTIES</t>
  </si>
  <si>
    <t xml:space="preserve">     dont déficit naturel (intérêts)</t>
  </si>
  <si>
    <t xml:space="preserve">  EFFORT D'INVESTISSEMENT MENSUEL MOYEN</t>
  </si>
  <si>
    <t xml:space="preserve">     dont Jeanbrun (amortissement)</t>
  </si>
  <si>
    <t xml:space="preserve">  🔸  HORIZON 15 ANS - COMPTE EN T </t>
  </si>
  <si>
    <t xml:space="preserve">  Moyennes mensuelles calculées sur 15 ans (180 mois)</t>
  </si>
  <si>
    <t xml:space="preserve">  BILAN À 15 ANS</t>
  </si>
  <si>
    <t xml:space="preserve">  ⭐  HORIZON 25 ANS - COMPTE EN T</t>
  </si>
  <si>
    <t xml:space="preserve">  Moyennes mensuelles calculées sur 25 ans (300 mois)</t>
  </si>
  <si>
    <t xml:space="preserve">  BILAN À 25 ANS</t>
  </si>
  <si>
    <t xml:space="preserve">  COMMENT LIRE CE TABLEAU</t>
  </si>
  <si>
    <t xml:space="preserve">  ▸  Le côté VERT (+) = ce que vous percevez : loyers + économie d'impôt grâce au dispositif Jeanbrun.</t>
  </si>
  <si>
    <t xml:space="preserve">  ▸  Le côté ROUGE (−) = ce que vous déboursez : mensualité de crédit + charges d'exploitation.</t>
  </si>
  <si>
    <t xml:space="preserve">  ▸  L'EFFORT D'ÉPARGNE = reste à charge réel. Un chiffre négatif = complément mensuel à prévoir.</t>
  </si>
  <si>
    <t xml:space="preserve">  ▸  Le « Gain fiscal total » se décompose en deux parties qui s'additionnent :</t>
  </si>
  <si>
    <t xml:space="preserve">        – « dont déficit naturel » : l'économie liée aux intérêts d'emprunt, acquise même sans le Jeanbrun.</t>
  </si>
  <si>
    <t xml:space="preserve">        – « dont Jeanbrun » : l'économie supplémentaire apportée par l'amortissement du dispositif.</t>
  </si>
  <si>
    <t xml:space="preserve">  ▸  Ce document est une simulation non contractuelle. Hypothèses d'indexation et fiscalité constantes.</t>
  </si>
  <si>
    <t xml:space="preserve">  médicis IMMOBILIER NEUF — www.medicis-immobilier-neuf.fr</t>
  </si>
  <si>
    <t>Ce document est une simulation personnalisée et non contractuelle.</t>
  </si>
  <si>
    <t>Données graphiques (masqué)</t>
  </si>
  <si>
    <t>Année</t>
  </si>
  <si>
    <t>Enrichissement 0%</t>
  </si>
  <si>
    <t>Enrichissement 1,5%/an</t>
  </si>
  <si>
    <t>Sans Jeanbrun (0%)</t>
  </si>
  <si>
    <t>Sans Jeanbrun (1,5%/an)</t>
  </si>
  <si>
    <t>Bilan net avec JB 0%</t>
  </si>
  <si>
    <t>Bilan net avec JB 1,5%/an</t>
  </si>
  <si>
    <t>Bilan net sans JB 0%</t>
  </si>
  <si>
    <t>PROJECTION FINANCIÈRE — DISPOSITIF JEANBRUN</t>
  </si>
  <si>
    <t>Simulation personnalisée • Document non contractuel</t>
  </si>
  <si>
    <t>Revenus déclarés (avant abatt.)</t>
  </si>
  <si>
    <t>Nombre de parts</t>
  </si>
  <si>
    <t>Zone</t>
  </si>
  <si>
    <t>Impôt avant opération</t>
  </si>
  <si>
    <t>Impôt après opération (an 1)</t>
  </si>
  <si>
    <t>Économie fiscale an 1</t>
  </si>
  <si>
    <t>Loyer mensuel initial</t>
  </si>
  <si>
    <t xml:space="preserve">  FINANCEMENT</t>
  </si>
  <si>
    <t xml:space="preserve">  DISPOSITIF JEANBRUN</t>
  </si>
  <si>
    <t>Base amortissable (80%)</t>
  </si>
  <si>
    <t>Taux nominal</t>
  </si>
  <si>
    <t>Mensualité totale</t>
  </si>
  <si>
    <t>Plafond annuel</t>
  </si>
  <si>
    <t>Charges exploitation</t>
  </si>
  <si>
    <t xml:space="preserve">  PROJECTION ANNUELLE</t>
  </si>
  <si>
    <t>Loyers
perçus</t>
  </si>
  <si>
    <t>Rembours.
prêt</t>
  </si>
  <si>
    <t>Charges
exploit.</t>
  </si>
  <si>
    <t>Amort.
Jeanbrun</t>
  </si>
  <si>
    <t>Revenu foncier net imputé</t>
  </si>
  <si>
    <t>Impôt
avant</t>
  </si>
  <si>
    <t>Impôt
après</t>
  </si>
  <si>
    <t>Économie
fiscale</t>
  </si>
  <si>
    <t>Effort
d'investissement mensuel</t>
  </si>
  <si>
    <t>Capital net constitué
net (0%)</t>
  </si>
  <si>
    <t>Capital net constitué.
net (1,5%)</t>
  </si>
  <si>
    <t xml:space="preserve">Amt restant </t>
  </si>
  <si>
    <t>TOTAL</t>
  </si>
  <si>
    <t xml:space="preserve">  ━  Ligne dorée = horizon 15 ans  •  ━  Ligne bleue = fin de crédit (20 ans)</t>
  </si>
  <si>
    <t xml:space="preserve">  Le TRI mesure la rentabilité annualisée si revente à la date indiquée, après impôt PV. L'effort d'épargne est le reste à charge mensuel réel après loyers et économie fiscale.</t>
  </si>
  <si>
    <t xml:space="preserve">  BILAN GLOBAL DE L'OPÉRATION</t>
  </si>
  <si>
    <t xml:space="preserve">  COMMENT LIRE CETTE SIMULATION</t>
  </si>
  <si>
    <t xml:space="preserve">  ▸  Le dispositif Jeanbrun déduit un amortissement de vos revenus fonciers, créant un déficit qui réduit votre impôt chaque année.</t>
  </si>
  <si>
    <t xml:space="preserve">  ▸  L'effort d'épargne mensuel = reste à charge réel après loyers et économie fiscale.</t>
  </si>
  <si>
    <t xml:space="preserve">  ▸  Le « Capital net à la revente » = prix de vente – CRD – impôt PV. Le « Bilan net total » y ajoute la trésorerie cumulée sur la détention.</t>
  </si>
  <si>
    <t xml:space="preserve">  ▸  L'exonération totale d'IR sur la PV intervient à 22 ans de détention ; celle des PS à 30 ans.</t>
  </si>
  <si>
    <t>Données graphiques</t>
  </si>
  <si>
    <t xml:space="preserve">  SIMULATION DE REVENTE — DISPOSITIF JEANBRUN</t>
  </si>
  <si>
    <t xml:space="preserve">  Calcul pédagogique de la plus-value et de votre enrichissement net à la revente</t>
  </si>
  <si>
    <t xml:space="preserve">  🔹  REVENTE À 9 ANS</t>
  </si>
  <si>
    <t xml:space="preserve">  🔸  REVENTE À 15 ANS</t>
  </si>
  <si>
    <t xml:space="preserve">  ⭐  REVENTE À 25 ANS</t>
  </si>
  <si>
    <t>PRIX DE VENTE</t>
  </si>
  <si>
    <t xml:space="preserve">  Prix de vente (0% revalo.)</t>
  </si>
  <si>
    <t xml:space="preserve">  Prix de vente (1,5%/an revalo.)</t>
  </si>
  <si>
    <t>CALCUL DE LA PLUS-VALUE</t>
  </si>
  <si>
    <t xml:space="preserve">  Prix d'acquisition</t>
  </si>
  <si>
    <t xml:space="preserve">  + Forfait frais d'acquisition (7,5%)</t>
  </si>
  <si>
    <t xml:space="preserve">  + Forfait travaux 15% (si &gt; 5 ans)</t>
  </si>
  <si>
    <t xml:space="preserve">  – Amortissements réintégrés</t>
  </si>
  <si>
    <t xml:space="preserve">  = Prix de revient corrigé</t>
  </si>
  <si>
    <t xml:space="preserve">  ➜ PV brute (prix vente 0% – prix revient)</t>
  </si>
  <si>
    <t xml:space="preserve">  ➜ PV brute (prix vente 1,5%/an – prix revient)</t>
  </si>
  <si>
    <t>ABATTEMENTS POUR DURÉE DE DÉTENTION</t>
  </si>
  <si>
    <t xml:space="preserve">  Abattement IR (%)</t>
  </si>
  <si>
    <t xml:space="preserve">  PV imposable IR (0%)</t>
  </si>
  <si>
    <t xml:space="preserve">  PV imposable IR (1,5%)</t>
  </si>
  <si>
    <t xml:space="preserve">  Abattement PS (%)</t>
  </si>
  <si>
    <t xml:space="preserve">  PV imposable PS (0%)</t>
  </si>
  <si>
    <t xml:space="preserve">  PV imposable PS (1,5%)</t>
  </si>
  <si>
    <t>IMPÔT SUR LA PLUS-VALUE</t>
  </si>
  <si>
    <t xml:space="preserve">  IR (19%) — scénario 0%</t>
  </si>
  <si>
    <t xml:space="preserve">  IR (19%) — scénario 1,5%</t>
  </si>
  <si>
    <t xml:space="preserve">  PS (17,2%) — scénario 0%</t>
  </si>
  <si>
    <t xml:space="preserve">  PS (17,2%) — scénario 1,5%</t>
  </si>
  <si>
    <t xml:space="preserve">  Surtaxe éventuelle (0%)</t>
  </si>
  <si>
    <t xml:space="preserve">  Surtaxe éventuelle (1,5%)</t>
  </si>
  <si>
    <t xml:space="preserve">  = TOTAL IMPÔT PV (0%)</t>
  </si>
  <si>
    <t xml:space="preserve">  = TOTAL IMPÔT PV (1,5%)</t>
  </si>
  <si>
    <t>CAPITAL RESTANT DÛ</t>
  </si>
  <si>
    <t xml:space="preserve">  CRD à la date de revente</t>
  </si>
  <si>
    <t>CAPITAL CONSTITUÉ NET</t>
  </si>
  <si>
    <t xml:space="preserve">  = Prix vente – CRD – Impôt PV (0%)</t>
  </si>
  <si>
    <t xml:space="preserve">  = Prix vente – CRD – Impôt PV (1,5%/an)</t>
  </si>
  <si>
    <t xml:space="preserve">  💡 COMPRENDRE VOTRE ENRICHISSEMENT</t>
  </si>
  <si>
    <t xml:space="preserve">  ▸  Le capital constitué net = ce qui vous reste en poche après avoir soldé votre crédit et payé l'impôt sur la plus-value.</t>
  </si>
  <si>
    <t xml:space="preserve">  ▸  Plus vous détenez longtemps, plus les abattements pour durée de détention réduisent l'impôt PV : exonération totale d'IR à 22 ans, de PS à 30 ans.</t>
  </si>
  <si>
    <t xml:space="preserve">  ▸  L'amortissement Jeanbrun est réintégré dans la plus-value à la revente, mais l'économie d'impôt réalisée chaque année (déficit foncier) vous a déjà profité.</t>
  </si>
  <si>
    <t xml:space="preserve">  ▸  Le scénario 0% est conservateur (pas de hausse des prix). Le scénario 1,5%/an reflète l'évolution historique moyenne du marché immobilier français.</t>
  </si>
  <si>
    <t xml:space="preserve">  ▸  À 25 ans, le crédit est soldé (CRD = 0) : votre capital constitué net = valeur du bien – impôt PV uniquement.</t>
  </si>
  <si>
    <t xml:space="preserve">SIMULATION </t>
  </si>
  <si>
    <t>CSG DÉDUCTIBLE</t>
  </si>
  <si>
    <t>Loyers
annuels</t>
  </si>
  <si>
    <t>Intérêts</t>
  </si>
  <si>
    <t>Assurance</t>
  </si>
  <si>
    <t>CRD
fin année</t>
  </si>
  <si>
    <t>Valeur
bien</t>
  </si>
  <si>
    <t>RF
autres</t>
  </si>
  <si>
    <t>Revenu
total
avant</t>
  </si>
  <si>
    <t>Quotient
avant</t>
  </si>
  <si>
    <t>TMI
avant</t>
  </si>
  <si>
    <t>Taux moy
avant</t>
  </si>
  <si>
    <t>IR
avant</t>
  </si>
  <si>
    <t>PS
avant</t>
  </si>
  <si>
    <t>Total
avant</t>
  </si>
  <si>
    <t>RF bruts
globaux</t>
  </si>
  <si>
    <t>Charges
financières</t>
  </si>
  <si>
    <t>Charges
non-fin.</t>
  </si>
  <si>
    <t>RF net
global</t>
  </si>
  <si>
    <t>Déduc.
RG</t>
  </si>
  <si>
    <t>Déf. report.
généré</t>
  </si>
  <si>
    <t>Stock
déf. report.</t>
  </si>
  <si>
    <t>Déf. imputé
année N</t>
  </si>
  <si>
    <t>RF net
taxable</t>
  </si>
  <si>
    <t>Revenu
total
après</t>
  </si>
  <si>
    <t>Quotient
après</t>
  </si>
  <si>
    <t>TMI
après</t>
  </si>
  <si>
    <t>Taux moy
après</t>
  </si>
  <si>
    <t>IR
après</t>
  </si>
  <si>
    <t>PS
après</t>
  </si>
  <si>
    <t>Total
après</t>
  </si>
  <si>
    <t>Enrichis.
patrimoine
net PV</t>
  </si>
  <si>
    <t>Effort d'epargne MENSUEL (hors apport)</t>
  </si>
  <si>
    <t xml:space="preserve">Effort d'épargne moyen </t>
  </si>
  <si>
    <t>Cash Flow
cumulé (avec apport)</t>
  </si>
  <si>
    <t>Amt.
cumulé</t>
  </si>
  <si>
    <t>Stock
report amt</t>
  </si>
  <si>
    <t>PV brute
si revente</t>
  </si>
  <si>
    <t>Abatt.
IR PV (%)</t>
  </si>
  <si>
    <t>PV impos.
IR</t>
  </si>
  <si>
    <t>Abatt.
PS PV (%)</t>
  </si>
  <si>
    <t>PV impos.
PS</t>
  </si>
  <si>
    <t>Impôt PV
(IR+PS+surtaxe)</t>
  </si>
  <si>
    <t>Déf. périmé
(&gt;10 ans)</t>
  </si>
  <si>
    <t>TRI
investisseur
(si revente)</t>
  </si>
  <si>
    <t>CSG déd.
avant (N)</t>
  </si>
  <si>
    <t>CSG déd.
après (N)</t>
  </si>
  <si>
    <t>SYNTHÈSE GLOBALE</t>
  </si>
  <si>
    <t>Total loyers perçus</t>
  </si>
  <si>
    <t>Total charges</t>
  </si>
  <si>
    <t>Total intérêts</t>
  </si>
  <si>
    <t>Total assurances</t>
  </si>
  <si>
    <t>Total amort. Jeanbrun</t>
  </si>
  <si>
    <t>Économie fiscale totale</t>
  </si>
  <si>
    <t>dont économie IR</t>
  </si>
  <si>
    <t>dont économie PS</t>
  </si>
  <si>
    <t>Cash-flow cumulé</t>
  </si>
  <si>
    <t>Enrichissement final</t>
  </si>
  <si>
    <t>Valeur bien finale</t>
  </si>
  <si>
    <t>CRD final</t>
  </si>
  <si>
    <t>Stock déficit reportable</t>
  </si>
  <si>
    <t>Total déficits imputés</t>
  </si>
  <si>
    <t>ZONE AUXILIAIRE — CALCUL TRI (ne pas modifier)</t>
  </si>
  <si>
    <t>Scénario</t>
  </si>
  <si>
    <t>An 0</t>
  </si>
  <si>
    <t>An 1</t>
  </si>
  <si>
    <t>An 2</t>
  </si>
  <si>
    <t>An 3</t>
  </si>
  <si>
    <t>An 4</t>
  </si>
  <si>
    <t>An 5</t>
  </si>
  <si>
    <t>An 6</t>
  </si>
  <si>
    <t>An 7</t>
  </si>
  <si>
    <t>An 8</t>
  </si>
  <si>
    <t>An 9</t>
  </si>
  <si>
    <t>An 10</t>
  </si>
  <si>
    <t>An 11</t>
  </si>
  <si>
    <t>An 12</t>
  </si>
  <si>
    <t>An 13</t>
  </si>
  <si>
    <t>An 14</t>
  </si>
  <si>
    <t>An 15</t>
  </si>
  <si>
    <t>An 16</t>
  </si>
  <si>
    <t>An 17</t>
  </si>
  <si>
    <t>An 18</t>
  </si>
  <si>
    <t>An 19</t>
  </si>
  <si>
    <t>An 20</t>
  </si>
  <si>
    <t>An 21</t>
  </si>
  <si>
    <t>An 22</t>
  </si>
  <si>
    <t>An 23</t>
  </si>
  <si>
    <t>An 24</t>
  </si>
  <si>
    <t>An 25</t>
  </si>
  <si>
    <t>Sortie an 1</t>
  </si>
  <si>
    <t>Sortie an 2</t>
  </si>
  <si>
    <t>Sortie an 3</t>
  </si>
  <si>
    <t>Sortie an 4</t>
  </si>
  <si>
    <t>Sortie an 5</t>
  </si>
  <si>
    <t>Sortie an 6</t>
  </si>
  <si>
    <t>Sortie an 7</t>
  </si>
  <si>
    <t>Sortie an 8</t>
  </si>
  <si>
    <t>Sortie an 9</t>
  </si>
  <si>
    <t>Sortie an 10</t>
  </si>
  <si>
    <t>Sortie an 11</t>
  </si>
  <si>
    <t>Sortie an 12</t>
  </si>
  <si>
    <t>Sortie an 13</t>
  </si>
  <si>
    <t>Sortie an 14</t>
  </si>
  <si>
    <t>Sortie an 15</t>
  </si>
  <si>
    <t>Sortie an 16</t>
  </si>
  <si>
    <t>Sortie an 17</t>
  </si>
  <si>
    <t>Sortie an 18</t>
  </si>
  <si>
    <t>Sortie an 19</t>
  </si>
  <si>
    <t>Sortie an 20</t>
  </si>
  <si>
    <t>Sortie an 21</t>
  </si>
  <si>
    <t>Sortie an 22</t>
  </si>
  <si>
    <t>Sortie an 23</t>
  </si>
  <si>
    <t>Sortie an 24</t>
  </si>
  <si>
    <t>Sortie an 25</t>
  </si>
  <si>
    <t>DONNÉES GRAPHIQUES ENRICHISSEMENT (ne pas modifier)</t>
  </si>
  <si>
    <t>Prix vente 0%</t>
  </si>
  <si>
    <t>Prix vente 1.5%/an</t>
  </si>
  <si>
    <t>CRD</t>
  </si>
  <si>
    <t>Amt cumulé</t>
  </si>
  <si>
    <t>Abatt IR %</t>
  </si>
  <si>
    <t>Abatt PS %</t>
  </si>
  <si>
    <t>PV brute 0%</t>
  </si>
  <si>
    <t>PV impos IR 0%</t>
  </si>
  <si>
    <t>PV impos PS 0%</t>
  </si>
  <si>
    <t>Impôt PV 0%</t>
  </si>
  <si>
    <t>PV brute 1.5%</t>
  </si>
  <si>
    <t>PV impos IR 1.5%</t>
  </si>
  <si>
    <t>PV impos PS 1.5%</t>
  </si>
  <si>
    <t>Impôt PV 1.5%</t>
  </si>
  <si>
    <t>Enrichissement 1.5%</t>
  </si>
  <si>
    <t>Eco IR+PS sur loyers</t>
  </si>
  <si>
    <t>SCÉNARIO SANS AMORTISSEMENT JEANBRUN (calcul économie)</t>
  </si>
  <si>
    <t>RF net sans JB</t>
  </si>
  <si>
    <t>Déduc. RG sans JB</t>
  </si>
  <si>
    <t>Déf. report. sans JB</t>
  </si>
  <si>
    <t>Stock déf. sans JB</t>
  </si>
  <si>
    <t>Déf. imputé sans JB</t>
  </si>
  <si>
    <t>Déf. périmé sans JB</t>
  </si>
  <si>
    <t>RF taxable sans JB</t>
  </si>
  <si>
    <t>CSG déd. sans JB</t>
  </si>
  <si>
    <t>Rev. total sans JB</t>
  </si>
  <si>
    <t>IR sans JB</t>
  </si>
  <si>
    <t>PS sans JB</t>
  </si>
  <si>
    <t>Total impôt sans JB</t>
  </si>
  <si>
    <t>Éco. JB (IR+PS)</t>
  </si>
  <si>
    <t>ENRICHISSEMENT SANS JEANBRUN (investissement locatif classique)</t>
  </si>
  <si>
    <t>Prix vente 1.5%</t>
  </si>
  <si>
    <t>PV brute sans JB 0%</t>
  </si>
  <si>
    <t>PV brute sans JB 1.5%</t>
  </si>
  <si>
    <t>PV impos IR sans JB 0%</t>
  </si>
  <si>
    <t>PV impos PS sans JB 0%</t>
  </si>
  <si>
    <t>PV impos IR sans JB 1.5%</t>
  </si>
  <si>
    <t>PV impos PS sans JB 1.5%</t>
  </si>
  <si>
    <t>Impôt PV sans JB 0%</t>
  </si>
  <si>
    <t>Impôt PV sans JB 1.5%</t>
  </si>
  <si>
    <t>Eco JB cumulée</t>
  </si>
  <si>
    <t>Enrichissement sans JB 0%</t>
  </si>
  <si>
    <t>Enrichissement sans JB 1.5%</t>
  </si>
  <si>
    <t>BILAN NET TOTAL (enrichissement + cash-flow cumulé)</t>
  </si>
  <si>
    <t>AG sans JB (gain fiscal invest. classique)</t>
  </si>
  <si>
    <t>AI sans JB (effort €/mois)</t>
  </si>
  <si>
    <t>AK sans JB (cash-flow cumulé)</t>
  </si>
  <si>
    <t>Enrich. patrimonial sans JB 0%</t>
  </si>
  <si>
    <t>Enrich. patrimonial sans JB 1.5%</t>
  </si>
  <si>
    <t>Bilan net avec JB 1.5%</t>
  </si>
  <si>
    <t>Bilan net sans JB 1.5%</t>
  </si>
  <si>
    <t xml:space="preserve">RÈGLES FISCALES DU SIMULATEUR JEANBRUN </t>
  </si>
  <si>
    <t xml:space="preserve">  Synthèse des mécaniques fiscales intégrées au modèle • Document pédagogique</t>
  </si>
  <si>
    <t xml:space="preserve">  1️⃣   IMPÔT SUR LE REVENU — Barème progressif 2026</t>
  </si>
  <si>
    <t>Barème progressif par tranches</t>
  </si>
  <si>
    <t>L'IR est calculé par application du barème progressif au quotient familial (revenu / nb parts), puis multiplié par le nombre de parts.
Tranches : 0 % → 11 % → 30 % → 41 % → 45 %.</t>
  </si>
  <si>
    <t>Formule :</t>
  </si>
  <si>
    <t>IR = Rev × Taux_tranche − Réduction × Nb_parts</t>
  </si>
  <si>
    <t>📖 Art. 197 du CGI • Barème applicable aux revenus 2025 (déclarés en 2026)</t>
  </si>
  <si>
    <t>👨‍👩‍👧</t>
  </si>
  <si>
    <t>Plafonnement du quotient familial</t>
  </si>
  <si>
    <t>L'avantage fiscal procuré par chaque demi-part supplémentaire au-delà de 2 parts est plafonné à 1 759 € par demi-part.
Le simulateur compare l'IR « avec QF » et l'IR « sur 2 parts plafonné » et retient le plus élevé.</t>
  </si>
  <si>
    <t>IR = MAX(IR_QF, IR_1part − (N−1) × Plafond_QF)</t>
  </si>
  <si>
    <t>📖 Art. 197-I-2 du CGI • Plafond 2026 : 1 759 €/demi-part</t>
  </si>
  <si>
    <t>CSG déductible (en N+1)</t>
  </si>
  <si>
    <t>La CSG payée sur les revenus fonciers est partiellement déductible du revenu global de l'année suivante, au taux de 6,8 % de la base soumise aux prélèvements sociaux.
Le modèle calcule cette déduction tant pour la situation « avant opération » (sur les RF autres) que pour la situation « après opération » (sur le RF net taxable global).</t>
  </si>
  <si>
    <t>CSG_déd(N) = RF_net_taxable(N) × 6,8 % → déduite du revenu global en N+1</t>
  </si>
  <si>
    <t>📖 Art. 154 quinquies du CGI • Taux : 6,8 % (fraction déductible de la CSG à 9,2 %)</t>
  </si>
  <si>
    <t xml:space="preserve">  2️⃣   REVENUS FONCIERS — Globalisation &amp; déficit (2044)</t>
  </si>
  <si>
    <t>🔗</t>
  </si>
  <si>
    <t>Globalisation obligatoire des revenus fonciers</t>
  </si>
  <si>
    <t>Le résultat foncier se calcule GLOBALEMENT pour l'ensemble du patrimoine locatif du foyer, et non bien par bien. Le simulateur additionne donc les loyers Jeanbrun ET les RF d'autres biens avant d'imputer les charges financières.
C'est cette globalisation qui permet aux RF existants d'absorber les intérêts d'emprunt, évitant la constitution de déficits d'intérêts fictifs.</t>
  </si>
  <si>
    <t>RF_bruts_globaux = Loyers_Jeanbrun + RF_autres</t>
  </si>
  <si>
    <t>📖 Art. 28 à 31 du CGI • Formulaire 2044 ligne 420</t>
  </si>
  <si>
    <t>⚖️</t>
  </si>
  <si>
    <t>Partition charges financières / non-financières</t>
  </si>
  <si>
    <t>En cas de déficit foncier global, le traitement diffère selon la nature des charges excédentaires :
• Si les RF globaux couvrent les charges financières (Q ≥ R) : le déficit provient des charges non-financières → déductible du revenu global (plafond 10 700 €).
• Si les RF globaux ne couvrent PAS les charges financières (Q &lt; R) : l'excédent d'intérêts est reportable sur les RF futurs (10 ans), les charges non-fin. restent déductibles du RG.</t>
  </si>
  <si>
    <t>Déd_RG = MIN(Déficit_charges_non_fin, 10 700)</t>
  </si>
  <si>
    <t>📖 Art. 156-I-3° du CGI • BOI-RFPI-BASE-30-20</t>
  </si>
  <si>
    <t>🔄</t>
  </si>
  <si>
    <t>Déficit reportable sur 10 ans</t>
  </si>
  <si>
    <t>L'excédent de déficit non imputable sur le revenu global (au-delà de 10 700 €) ainsi que les déficits d'intérêts sont reportables sur les revenus fonciers positifs des 10 années suivantes.
Le stock est géré année par année avec péremption automatique à 10 ans.</t>
  </si>
  <si>
    <t>Stock(N) = Stock(N−1) + Généré(N) − Imputé(N−1) − Périmé(&gt;10 ans)</t>
  </si>
  <si>
    <t>📖 Art. 156-I-3° alinéa 4 du CGI</t>
  </si>
  <si>
    <t>💰</t>
  </si>
  <si>
    <t>Prélèvements sociaux sur RF nets</t>
  </si>
  <si>
    <t>Les prélèvements sociaux (17,2 %) s'appliquent sur le revenu foncier net taxable positif.
En phase de déficit foncier (RF net ≤ 0), les PS sont nuls — y compris sur les RF d'autres biens, car la base est le résultat foncier GLOBAL, pas bien par bien.</t>
  </si>
  <si>
    <t>PS = RF_net_taxable × 17,2 % (si positif, sinon 0)</t>
  </si>
  <si>
    <t>📖 Art. L. 136-6 du CSS • Taux 2026 : 9,2 % CSG + 0,5 % CRDS + 7,5 % PS</t>
  </si>
  <si>
    <t xml:space="preserve">  3️⃣   DISPOSITIF JEANBRUN — Amortissement déductible</t>
  </si>
  <si>
    <t>🏗️</t>
  </si>
  <si>
    <t>Base et taux d'amortissement</t>
  </si>
  <si>
    <t>L'amortissement Jeanbrun porte sur 80 % du prix d'acquisition (hors terrain) à un taux qui dépend du type de loyer pratiqué :
• Intermédiaire : 3,5 % → plafond 8 000 €/an
• Social : 4,5 % → plafond 10 000 €/an
• Très social : 5,5 % → plafond 12 000 €/an
Le plafond est global (tous biens Jeanbrun confondus pour le foyer).</t>
  </si>
  <si>
    <t>Amt = MIN(Base_80% × Taux, Plafond_annuel)</t>
  </si>
  <si>
    <t>📖 Art. 12 octies de la LF 2026, créant le i du 1° du I de l'art. 31 du CGI • Plafonds par foyer fiscal</t>
  </si>
  <si>
    <t>⚡</t>
  </si>
  <si>
    <t>L'amortissement crée du déficit foncier</t>
  </si>
  <si>
    <t>C'est le premier dispositif fiscal permettant l'amortissement en location NUE. Jusqu'ici, seul le LMNP (location meublée) offrait cette possibilité.
L'amortissement Jeanbrun est une charge déductible des revenus fonciers et PEUT générer du déficit foncier imputable sur le revenu global (dans la limite de 10 700 €).
C'est le principal levier fiscal du dispositif : il transforme un revenu foncier positif en déficit.</t>
  </si>
  <si>
    <t>📖 Art. 12 octies LF 2026 (i et j du 1° du I de l'art. 31) combiné avec art. 156-I-3° du CGI</t>
  </si>
  <si>
    <t>📋</t>
  </si>
  <si>
    <t>Engagement locatif</t>
  </si>
  <si>
    <t>L'investisseur s'engage à louer le bien nu, à titre de résidence principale du locataire, pendant une durée fixe de 9 ans (non modulable).
Le loyer est plafonné selon le type de loyer choisi : intermédiaire (−15 % vs marché), social (−30 %) ou très social (−45 %). Des plafonds de ressources du locataire s'appliquent.
Pas de zonage géographique : tout le territoire français est éligible.
Seuls les appartements en immeubles collectifs sont éligibles (maisons individuelles exclues).
Interdiction de louer à un membre du foyer fiscal ou à un ascendant/descendant.
Logement neuf : RE2020 + DPE classe A ou B exigés. Ancien : travaux ≥ 30 % du prix d'acquisition.
Acquisitions éligibles : entre la publication de la LFI 2026 et le 31 décembre 2028.</t>
  </si>
  <si>
    <t>📖 Art. 12 octies de la LF 2026 • Engagement 9 ans • Plafonds de loyers par type (décret à paraître)</t>
  </si>
  <si>
    <t xml:space="preserve">  4️⃣   CHARGES DÉDUCTIBLES — Frais de financement</t>
  </si>
  <si>
    <t>Frais initiaux de financement (Année 1)</t>
  </si>
  <si>
    <t>Les frais de dossier bancaire, de garantie (ex: Crédit Logement) et de courtage sont des charges financières intégralement déductibles, l'année de leur paiement (Année 1 uniquement).
Le simulateur les ajoute aux charges financières de l'Année 1, ce qui augmente le déficit initial.</t>
  </si>
  <si>
    <t>R(An 1) = Intérêts + Assurance + Frais_garantie_dossier_courtage</t>
  </si>
  <si>
    <t>📖 Art. 31-I-1°-d du CGI • BOI-RFPI-BASE-20-10 §30 à §60</t>
  </si>
  <si>
    <t>📈</t>
  </si>
  <si>
    <t>Intérêts d'emprunt et assurance</t>
  </si>
  <si>
    <t>Les intérêts d'emprunt et les primes d'assurance emprunteur constituent les charges financières récurrentes, déductibles chaque année pendant toute la durée du prêt.
En cas de déficit, les intérêts excédentaires (non couverts par les loyers globaux) sont reportables sur les RF futurs, tandis que les charges non-financières sont déductibles du RG.</t>
  </si>
  <si>
    <t>Charges_fin(N) = Intérêts(N) + Assurance(N)</t>
  </si>
  <si>
    <t>📖 Art. 31-I-1°-d du CGI</t>
  </si>
  <si>
    <t xml:space="preserve">  5️⃣   PLUS-VALUE IMMOBILIÈRE — Revente du bien</t>
  </si>
  <si>
    <t>🔴</t>
  </si>
  <si>
    <t>Réintégration de l'amortissement Jeanbrun</t>
  </si>
  <si>
    <t>Lors de la revente, l'amortissement cumulé déduit via le Jeanbrun vient MAJORER la plus-value brute (il est soustrait du prix d'acquisition). C'est le « coût de sortie » du dispositif.
L'art. 12 octies modifie l'art. 150 VB du CGI pour y intégrer explicitement les amortissements déduits au titre des i et j du 1° du I de l'art. 31.
⚠️ Note : certaines sources contestent cette lecture. La doctrine administrative (BOFiP) n'est pas encore publiée. Le simulateur retient l'hypothèse prudente de la réintégration, conformément au texte voté.</t>
  </si>
  <si>
    <t>PV_brute = Prix_vente − (Prix_achat + Frais_forfaitaires − Amt_cumulé)</t>
  </si>
  <si>
    <t>📖 Art. 150 VB III du CGI (modifié par art. 12 octies LF 2026) • Décrets d'application attendus</t>
  </si>
  <si>
    <t>📉</t>
  </si>
  <si>
    <t>Abattements pour durée de détention</t>
  </si>
  <si>
    <t>La PV brute bénéficie d'abattements progressifs selon la durée de détention, avec des barèmes distincts pour l'IR et les PS :
• IR : 6 %/an de la 6e à la 21e année, 4 % la 22e → exonération totale à 22 ans.
• PS : 1,65 %/an de la 6e à la 21e, 1,60 % la 22e, 9 %/an de la 23e à la 30e → exo à 30 ans.</t>
  </si>
  <si>
    <t>PV_nette_IR = PV_brute × (1 − Abatt_IR%)</t>
  </si>
  <si>
    <t>📖 Art. 150 VC du CGI • Barèmes détaillés dans l'onglet « Barème fiscal »</t>
  </si>
  <si>
    <t>💸</t>
  </si>
  <si>
    <t>Imposition : IR 19 % + PS 17,2 % + Surtaxe</t>
  </si>
  <si>
    <t>La plus-value nette est soumise à :
• IR au taux forfaitaire de 19 % (sur PV nette après abattement IR).
• PS au taux de 17,2 % (sur PV nette après abattement PS).
• Surtaxe progressive si la PV nette IR dépasse 50 000 € (de 2 % à 6 % selon barème).</t>
  </si>
  <si>
    <t>Impôt_PV = PV_IR × 19 % + PV_PS × 17,2 % + Surtaxe(PV_IR)</t>
  </si>
  <si>
    <t>📖 Art. 200 B et 1609 nonies G du CGI</t>
  </si>
  <si>
    <t>📐</t>
  </si>
  <si>
    <t>Barème de la surtaxe PV (&gt; 50 000 €)</t>
  </si>
  <si>
    <t>Tranches de la surtaxe sur PV nette imposable IR :
•  50 001 →  60 000 € : 2 % avec lissage (60 000−PV) × 1/20
•  60 001 → 100 000 € : 2 %
• 100 001 → 110 000 € : 3 % avec lissage (110 000−PV) × 1/10
• 110 001 → 150 000 € : 3 %
• 150 001 → 160 000 € : 4 % avec lissage (160 000−PV) × 3/20
• 160 001 → 200 000 € : 4 %
• 200 001 → 210 000 € : 5 % avec lissage (210 000−PV) × 1/5
• 210 001 → 250 000 € : 5 %
• 250 001 → 260 000 € : 6 % avec lissage (260 000−PV) × 1/4
• Au-delà de 260 000 € : 6 %</t>
  </si>
  <si>
    <t>📖 Art. 1609 nonies G du CGI • Barème dans l'onglet « Barème fiscal » lignes 15-27</t>
  </si>
  <si>
    <t xml:space="preserve">  6️⃣   ABATTEMENT 10 % — Frais professionnels</t>
  </si>
  <si>
    <t>Déduction forfaitaire de 10 % pour frais professionnels</t>
  </si>
  <si>
    <t>La déduction forfaitaire de 10 % s'applique aux traitements &amp; salaires (Art. 83-3° CGI) et aux pensions de retraite (Art. 158-5-a CGI), avec des plafonds distincts. Elle ne s'applique pas aux revenus des travailleurs non-salariés (BIC/BNC), qui déduisent leurs frais réels.</t>
  </si>
  <si>
    <t>Salaires : Abatt = MAX(504 × N, MIN(Rev × 10 %, 14 171 × N))
Pensions : Abatt = MAX(442 × N, MIN(Rev × 10 %, 4 321 × N))
TNS / Indépendants : Abatt = 0  [N = nb déclarants]</t>
  </si>
  <si>
    <t>📖 Art. 83-3° du CGI (salaires) • Art. 158-5-a du CGI (pensions) • Plafonds applicables aux revenus 2025 (déclarés en 2026)</t>
  </si>
  <si>
    <t xml:space="preserve">  7️⃣   SURFACE PONDÉRÉE &amp; PLAFOND DE LOYER</t>
  </si>
  <si>
    <t>Calcul de la surface pondérée (surface utile)</t>
  </si>
  <si>
    <t>Le plafond de loyer s'applique à la surface pondérée (« surface utile »), qui comprend la surface habitable augmentée de la moitié des surfaces annexes (balcons, loggias, caves... et terrasses dans la limite de 9 m²), le tout plafonné à 16 m² de surfaces annexes brutes (soit 8 m² après division par 2).
Les jardins privatifs ne sont PAS des annexes : seules les terrasses accessibles en étage ou aménagées sur ouvrage enterré sont retenues.
⚠️ Si le logement est en RDC, la terrasse est automatiquement exclue du calcul (présumée reposer sur le sol naturel et non sur du bâti).</t>
  </si>
  <si>
    <t>SP = S_hab + MIN(Balcon + IF(RDC, 0, MIN(Terrasse, 9)), 16) ÷ 2</t>
  </si>
  <si>
    <t>📖 Art. R. 353-16 du CCH (annexes) • Décret n° 2002-120 (surface utile) • Art. 2 terdecies D annexe III CGI (Pinel, applicable par analogie)</t>
  </si>
  <si>
    <t>🔢</t>
  </si>
  <si>
    <t>Coefficient multiplicateur de loyer</t>
  </si>
  <si>
    <t>Un coefficient multiplicateur est appliqué au plafond de loyer par m² pour tenir compte de la taille du logement. Il avantage les petites surfaces.
Le coefficient est plafonné à 1,2.
⚠️ Ce coefficient est repris par analogie avec le dispositif Pinel. Les décrets d'application du Jeanbrun confirmeront ou ajusteront cette règle.</t>
  </si>
  <si>
    <t>Coeff = TRUNC(MIN(0,7 + 19 ÷ SP, 1,2), 2)  →  Loyer max = Plafond/m² × SP × Coeff</t>
  </si>
  <si>
    <t>📖 Art. 2 terdecies D de l'annexe III au CGI (coefficient Pinel) • Décrets Jeanbrun à paraître</t>
  </si>
  <si>
    <t xml:space="preserve">  ⚠️  Ce document est fourni à titre pédagogique et ne constitue ni un conseil fiscal ni un conseil en investissement. Les règles fiscales sont susceptibles d'évoluer. Consultez un professionnel habilité avant toute décision d'investissement. Références législatives vérifiées au 02/2026.</t>
  </si>
  <si>
    <t xml:space="preserve">  médicis IMMOBILIER NEUF — www.medicis-immobilier-neuf.fr — Osez dire OUI à l'immobilier neuf !</t>
  </si>
  <si>
    <t>PLAFONDS DE LOYERS JEANBRUN (€/m²/mois)</t>
  </si>
  <si>
    <t>A Bis</t>
  </si>
  <si>
    <t>B1</t>
  </si>
  <si>
    <t>B2/C</t>
  </si>
  <si>
    <t>BARÈME IMPÔT SUR LE REVENU 2026</t>
  </si>
  <si>
    <t>Limite inf</t>
  </si>
  <si>
    <t>Limite sup</t>
  </si>
  <si>
    <t>Taux</t>
  </si>
  <si>
    <t>Réduction</t>
  </si>
  <si>
    <t>Plafond QF (€/demi-part)</t>
  </si>
  <si>
    <t>Plafond déficit foncier RG (€)</t>
  </si>
  <si>
    <t>Taux CSG déductible (%)</t>
  </si>
  <si>
    <t>SURTAXE PLUS-VALUE IMMOBILIÈRE</t>
  </si>
  <si>
    <t>PV nette IR min</t>
  </si>
  <si>
    <t>PV nette IR max</t>
  </si>
  <si>
    <t>Lissage</t>
  </si>
  <si>
    <t>—</t>
  </si>
  <si>
    <t>(60000-PV)×1/20</t>
  </si>
  <si>
    <t>(110000-PV)×1/10</t>
  </si>
  <si>
    <t>(160000-PV)×3/20</t>
  </si>
  <si>
    <t>(210000-PV)×1/5</t>
  </si>
  <si>
    <t>(260000-PV)×1/4</t>
  </si>
  <si>
    <t>Plafond abattement 10 % / déclarant (€)</t>
  </si>
  <si>
    <t>Plancher abattement 10 % / déclarant (€)</t>
  </si>
  <si>
    <t>Plafond abattement pensions / déclarant (€)</t>
  </si>
  <si>
    <t>Plancher abattement pensions / déclarant (€)</t>
  </si>
  <si>
    <t>r</t>
  </si>
  <si>
    <t>PARAMÈTRES DU FINANCEMENT</t>
  </si>
  <si>
    <t>RÉSULTATS CLÉS</t>
  </si>
  <si>
    <t>Montant emprunté (€)</t>
  </si>
  <si>
    <t>Mensualité hors assurance (€)</t>
  </si>
  <si>
    <t>Taux nominal annuel (%)</t>
  </si>
  <si>
    <t>Mensualité assurance (€)</t>
  </si>
  <si>
    <t>Durée (années)</t>
  </si>
  <si>
    <t>Mensualité totale (€)</t>
  </si>
  <si>
    <t>Taux assurance annuel (%)</t>
  </si>
  <si>
    <t>Coût total du crédit (€)</t>
  </si>
  <si>
    <t>Différé (années)</t>
  </si>
  <si>
    <t>Coût total intérêts (€)</t>
  </si>
  <si>
    <t>Coût total assurance (€)</t>
  </si>
  <si>
    <t>TAEG approché (%)</t>
  </si>
  <si>
    <t>TABLEAU D'AMORTISSEMENT ANNUEL</t>
  </si>
  <si>
    <t>N°</t>
  </si>
  <si>
    <t>ANNÉE</t>
  </si>
  <si>
    <t>PRINCIPAL (€)</t>
  </si>
  <si>
    <t>INTÉRÊTS (€)</t>
  </si>
  <si>
    <t>ASSURANCE (€)</t>
  </si>
  <si>
    <t>ANNUITÉ TOTALE (€)</t>
  </si>
  <si>
    <t>CRD (€)</t>
  </si>
  <si>
    <t>TOTAUX</t>
  </si>
  <si>
    <t>VÉRIFICATION</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</si>
</sst>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quot; €&quot;"/>
    <numFmt numFmtId="165" formatCode="0.0"/>
    <numFmt numFmtId="166" formatCode="0.0%"/>
    <numFmt numFmtId="167" formatCode="#,##0.00&quot; €&quot;"/>
    <numFmt numFmtId="168" formatCode="0.000%"/>
    <numFmt numFmtId="169" formatCode="#,##0\ [$€-1]"/>
    <numFmt numFmtId="170" formatCode="#,##0&quot; €/mois&quot;"/>
    <numFmt numFmtId="171" formatCode="0&quot; m²&quot;"/>
    <numFmt numFmtId="172" formatCode="0&quot; ans&quot;"/>
    <numFmt numFmtId="173" formatCode="#,##0&quot; €&quot;;\(#,##0&quot;) €&quot;;\-"/>
    <numFmt numFmtId="174" formatCode="#,##0&quot; €&quot;;[RED]\(#,##0&quot; €)&quot;;\-"/>
    <numFmt numFmtId="175" formatCode="[$$-409]#,##0.00;[RED]\-[$$-409]#,##0.00"/>
    <numFmt numFmtId="176" formatCode="&quot;€ &quot;#,##0"/>
    <numFmt numFmtId="177" formatCode="&quot;€ &quot;#,##0.00"/>
  </numFmts>
  <fonts count="124">
    <font>
      <sz val="11.0"/>
      <color theme="1"/>
      <name val="Calibri"/>
      <scheme val="minor"/>
    </font>
    <font>
      <b/>
      <sz val="14.0"/>
      <color rgb="FFFFFFFF"/>
      <name val="Calibri"/>
    </font>
    <font/>
    <font>
      <sz val="11.0"/>
      <color theme="1"/>
      <name val="Calibri"/>
    </font>
    <font>
      <b/>
      <sz val="9.0"/>
      <color rgb="FFFFFFFF"/>
      <name val="Calibri"/>
    </font>
    <font>
      <b/>
      <sz val="9.0"/>
      <color rgb="FF14415C"/>
      <name val="Calibri"/>
    </font>
    <font>
      <b/>
      <sz val="10.0"/>
      <color rgb="FFFFFFFF"/>
      <name val="Calibri"/>
    </font>
    <font>
      <sz val="9.0"/>
      <color rgb="FF14415C"/>
      <name val="Calibri"/>
    </font>
    <font>
      <b/>
      <sz val="11.0"/>
      <color rgb="FFFFFFFF"/>
      <name val="Calibri"/>
    </font>
    <font>
      <i/>
      <sz val="8.0"/>
      <color rgb="FF9AAABB"/>
      <name val="Calibri"/>
    </font>
    <font>
      <i/>
      <sz val="10.0"/>
      <color rgb="FF14415C"/>
      <name val="Calibri"/>
    </font>
    <font>
      <i/>
      <sz val="7.0"/>
      <color rgb="FF9AAABB"/>
      <name val="Calibri"/>
    </font>
    <font>
      <b/>
      <i/>
      <sz val="7.0"/>
      <color rgb="FFEA653D"/>
      <name val="Calibri"/>
    </font>
    <font>
      <sz val="9.0"/>
      <color theme="1"/>
      <name val="Calibri"/>
    </font>
    <font>
      <sz val="10.0"/>
      <color theme="1"/>
      <name val="Calibri"/>
    </font>
    <font>
      <sz val="9.0"/>
      <color rgb="FF6688A0"/>
      <name val="Calibri"/>
    </font>
    <font>
      <sz val="7.0"/>
      <color rgb="FF7A8FA6"/>
      <name val="Calibri"/>
    </font>
    <font>
      <b/>
      <sz val="13.0"/>
      <color rgb="FF14415C"/>
      <name val="Calibri"/>
    </font>
    <font>
      <b/>
      <sz val="13.0"/>
      <color rgb="FFEA653D"/>
      <name val="Calibri"/>
    </font>
    <font>
      <sz val="8.0"/>
      <color rgb="FF7A8FA6"/>
      <name val="Calibri"/>
    </font>
    <font>
      <b/>
      <sz val="26.0"/>
      <color rgb="FF3761AD"/>
      <name val="Calibri"/>
    </font>
    <font>
      <sz val="15.0"/>
      <color rgb="FF3761AD"/>
      <name val="Calibri"/>
    </font>
    <font>
      <b/>
      <sz val="26.0"/>
      <color rgb="FFFFFFFF"/>
      <name val="Calibri"/>
    </font>
    <font>
      <sz val="15.0"/>
      <color rgb="FFFFFFFF"/>
      <name val="Calibri"/>
    </font>
    <font>
      <b/>
      <sz val="26.0"/>
      <color rgb="FF009FA3"/>
      <name val="Calibri"/>
    </font>
    <font>
      <sz val="15.0"/>
      <color rgb="FF009FA3"/>
      <name val="Calibri"/>
    </font>
    <font>
      <b/>
      <sz val="10.0"/>
      <color rgb="FF3761AD"/>
      <name val="Calibri"/>
    </font>
    <font>
      <b/>
      <sz val="10.0"/>
      <color rgb="FF009FA3"/>
      <name val="Calibri"/>
    </font>
    <font>
      <b/>
      <sz val="10.0"/>
      <color rgb="FF27A058"/>
      <name val="Calibri"/>
    </font>
    <font>
      <b/>
      <sz val="10.0"/>
      <color rgb="FFD94040"/>
      <name val="Calibri"/>
    </font>
    <font>
      <sz val="10.0"/>
      <color rgb="FF7A8FA6"/>
      <name val="Calibri"/>
    </font>
    <font>
      <b/>
      <sz val="9.0"/>
      <color rgb="FFD94040"/>
      <name val="Calibri"/>
    </font>
    <font>
      <b/>
      <sz val="9.0"/>
      <color rgb="FF27A058"/>
      <name val="Calibri"/>
    </font>
    <font>
      <b/>
      <sz val="9.0"/>
      <color rgb="FF7A8FA6"/>
      <name val="Calibri"/>
    </font>
    <font>
      <i/>
      <sz val="7.0"/>
      <color rgb="FF7A8FA6"/>
      <name val="Calibri"/>
    </font>
    <font>
      <sz val="10.0"/>
      <color rgb="FFAACCDD"/>
      <name val="Calibri"/>
    </font>
    <font>
      <b/>
      <sz val="18.0"/>
      <color rgb="FFFFFFFF"/>
      <name val="Calibri"/>
    </font>
    <font>
      <color theme="1"/>
      <name val="Calibri"/>
      <scheme val="minor"/>
    </font>
    <font>
      <sz val="16.0"/>
      <color rgb="FF14415C"/>
      <name val="Calibri"/>
    </font>
    <font>
      <b/>
      <sz val="11.0"/>
      <color rgb="FF14415C"/>
      <name val="Calibri"/>
    </font>
    <font>
      <sz val="11.0"/>
      <color rgb="FF14415C"/>
      <name val="Calibri"/>
    </font>
    <font>
      <sz val="11.0"/>
      <color rgb="FF7A8FA6"/>
      <name val="Calibri"/>
    </font>
    <font>
      <i/>
      <sz val="8.0"/>
      <color rgb="FF6688A0"/>
      <name val="Calibri"/>
    </font>
    <font>
      <b/>
      <sz val="16.0"/>
      <color rgb="FFFFFFFF"/>
      <name val="Poppins"/>
    </font>
    <font>
      <sz val="9.0"/>
      <color rgb="FFFFFFFF"/>
      <name val="Poppins"/>
    </font>
    <font>
      <b/>
      <sz val="11.0"/>
      <color rgb="FFFFFFFF"/>
      <name val="Poppins"/>
    </font>
    <font>
      <sz val="9.0"/>
      <color rgb="FF14415C"/>
      <name val="Poppins"/>
    </font>
    <font>
      <b/>
      <sz val="9.0"/>
      <color rgb="FF14415C"/>
      <name val="Poppins"/>
    </font>
    <font>
      <b/>
      <sz val="12.0"/>
      <color rgb="FFFFFFFF"/>
      <name val="Poppins"/>
    </font>
    <font>
      <b/>
      <sz val="13.0"/>
      <color rgb="FFFFFFFF"/>
      <name val="Poppins"/>
    </font>
    <font>
      <sz val="8.0"/>
      <color rgb="FF14415C"/>
      <name val="Poppins"/>
    </font>
    <font>
      <b/>
      <sz val="10.0"/>
      <color rgb="FFFFFFFF"/>
      <name val="Poppins"/>
    </font>
    <font>
      <sz val="10.0"/>
      <color rgb="FF009FA3"/>
      <name val="Poppins"/>
    </font>
    <font>
      <b/>
      <sz val="12.0"/>
      <color rgb="FF009FA3"/>
      <name val="Poppins"/>
    </font>
    <font>
      <sz val="10.0"/>
      <color rgb="FFEA653D"/>
      <name val="Poppins"/>
    </font>
    <font>
      <b/>
      <sz val="12.0"/>
      <color rgb="FFEA653D"/>
      <name val="Poppins"/>
    </font>
    <font>
      <sz val="9.0"/>
      <color rgb="FFEA653D"/>
      <name val="Poppins"/>
    </font>
    <font>
      <b/>
      <sz val="9.0"/>
      <color rgb="FF3761AD"/>
      <name val="Arial"/>
    </font>
    <font>
      <b/>
      <sz val="10.0"/>
      <color rgb="FF3761AD"/>
      <name val="Arial"/>
    </font>
    <font>
      <b/>
      <sz val="11.0"/>
      <color rgb="FF009FA3"/>
      <name val="Poppins"/>
    </font>
    <font>
      <b/>
      <sz val="13.0"/>
      <color rgb="FF009FA3"/>
      <name val="Poppins"/>
    </font>
    <font>
      <b/>
      <sz val="11.0"/>
      <color rgb="FFEA653D"/>
      <name val="Poppins"/>
    </font>
    <font>
      <b/>
      <sz val="13.0"/>
      <color rgb="FFEA653D"/>
      <name val="Poppins"/>
    </font>
    <font>
      <i/>
      <sz val="8.0"/>
      <color rgb="FF7B9FD4"/>
      <name val="Arial"/>
    </font>
    <font>
      <i/>
      <sz val="9.0"/>
      <color rgb="FF7B9FD4"/>
      <name val="Arial"/>
    </font>
    <font>
      <b/>
      <sz val="13.0"/>
      <color rgb="FF3761AD"/>
      <name val="Poppins"/>
    </font>
    <font>
      <b/>
      <sz val="18.0"/>
      <color rgb="FF3761AD"/>
      <name val="Poppins"/>
    </font>
    <font>
      <i/>
      <sz val="8.0"/>
      <color rgb="FF66BB6A"/>
      <name val="Arial"/>
    </font>
    <font>
      <i/>
      <sz val="9.0"/>
      <color rgb="FF2E7D32"/>
      <name val="Arial"/>
    </font>
    <font>
      <b/>
      <sz val="10.0"/>
      <color rgb="FFFFFFFF"/>
      <name val="Arial"/>
    </font>
    <font>
      <sz val="9.0"/>
      <color rgb="FF14415C"/>
      <name val="Arial"/>
    </font>
    <font>
      <sz val="8.0"/>
      <color rgb="FF14415C"/>
      <name val="Arial"/>
    </font>
    <font>
      <b/>
      <sz val="8.0"/>
      <color rgb="FF14415C"/>
      <name val="Arial"/>
    </font>
    <font>
      <sz val="8.0"/>
      <color rgb="FF3761AD"/>
      <name val="Arial"/>
    </font>
    <font>
      <i/>
      <sz val="8.0"/>
      <color rgb="FF999999"/>
      <name val="Arial"/>
    </font>
    <font>
      <sz val="8.0"/>
      <color rgb="FFCCCCCC"/>
      <name val="Arial"/>
    </font>
    <font>
      <sz val="9.0"/>
      <color rgb="FFCCCCCC"/>
      <name val="Arial"/>
    </font>
    <font>
      <b/>
      <sz val="8.0"/>
      <color rgb="FFFFFFFF"/>
      <name val="Poppins"/>
    </font>
    <font>
      <b/>
      <sz val="8.0"/>
      <color rgb="FFFFFFFF"/>
      <name val="Arial"/>
    </font>
    <font>
      <b/>
      <sz val="8.0"/>
      <color rgb="FF073763"/>
      <name val="Arial"/>
    </font>
    <font>
      <b/>
      <sz val="8.0"/>
      <color rgb="FF14415C"/>
      <name val="Poppins"/>
    </font>
    <font>
      <sz val="8.0"/>
      <color rgb="FF2E7D32"/>
      <name val="Arial"/>
    </font>
    <font>
      <sz val="8.0"/>
      <color rgb="FF43A047"/>
      <name val="Arial"/>
    </font>
    <font>
      <sz val="8.0"/>
      <color rgb="FFF6B26B"/>
      <name val="Arial"/>
    </font>
    <font>
      <sz val="7.0"/>
      <color rgb="FF14415C"/>
      <name val="Poppins"/>
    </font>
    <font>
      <sz val="1.0"/>
      <color rgb="FF14415C"/>
      <name val="Poppins"/>
    </font>
    <font>
      <sz val="10.0"/>
      <color rgb="FF000000"/>
      <name val="Arial"/>
    </font>
    <font>
      <sz val="9.0"/>
      <color rgb="FF3761AD"/>
      <name val="Arial"/>
    </font>
    <font>
      <sz val="11.0"/>
      <color theme="1"/>
      <name val="Arial"/>
    </font>
    <font>
      <sz val="9.0"/>
      <color theme="1"/>
      <name val="Arial"/>
    </font>
    <font>
      <b/>
      <sz val="9.0"/>
      <color rgb="FFFFFFFF"/>
      <name val="Arial"/>
    </font>
    <font>
      <i/>
      <sz val="9.0"/>
      <color rgb="FF3761AD"/>
      <name val="Arial"/>
    </font>
    <font>
      <b/>
      <sz val="9.0"/>
      <color rgb="FFEA653D"/>
      <name val="Arial"/>
    </font>
    <font>
      <b/>
      <sz val="9.0"/>
      <color rgb="FF14415C"/>
      <name val="Arial"/>
    </font>
    <font>
      <b/>
      <sz val="9.0"/>
      <color rgb="FF2E7D32"/>
      <name val="Arial"/>
    </font>
    <font>
      <b/>
      <i/>
      <sz val="9.0"/>
      <color rgb="FF888888"/>
      <name val="Arial"/>
    </font>
    <font>
      <b/>
      <sz val="9.0"/>
      <color rgb="FF3761AD"/>
      <name val="Poppins"/>
    </font>
    <font>
      <b/>
      <sz val="9.0"/>
      <color rgb="FF4472C4"/>
      <name val="Calibri"/>
    </font>
    <font>
      <b/>
      <sz val="9.0"/>
      <color rgb="FFFFFFFF"/>
      <name val="Poppins"/>
    </font>
    <font>
      <b/>
      <sz val="10.0"/>
      <color rgb="FF14415C"/>
      <name val="Poppins"/>
    </font>
    <font>
      <sz val="10.0"/>
      <color rgb="FF14415C"/>
      <name val="Poppins"/>
    </font>
    <font>
      <b/>
      <sz val="10.0"/>
      <color theme="1"/>
      <name val="Calibri"/>
    </font>
    <font>
      <b/>
      <i/>
      <sz val="9.0"/>
      <color rgb="FF808080"/>
      <name val="Cambria"/>
    </font>
    <font>
      <b/>
      <sz val="8.0"/>
      <color theme="1"/>
      <name val="Calibri"/>
    </font>
    <font>
      <sz val="8.0"/>
      <color theme="1"/>
      <name val="Calibri"/>
    </font>
    <font>
      <sz val="8.0"/>
      <color theme="1"/>
      <name val="Arial"/>
    </font>
    <font>
      <sz val="8.0"/>
      <color rgb="FF666666"/>
      <name val="Arial"/>
    </font>
    <font>
      <sz val="10.0"/>
      <color rgb="FFFFFFFF"/>
      <name val="Poppins"/>
    </font>
    <font>
      <sz val="11.0"/>
      <color rgb="FF14415C"/>
      <name val="Poppins"/>
    </font>
    <font>
      <b/>
      <sz val="11.0"/>
      <color rgb="FF14415C"/>
      <name val="Poppins"/>
    </font>
    <font>
      <sz val="9.0"/>
      <color rgb="FF999999"/>
      <name val="Poppins"/>
    </font>
    <font>
      <sz val="9.0"/>
      <color rgb="FF3761AD"/>
      <name val="Consolas"/>
    </font>
    <font>
      <i/>
      <sz val="9.0"/>
      <color rgb="FF999999"/>
      <name val="Poppins"/>
    </font>
    <font>
      <sz val="11.0"/>
      <color theme="1"/>
      <name val="Cambria"/>
    </font>
    <font>
      <sz val="9.0"/>
      <color rgb="FF333333"/>
      <name val="Poppins"/>
    </font>
    <font>
      <i/>
      <sz val="8.0"/>
      <color rgb="FF888888"/>
      <name val="Poppins"/>
    </font>
    <font>
      <b/>
      <sz val="9.0"/>
      <color rgb="FF009FA3"/>
      <name val="Poppins"/>
    </font>
    <font>
      <b/>
      <sz val="8.0"/>
      <color rgb="FF3761AD"/>
      <name val="Poppins"/>
    </font>
    <font>
      <b/>
      <sz val="14.0"/>
      <color rgb="FFFFFFFF"/>
      <name val="Poppins"/>
    </font>
    <font>
      <b/>
      <sz val="11.0"/>
      <color rgb="FFF57E63"/>
      <name val="Poppins"/>
    </font>
    <font>
      <sz val="9.0"/>
      <color theme="1"/>
      <name val="Poppins"/>
    </font>
    <font>
      <b/>
      <sz val="9.0"/>
      <color theme="1"/>
      <name val="Poppins"/>
    </font>
    <font>
      <b/>
      <sz val="9.0"/>
      <color rgb="FF1F4E79"/>
      <name val="Calibri"/>
    </font>
    <font>
      <b/>
      <sz val="9.0"/>
      <color rgb="FF0000FF"/>
      <name val="Calibri"/>
    </font>
  </fonts>
  <fills count="36">
    <fill>
      <patternFill patternType="none"/>
    </fill>
    <fill>
      <patternFill patternType="lightGray"/>
    </fill>
    <fill>
      <patternFill patternType="solid">
        <fgColor rgb="FF13415B"/>
        <bgColor rgb="FF13415B"/>
      </patternFill>
    </fill>
    <fill>
      <patternFill patternType="solid">
        <fgColor rgb="FF3761AD"/>
        <bgColor rgb="FF3761AD"/>
      </patternFill>
    </fill>
    <fill>
      <patternFill patternType="solid">
        <fgColor rgb="FFF4F6F9"/>
        <bgColor rgb="FFF4F6F9"/>
      </patternFill>
    </fill>
    <fill>
      <patternFill patternType="solid">
        <fgColor rgb="FFFFFCE8"/>
        <bgColor rgb="FFFFFCE8"/>
      </patternFill>
    </fill>
    <fill>
      <patternFill patternType="solid">
        <fgColor rgb="FFFFFFFF"/>
        <bgColor rgb="FFFFFFFF"/>
      </patternFill>
    </fill>
    <fill>
      <patternFill patternType="solid">
        <fgColor rgb="FF009FA3"/>
        <bgColor rgb="FF009FA3"/>
      </patternFill>
    </fill>
    <fill>
      <patternFill patternType="solid">
        <fgColor rgb="FFE2DE3E"/>
        <bgColor rgb="FFE2DE3E"/>
      </patternFill>
    </fill>
    <fill>
      <patternFill patternType="solid">
        <fgColor rgb="FFEA653D"/>
        <bgColor rgb="FFEA653D"/>
      </patternFill>
    </fill>
    <fill>
      <patternFill patternType="solid">
        <fgColor rgb="FFEEF2FB"/>
        <bgColor rgb="FFEEF2FB"/>
      </patternFill>
    </fill>
    <fill>
      <patternFill patternType="solid">
        <fgColor rgb="FFE5F6F6"/>
        <bgColor rgb="FFE5F6F6"/>
      </patternFill>
    </fill>
    <fill>
      <patternFill patternType="solid">
        <fgColor rgb="FFE8EDF4"/>
        <bgColor rgb="FFE8EDF4"/>
      </patternFill>
    </fill>
    <fill>
      <patternFill patternType="solid">
        <fgColor rgb="FFFFF8F5"/>
        <bgColor rgb="FFFFF8F5"/>
      </patternFill>
    </fill>
    <fill>
      <patternFill patternType="solid">
        <fgColor rgb="FFF57E64"/>
        <bgColor rgb="FFF57E64"/>
      </patternFill>
    </fill>
    <fill>
      <patternFill patternType="solid">
        <fgColor rgb="FFE8F8F8"/>
        <bgColor rgb="FFE8F8F8"/>
      </patternFill>
    </fill>
    <fill>
      <patternFill patternType="solid">
        <fgColor rgb="FFFEF0ED"/>
        <bgColor rgb="FFFEF0ED"/>
      </patternFill>
    </fill>
    <fill>
      <patternFill patternType="solid">
        <fgColor rgb="FFFFF3E0"/>
        <bgColor rgb="FFFFF3E0"/>
      </patternFill>
    </fill>
    <fill>
      <patternFill patternType="solid">
        <fgColor rgb="FFEDF2FB"/>
        <bgColor rgb="FFEDF2FB"/>
      </patternFill>
    </fill>
    <fill>
      <patternFill patternType="solid">
        <fgColor rgb="FFE8F5E9"/>
        <bgColor rgb="FFE8F5E9"/>
      </patternFill>
    </fill>
    <fill>
      <patternFill patternType="solid">
        <fgColor rgb="FF2E7D32"/>
        <bgColor rgb="FF2E7D32"/>
      </patternFill>
    </fill>
    <fill>
      <patternFill patternType="solid">
        <fgColor rgb="FFF6B26B"/>
        <bgColor rgb="FFF6B26B"/>
      </patternFill>
    </fill>
    <fill>
      <patternFill patternType="solid">
        <fgColor rgb="FFF5F5F5"/>
        <bgColor rgb="FFF5F5F5"/>
      </patternFill>
    </fill>
    <fill>
      <patternFill patternType="solid">
        <fgColor rgb="FFE0E0E0"/>
        <bgColor rgb="FFE0E0E0"/>
      </patternFill>
    </fill>
    <fill>
      <patternFill patternType="solid">
        <fgColor rgb="FFE8F5F5"/>
        <bgColor rgb="FFE8F5F5"/>
      </patternFill>
    </fill>
    <fill>
      <patternFill patternType="solid">
        <fgColor rgb="FFFFF0E0"/>
        <bgColor rgb="FFFFF0E0"/>
      </patternFill>
    </fill>
    <fill>
      <patternFill patternType="solid">
        <fgColor rgb="FF4472C4"/>
        <bgColor rgb="FF4472C4"/>
      </patternFill>
    </fill>
    <fill>
      <patternFill patternType="solid">
        <fgColor rgb="FF00FF00"/>
        <bgColor rgb="FF00FF00"/>
      </patternFill>
    </fill>
    <fill>
      <patternFill patternType="solid">
        <fgColor rgb="FFE2EFDA"/>
        <bgColor rgb="FFE2EFDA"/>
      </patternFill>
    </fill>
    <fill>
      <patternFill patternType="solid">
        <fgColor rgb="FFD9D9D9"/>
        <bgColor rgb="FFD9D9D9"/>
      </patternFill>
    </fill>
    <fill>
      <patternFill patternType="solid">
        <fgColor rgb="FFFFC000"/>
        <bgColor rgb="FFFFC000"/>
      </patternFill>
    </fill>
    <fill>
      <patternFill patternType="solid">
        <fgColor rgb="FFD9E1F2"/>
        <bgColor rgb="FFD9E1F2"/>
      </patternFill>
    </fill>
    <fill>
      <patternFill patternType="solid">
        <fgColor rgb="FFF2F2F2"/>
        <bgColor rgb="FFF2F2F2"/>
      </patternFill>
    </fill>
    <fill>
      <patternFill patternType="solid">
        <fgColor rgb="FFF0F4FA"/>
        <bgColor rgb="FFF0F4FA"/>
      </patternFill>
    </fill>
    <fill>
      <patternFill patternType="solid">
        <fgColor rgb="FFFFFF00"/>
        <bgColor rgb="FFFFFF00"/>
      </patternFill>
    </fill>
    <fill>
      <patternFill patternType="solid">
        <fgColor rgb="FF1F4E79"/>
        <bgColor rgb="FF1F4E79"/>
      </patternFill>
    </fill>
  </fills>
  <borders count="61">
    <border/>
    <border>
      <left/>
      <top/>
      <bottom style="medium">
        <color rgb="FFEA653D"/>
      </bottom>
    </border>
    <border>
      <top/>
      <bottom style="medium">
        <color rgb="FFEA653D"/>
      </bottom>
    </border>
    <border>
      <right/>
      <top/>
      <bottom style="medium">
        <color rgb="FFEA653D"/>
      </bottom>
    </border>
    <border>
      <left style="medium">
        <color rgb="FF13415B"/>
      </left>
      <top style="medium">
        <color rgb="FF13415B"/>
      </top>
      <bottom style="medium">
        <color rgb="FF13415B"/>
      </bottom>
    </border>
    <border>
      <top style="medium">
        <color rgb="FF13415B"/>
      </top>
      <bottom style="medium">
        <color rgb="FF13415B"/>
      </bottom>
    </border>
    <border>
      <right style="medium">
        <color rgb="FF13415B"/>
      </right>
      <top style="medium">
        <color rgb="FF13415B"/>
      </top>
      <bottom style="medium">
        <color rgb="FF13415B"/>
      </bottom>
    </border>
    <border>
      <left/>
      <right/>
      <top/>
      <bottom/>
    </border>
    <border>
      <left style="medium">
        <color rgb="FFDEB940"/>
      </left>
      <top style="medium">
        <color rgb="FFDEB940"/>
      </top>
      <bottom style="medium">
        <color rgb="FFDEB940"/>
      </bottom>
    </border>
    <border>
      <top style="medium">
        <color rgb="FFDEB940"/>
      </top>
      <bottom style="medium">
        <color rgb="FFDEB940"/>
      </bottom>
    </border>
    <border>
      <right style="medium">
        <color rgb="FFDEB940"/>
      </right>
      <top style="medium">
        <color rgb="FFDEB940"/>
      </top>
      <bottom style="medium">
        <color rgb="FFDEB940"/>
      </bottom>
    </border>
    <border>
      <left style="hair">
        <color rgb="FFE8EDF4"/>
      </left>
      <right/>
      <top/>
      <bottom style="hair">
        <color rgb="FFE8EDF4"/>
      </bottom>
    </border>
    <border>
      <left style="medium">
        <color rgb="FF13415B"/>
      </left>
      <right style="medium">
        <color rgb="FF13415B"/>
      </right>
      <top style="medium">
        <color rgb="FF13415B"/>
      </top>
      <bottom style="medium">
        <color rgb="FF13415B"/>
      </bottom>
    </border>
    <border>
      <left/>
      <right/>
      <top/>
      <bottom style="hair">
        <color rgb="FFE8EDF4"/>
      </bottom>
    </border>
    <border>
      <left/>
      <top/>
      <bottom style="medium">
        <color rgb="FF13415B"/>
      </bottom>
    </border>
    <border>
      <right/>
      <top/>
      <bottom style="medium">
        <color rgb="FF13415B"/>
      </bottom>
    </border>
    <border>
      <left style="thin">
        <color rgb="FFDEB940"/>
      </left>
      <right style="thin">
        <color rgb="FFDEB940"/>
      </right>
      <top style="thin">
        <color rgb="FFDEB940"/>
      </top>
      <bottom style="thin">
        <color rgb="FFDEB940"/>
      </bottom>
    </border>
    <border>
      <left/>
      <top/>
      <bottom/>
    </border>
    <border>
      <right/>
      <top/>
      <bottom/>
    </border>
    <border>
      <top/>
      <bottom/>
    </border>
    <border>
      <left style="thin">
        <color rgb="FFE8EDF4"/>
      </left>
      <top style="thin">
        <color rgb="FFE8EDF4"/>
      </top>
      <bottom style="thin">
        <color rgb="FFE8EDF4"/>
      </bottom>
    </border>
    <border>
      <right style="thin">
        <color rgb="FFE8EDF4"/>
      </right>
      <top style="thin">
        <color rgb="FFE8EDF4"/>
      </top>
      <bottom style="thin">
        <color rgb="FFE8EDF4"/>
      </bottom>
    </border>
    <border>
      <left style="thin">
        <color rgb="FFE8EDF4"/>
      </left>
      <top style="thin">
        <color rgb="FFE8EDF4"/>
      </top>
    </border>
    <border>
      <right style="thin">
        <color rgb="FFE8EDF4"/>
      </right>
      <top style="thin">
        <color rgb="FFE8EDF4"/>
      </top>
    </border>
    <border>
      <left style="thin">
        <color rgb="FFE8EDF4"/>
      </left>
      <bottom style="thin">
        <color rgb="FFE8EDF4"/>
      </bottom>
    </border>
    <border>
      <right style="thin">
        <color rgb="FFE8EDF4"/>
      </right>
      <bottom style="thin">
        <color rgb="FFE8EDF4"/>
      </bottom>
    </border>
    <border>
      <left style="thin">
        <color rgb="FFE8EDF4"/>
      </left>
      <right style="thin">
        <color rgb="FFE8EDF4"/>
      </right>
      <top style="thin">
        <color rgb="FFE8EDF4"/>
      </top>
      <bottom style="thin">
        <color rgb="FFE8EDF4"/>
      </bottom>
    </border>
    <border>
      <left style="medium">
        <color rgb="FF3761AD"/>
      </left>
      <top/>
      <bottom/>
    </border>
    <border>
      <left/>
      <right/>
      <top style="thin">
        <color rgb="FFE8EDF4"/>
      </top>
      <bottom/>
    </border>
    <border>
      <left/>
      <top style="thin">
        <color rgb="FFF5D3D9"/>
      </top>
      <bottom style="thin">
        <color rgb="FFF5D3D9"/>
      </bottom>
    </border>
    <border>
      <top style="thin">
        <color rgb="FFF5D3D9"/>
      </top>
      <bottom style="thin">
        <color rgb="FFF5D3D9"/>
      </bottom>
    </border>
    <border>
      <right/>
      <top style="thin">
        <color rgb="FFF5D3D9"/>
      </top>
      <bottom style="thin">
        <color rgb="FFF5D3D9"/>
      </bottom>
    </border>
    <border>
      <left style="thin">
        <color rgb="FF3761AD"/>
      </left>
      <right style="thin">
        <color rgb="FF3761AD"/>
      </right>
      <top style="thin">
        <color rgb="FF3761AD"/>
      </top>
      <bottom style="thin">
        <color rgb="FF3761AD"/>
      </bottom>
    </border>
    <border>
      <left/>
      <right/>
      <top/>
    </border>
    <border>
      <left/>
      <right/>
    </border>
    <border>
      <left/>
      <top/>
    </border>
    <border>
      <top/>
    </border>
    <border>
      <right/>
      <top/>
    </border>
    <border>
      <left/>
    </border>
    <border>
      <right/>
    </border>
    <border>
      <left/>
      <right/>
      <bottom/>
    </border>
    <border>
      <left/>
      <bottom/>
    </border>
    <border>
      <bottom/>
    </border>
    <border>
      <right/>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ttom style="medium">
        <color rgb="FFF5D3D9"/>
      </bottom>
    </border>
    <border>
      <left style="thin">
        <color rgb="FFCCCCCC"/>
      </left>
      <right style="thin">
        <color rgb="FFCCCCCC"/>
      </right>
      <top/>
      <bottom style="thin">
        <color rgb="FFCCCCCC"/>
      </bottom>
    </border>
    <border>
      <left style="thin">
        <color rgb="FFCCCCCC"/>
      </left>
      <right style="thin">
        <color rgb="FFCCCCCC"/>
      </right>
      <top style="thin">
        <color rgb="FFCCCCCC"/>
      </top>
      <bottom style="medium">
        <color rgb="FFD4A832"/>
      </bottom>
    </border>
    <border>
      <left style="thin">
        <color rgb="FFCCCCCC"/>
      </left>
      <right style="thin">
        <color rgb="FFCCCCCC"/>
      </right>
      <top style="thin">
        <color rgb="FFCCCCCC"/>
      </top>
      <bottom style="medium">
        <color rgb="FF3498DB"/>
      </bottom>
    </border>
    <border>
      <left style="medium">
        <color rgb="FF6AA84F"/>
      </left>
      <right/>
      <top style="medium">
        <color rgb="FF6AA84F"/>
      </top>
      <bottom/>
    </border>
    <border>
      <left/>
      <right style="medium">
        <color rgb="FF6AA84F"/>
      </right>
      <top style="medium">
        <color rgb="FF6AA84F"/>
      </top>
      <bottom/>
    </border>
    <border>
      <left style="medium">
        <color rgb="FF6AA84F"/>
      </left>
      <right/>
      <top/>
      <bottom/>
    </border>
    <border>
      <left/>
      <right style="medium">
        <color rgb="FF6AA84F"/>
      </right>
      <top/>
      <bottom/>
    </border>
    <border>
      <left style="medium">
        <color rgb="FF6AA84F"/>
      </left>
      <right/>
      <top/>
      <bottom style="medium">
        <color rgb="FF6AA84F"/>
      </bottom>
    </border>
    <border>
      <left/>
      <right style="medium">
        <color rgb="FF6AA84F"/>
      </right>
      <top/>
      <bottom style="medium">
        <color rgb="FF6AA84F"/>
      </bottom>
    </border>
    <border>
      <left/>
      <right/>
      <top/>
      <bottom style="thick">
        <color rgb="FFA7CBE3"/>
      </bottom>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0" fillId="0" fontId="3" numFmtId="0" xfId="0" applyAlignment="1" applyFont="1">
      <alignment shrinkToFit="0" vertical="center" wrapText="0"/>
    </xf>
    <xf borderId="4" fillId="3" fontId="4" numFmtId="0" xfId="0" applyAlignment="1" applyBorder="1" applyFill="1" applyFont="1">
      <alignment horizontal="center" shrinkToFit="0" vertical="center" wrapText="0"/>
    </xf>
    <xf borderId="5" fillId="0" fontId="2" numFmtId="0" xfId="0" applyBorder="1" applyFont="1"/>
    <xf borderId="6" fillId="0" fontId="2" numFmtId="0" xfId="0" applyBorder="1" applyFont="1"/>
    <xf borderId="7" fillId="4" fontId="3" numFmtId="0" xfId="0" applyAlignment="1" applyBorder="1" applyFill="1" applyFont="1">
      <alignment shrinkToFit="0" vertical="bottom" wrapText="0"/>
    </xf>
    <xf borderId="8" fillId="5" fontId="5" numFmtId="0" xfId="0" applyAlignment="1" applyBorder="1" applyFill="1" applyFont="1">
      <alignment horizontal="center" shrinkToFit="0" vertical="center" wrapText="0"/>
    </xf>
    <xf borderId="9" fillId="0" fontId="2" numFmtId="0" xfId="0" applyBorder="1" applyFont="1"/>
    <xf borderId="10" fillId="0" fontId="2" numFmtId="0" xfId="0" applyBorder="1" applyFont="1"/>
    <xf borderId="1" fillId="2" fontId="6" numFmtId="0" xfId="0" applyAlignment="1" applyBorder="1" applyFont="1">
      <alignment horizontal="left" shrinkToFit="0" vertical="center" wrapText="0"/>
    </xf>
    <xf borderId="11" fillId="6" fontId="7" numFmtId="0" xfId="0" applyAlignment="1" applyBorder="1" applyFill="1" applyFont="1">
      <alignment horizontal="left" shrinkToFit="0" vertical="center" wrapText="1"/>
    </xf>
    <xf borderId="12" fillId="3" fontId="8" numFmtId="164" xfId="0" applyAlignment="1" applyBorder="1" applyFont="1" applyNumberFormat="1">
      <alignment horizontal="right" shrinkToFit="0" vertical="center" wrapText="0"/>
    </xf>
    <xf borderId="13" fillId="6" fontId="9" numFmtId="0" xfId="0" applyAlignment="1" applyBorder="1" applyFont="1">
      <alignment horizontal="left" shrinkToFit="0" vertical="center" wrapText="0"/>
    </xf>
    <xf borderId="14" fillId="7" fontId="4" numFmtId="0" xfId="0" applyAlignment="1" applyBorder="1" applyFill="1" applyFont="1">
      <alignment horizontal="center" shrinkToFit="0" vertical="center" wrapText="0"/>
    </xf>
    <xf borderId="15" fillId="0" fontId="2" numFmtId="0" xfId="0" applyBorder="1" applyFont="1"/>
    <xf borderId="7" fillId="6" fontId="3" numFmtId="0" xfId="0" applyAlignment="1" applyBorder="1" applyFont="1">
      <alignment shrinkToFit="0" vertical="bottom" wrapText="0"/>
    </xf>
    <xf borderId="11" fillId="6" fontId="7" numFmtId="0" xfId="0" applyAlignment="1" applyBorder="1" applyFont="1">
      <alignment horizontal="left" readingOrder="0" shrinkToFit="0" vertical="center" wrapText="1"/>
    </xf>
    <xf borderId="12" fillId="3" fontId="8" numFmtId="9" xfId="0" applyAlignment="1" applyBorder="1" applyFont="1" applyNumberFormat="1">
      <alignment horizontal="right" readingOrder="0" shrinkToFit="0" vertical="center" wrapText="0"/>
    </xf>
    <xf borderId="13" fillId="6" fontId="7" numFmtId="0" xfId="0" applyAlignment="1" applyBorder="1" applyFont="1">
      <alignment horizontal="left" shrinkToFit="0" vertical="center" wrapText="0"/>
    </xf>
    <xf borderId="12" fillId="3" fontId="8" numFmtId="49" xfId="0" applyAlignment="1" applyBorder="1" applyFont="1" applyNumberFormat="1">
      <alignment horizontal="right" shrinkToFit="0" vertical="center" wrapText="0"/>
    </xf>
    <xf borderId="16" fillId="5" fontId="10" numFmtId="164" xfId="0" applyAlignment="1" applyBorder="1" applyFont="1" applyNumberFormat="1">
      <alignment horizontal="right" shrinkToFit="0" vertical="center" wrapText="0"/>
    </xf>
    <xf borderId="12" fillId="3" fontId="8" numFmtId="165" xfId="0" applyAlignment="1" applyBorder="1" applyFont="1" applyNumberFormat="1">
      <alignment horizontal="right" shrinkToFit="0" vertical="center" wrapText="0"/>
    </xf>
    <xf borderId="12" fillId="3" fontId="8" numFmtId="49" xfId="0" applyAlignment="1" applyBorder="1" applyFont="1" applyNumberFormat="1">
      <alignment horizontal="right" readingOrder="0" shrinkToFit="0" vertical="center" wrapText="0"/>
    </xf>
    <xf borderId="16" fillId="5" fontId="10" numFmtId="2" xfId="0" applyAlignment="1" applyBorder="1" applyFont="1" applyNumberFormat="1">
      <alignment horizontal="right" shrinkToFit="0" vertical="center" wrapText="0"/>
    </xf>
    <xf borderId="13" fillId="6" fontId="7" numFmtId="0" xfId="0" applyAlignment="1" applyBorder="1" applyFont="1">
      <alignment horizontal="left" readingOrder="0" shrinkToFit="0" vertical="center" wrapText="0"/>
    </xf>
    <xf borderId="16" fillId="5" fontId="10" numFmtId="166" xfId="0" applyAlignment="1" applyBorder="1" applyFont="1" applyNumberFormat="1">
      <alignment horizontal="right" shrinkToFit="0" vertical="center" wrapText="0"/>
    </xf>
    <xf borderId="17" fillId="6" fontId="11" numFmtId="0" xfId="0" applyAlignment="1" applyBorder="1" applyFont="1">
      <alignment horizontal="left" shrinkToFit="0" vertical="center" wrapText="0"/>
    </xf>
    <xf borderId="18" fillId="0" fontId="2" numFmtId="0" xfId="0" applyBorder="1" applyFont="1"/>
    <xf borderId="16" fillId="5" fontId="10" numFmtId="167" xfId="0" applyAlignment="1" applyBorder="1" applyFont="1" applyNumberFormat="1">
      <alignment horizontal="right" shrinkToFit="0" vertical="center" wrapText="0"/>
    </xf>
    <xf borderId="12" fillId="3" fontId="8" numFmtId="10" xfId="0" applyAlignment="1" applyBorder="1" applyFont="1" applyNumberFormat="1">
      <alignment horizontal="right" shrinkToFit="0" vertical="center" wrapText="0"/>
    </xf>
    <xf borderId="12" fillId="3" fontId="8" numFmtId="168" xfId="0" applyAlignment="1" applyBorder="1" applyFont="1" applyNumberFormat="1">
      <alignment horizontal="right" shrinkToFit="0" vertical="center" wrapText="0"/>
    </xf>
    <xf borderId="12" fillId="3" fontId="8" numFmtId="1" xfId="0" applyAlignment="1" applyBorder="1" applyFont="1" applyNumberFormat="1">
      <alignment horizontal="right" shrinkToFit="0" vertical="center" wrapText="0"/>
    </xf>
    <xf borderId="12" fillId="3" fontId="8" numFmtId="49" xfId="0" applyAlignment="1" applyBorder="1" applyFont="1" applyNumberFormat="1">
      <alignment horizontal="right" shrinkToFit="0" vertical="center" wrapText="1"/>
    </xf>
    <xf borderId="13" fillId="6" fontId="12" numFmtId="0" xfId="0" applyAlignment="1" applyBorder="1" applyFont="1">
      <alignment horizontal="left" shrinkToFit="0" vertical="center" wrapText="0"/>
    </xf>
    <xf borderId="13" fillId="6" fontId="7" numFmtId="169" xfId="0" applyAlignment="1" applyBorder="1" applyFont="1" applyNumberFormat="1">
      <alignment horizontal="left" shrinkToFit="0" vertical="center" wrapText="0"/>
    </xf>
    <xf borderId="16" fillId="5" fontId="10" numFmtId="166" xfId="0" applyAlignment="1" applyBorder="1" applyFont="1" applyNumberFormat="1">
      <alignment horizontal="right" readingOrder="0" shrinkToFit="0" vertical="center" wrapText="0"/>
    </xf>
    <xf borderId="16" fillId="5" fontId="10" numFmtId="9" xfId="0" applyAlignment="1" applyBorder="1" applyFont="1" applyNumberFormat="1">
      <alignment horizontal="right" shrinkToFit="0" vertical="center" wrapText="0"/>
    </xf>
    <xf borderId="7" fillId="4" fontId="7" numFmtId="0" xfId="0" applyAlignment="1" applyBorder="1" applyFont="1">
      <alignment horizontal="left" readingOrder="0" shrinkToFit="0" vertical="center" wrapText="1"/>
    </xf>
    <xf borderId="11" fillId="6" fontId="7" numFmtId="0" xfId="0" applyAlignment="1" applyBorder="1" applyFont="1">
      <alignment horizontal="left" shrinkToFit="0" vertical="center" wrapText="0"/>
    </xf>
    <xf borderId="0" fillId="0" fontId="13" numFmtId="0" xfId="0" applyAlignment="1" applyFont="1">
      <alignment horizontal="center" shrinkToFit="0" vertical="center" wrapText="0"/>
    </xf>
    <xf borderId="0" fillId="0" fontId="14" numFmtId="0" xfId="0" applyAlignment="1" applyFont="1">
      <alignment shrinkToFit="0" vertical="center" wrapText="0"/>
    </xf>
    <xf borderId="0" fillId="0" fontId="13" numFmtId="0" xfId="0" applyAlignment="1" applyFont="1">
      <alignment shrinkToFit="0" vertical="center" wrapText="0"/>
    </xf>
    <xf borderId="0" fillId="0" fontId="3" numFmtId="0" xfId="0" applyAlignment="1" applyFont="1">
      <alignment shrinkToFit="0" vertical="bottom" wrapText="0"/>
    </xf>
    <xf borderId="7" fillId="3" fontId="3" numFmtId="0" xfId="0" applyAlignment="1" applyBorder="1" applyFont="1">
      <alignment shrinkToFit="0" vertical="bottom" wrapText="0"/>
    </xf>
    <xf borderId="7" fillId="7" fontId="3" numFmtId="0" xfId="0" applyAlignment="1" applyBorder="1" applyFont="1">
      <alignment shrinkToFit="0" vertical="bottom" wrapText="0"/>
    </xf>
    <xf borderId="7" fillId="8" fontId="3" numFmtId="0" xfId="0" applyAlignment="1" applyBorder="1" applyFill="1" applyFont="1">
      <alignment shrinkToFit="0" vertical="bottom" wrapText="0"/>
    </xf>
    <xf borderId="7" fillId="9" fontId="3" numFmtId="0" xfId="0" applyAlignment="1" applyBorder="1" applyFill="1" applyFont="1">
      <alignment shrinkToFit="0" vertical="bottom" wrapText="0"/>
    </xf>
    <xf borderId="7" fillId="2" fontId="3" numFmtId="0" xfId="0" applyAlignment="1" applyBorder="1" applyFont="1">
      <alignment shrinkToFit="0" vertical="bottom" wrapText="0"/>
    </xf>
    <xf borderId="17" fillId="2" fontId="1" numFmtId="0" xfId="0" applyAlignment="1" applyBorder="1" applyFont="1">
      <alignment horizontal="left" shrinkToFit="0" vertical="center" wrapText="0"/>
    </xf>
    <xf borderId="19" fillId="0" fontId="2" numFmtId="0" xfId="0" applyBorder="1" applyFont="1"/>
    <xf borderId="17" fillId="2" fontId="15" numFmtId="0" xfId="0" applyAlignment="1" applyBorder="1" applyFont="1">
      <alignment horizontal="right" shrinkToFit="0" vertical="center" wrapText="0"/>
    </xf>
    <xf borderId="20" fillId="4" fontId="16" numFmtId="0" xfId="0" applyAlignment="1" applyBorder="1" applyFont="1">
      <alignment horizontal="left" shrinkToFit="0" vertical="center" wrapText="0"/>
    </xf>
    <xf borderId="21" fillId="0" fontId="2" numFmtId="0" xfId="0" applyBorder="1" applyFont="1"/>
    <xf borderId="22" fillId="4" fontId="17" numFmtId="164" xfId="0" applyAlignment="1" applyBorder="1" applyFont="1" applyNumberFormat="1">
      <alignment horizontal="left" shrinkToFit="0" vertical="center" wrapText="0"/>
    </xf>
    <xf borderId="23" fillId="0" fontId="2" numFmtId="0" xfId="0" applyBorder="1" applyFont="1"/>
    <xf borderId="22" fillId="4" fontId="17" numFmtId="9" xfId="0" applyAlignment="1" applyBorder="1" applyFont="1" applyNumberFormat="1">
      <alignment horizontal="left" shrinkToFit="0" vertical="center" wrapText="0"/>
    </xf>
    <xf borderId="22" fillId="4" fontId="17" numFmtId="49" xfId="0" applyAlignment="1" applyBorder="1" applyFont="1" applyNumberFormat="1">
      <alignment horizontal="left" shrinkToFit="0" vertical="center" wrapText="0"/>
    </xf>
    <xf borderId="22" fillId="4" fontId="18" numFmtId="164" xfId="0" applyAlignment="1" applyBorder="1" applyFont="1" applyNumberFormat="1">
      <alignment horizontal="left" shrinkToFit="0" vertical="center" wrapText="0"/>
    </xf>
    <xf borderId="24" fillId="0" fontId="2" numFmtId="0" xfId="0" applyBorder="1" applyFont="1"/>
    <xf borderId="25" fillId="0" fontId="2" numFmtId="0" xfId="0" applyBorder="1" applyFont="1"/>
    <xf borderId="20" fillId="4" fontId="19" numFmtId="0" xfId="0" applyAlignment="1" applyBorder="1" applyFont="1">
      <alignment horizontal="left" shrinkToFit="0" vertical="center" wrapText="0"/>
    </xf>
    <xf borderId="26" fillId="4" fontId="3" numFmtId="0" xfId="0" applyAlignment="1" applyBorder="1" applyFont="1">
      <alignment shrinkToFit="0" vertical="bottom" wrapText="0"/>
    </xf>
    <xf borderId="20" fillId="4" fontId="19" numFmtId="49" xfId="0" applyAlignment="1" applyBorder="1" applyFont="1" applyNumberFormat="1">
      <alignment horizontal="left" shrinkToFit="0" vertical="center" wrapText="0"/>
    </xf>
    <xf borderId="27" fillId="6" fontId="5" numFmtId="0" xfId="0" applyAlignment="1" applyBorder="1" applyFont="1">
      <alignment horizontal="left" shrinkToFit="0" vertical="center" wrapText="0"/>
    </xf>
    <xf borderId="7" fillId="10" fontId="20" numFmtId="0" xfId="0" applyAlignment="1" applyBorder="1" applyFill="1" applyFont="1">
      <alignment horizontal="center" shrinkToFit="0" vertical="center" wrapText="0"/>
    </xf>
    <xf borderId="17" fillId="10" fontId="21" numFmtId="0" xfId="0" applyAlignment="1" applyBorder="1" applyFont="1">
      <alignment horizontal="left" shrinkToFit="0" vertical="bottom" wrapText="0"/>
    </xf>
    <xf borderId="7" fillId="3" fontId="22" numFmtId="0" xfId="0" applyAlignment="1" applyBorder="1" applyFont="1">
      <alignment horizontal="center" shrinkToFit="0" vertical="center" wrapText="0"/>
    </xf>
    <xf borderId="17" fillId="3" fontId="23" numFmtId="0" xfId="0" applyAlignment="1" applyBorder="1" applyFont="1">
      <alignment horizontal="left" shrinkToFit="0" vertical="bottom" wrapText="0"/>
    </xf>
    <xf borderId="7" fillId="11" fontId="24" numFmtId="0" xfId="0" applyAlignment="1" applyBorder="1" applyFill="1" applyFont="1">
      <alignment horizontal="center" shrinkToFit="0" vertical="center" wrapText="0"/>
    </xf>
    <xf borderId="17" fillId="11" fontId="25" numFmtId="0" xfId="0" applyAlignment="1" applyBorder="1" applyFont="1">
      <alignment horizontal="left" shrinkToFit="0" vertical="bottom" wrapText="0"/>
    </xf>
    <xf borderId="17" fillId="10" fontId="26" numFmtId="0" xfId="0" applyAlignment="1" applyBorder="1" applyFont="1">
      <alignment horizontal="center" readingOrder="0" shrinkToFit="0" vertical="center" wrapText="0"/>
    </xf>
    <xf borderId="17" fillId="3" fontId="6" numFmtId="0" xfId="0" applyAlignment="1" applyBorder="1" applyFont="1">
      <alignment horizontal="center" shrinkToFit="0" vertical="center" wrapText="0"/>
    </xf>
    <xf borderId="17" fillId="11" fontId="27" numFmtId="0" xfId="0" applyAlignment="1" applyBorder="1" applyFont="1">
      <alignment horizontal="center" readingOrder="0" shrinkToFit="0" vertical="center" wrapText="0"/>
    </xf>
    <xf borderId="17" fillId="6" fontId="28" numFmtId="0" xfId="0" applyAlignment="1" applyBorder="1" applyFont="1">
      <alignment horizontal="left" shrinkToFit="0" vertical="center" wrapText="0"/>
    </xf>
    <xf borderId="7" fillId="12" fontId="14" numFmtId="0" xfId="0" applyAlignment="1" applyBorder="1" applyFill="1" applyFont="1">
      <alignment shrinkToFit="0" vertical="bottom" wrapText="0"/>
    </xf>
    <xf borderId="17" fillId="6" fontId="29" numFmtId="0" xfId="0" applyAlignment="1" applyBorder="1" applyFont="1">
      <alignment horizontal="left" shrinkToFit="0" vertical="center" wrapText="0"/>
    </xf>
    <xf borderId="7" fillId="6" fontId="14" numFmtId="0" xfId="0" applyAlignment="1" applyBorder="1" applyFont="1">
      <alignment shrinkToFit="0" vertical="bottom" wrapText="0"/>
    </xf>
    <xf borderId="7" fillId="6" fontId="30" numFmtId="0" xfId="0" applyAlignment="1" applyBorder="1" applyFont="1">
      <alignment horizontal="left" shrinkToFit="0" vertical="center" wrapText="0"/>
    </xf>
    <xf borderId="7" fillId="6" fontId="28" numFmtId="164" xfId="0" applyAlignment="1" applyBorder="1" applyFont="1" applyNumberFormat="1">
      <alignment horizontal="right" shrinkToFit="0" vertical="center" wrapText="0"/>
    </xf>
    <xf borderId="7" fillId="6" fontId="29" numFmtId="164" xfId="0" applyAlignment="1" applyBorder="1" applyFont="1" applyNumberFormat="1">
      <alignment horizontal="right" shrinkToFit="0" vertical="center" wrapText="0"/>
    </xf>
    <xf borderId="28" fillId="6" fontId="28" numFmtId="0" xfId="0" applyAlignment="1" applyBorder="1" applyFont="1">
      <alignment horizontal="left" shrinkToFit="0" vertical="center" wrapText="0"/>
    </xf>
    <xf borderId="28" fillId="6" fontId="28" numFmtId="164" xfId="0" applyAlignment="1" applyBorder="1" applyFont="1" applyNumberFormat="1">
      <alignment horizontal="right" shrinkToFit="0" vertical="center" wrapText="0"/>
    </xf>
    <xf borderId="28" fillId="12" fontId="3" numFmtId="0" xfId="0" applyAlignment="1" applyBorder="1" applyFont="1">
      <alignment shrinkToFit="0" vertical="bottom" wrapText="0"/>
    </xf>
    <xf borderId="28" fillId="6" fontId="31" numFmtId="0" xfId="0" applyAlignment="1" applyBorder="1" applyFont="1">
      <alignment horizontal="left" shrinkToFit="0" vertical="center" wrapText="0"/>
    </xf>
    <xf borderId="28" fillId="6" fontId="29" numFmtId="164" xfId="0" applyAlignment="1" applyBorder="1" applyFont="1" applyNumberFormat="1">
      <alignment horizontal="right" shrinkToFit="0" vertical="center" wrapText="0"/>
    </xf>
    <xf borderId="28" fillId="6" fontId="32" numFmtId="0" xfId="0" applyAlignment="1" applyBorder="1" applyFont="1">
      <alignment horizontal="left" shrinkToFit="0" vertical="center" wrapText="0"/>
    </xf>
    <xf borderId="29" fillId="13" fontId="33" numFmtId="0" xfId="0" applyAlignment="1" applyBorder="1" applyFill="1" applyFont="1">
      <alignment horizontal="left" shrinkToFit="0" vertical="center" wrapText="0"/>
    </xf>
    <xf borderId="30" fillId="0" fontId="2" numFmtId="0" xfId="0" applyBorder="1" applyFont="1"/>
    <xf borderId="31" fillId="0" fontId="2" numFmtId="0" xfId="0" applyBorder="1" applyFont="1"/>
    <xf borderId="29" fillId="13" fontId="18" numFmtId="170" xfId="0" applyAlignment="1" applyBorder="1" applyFont="1" applyNumberFormat="1">
      <alignment horizontal="right" shrinkToFit="0" vertical="center" wrapText="0"/>
    </xf>
    <xf borderId="17" fillId="6" fontId="34" numFmtId="0" xfId="0" applyAlignment="1" applyBorder="1" applyFont="1">
      <alignment horizontal="center" shrinkToFit="0" vertical="center" wrapText="0"/>
    </xf>
    <xf borderId="17" fillId="3" fontId="35" numFmtId="0" xfId="0" applyAlignment="1" applyBorder="1" applyFont="1">
      <alignment horizontal="center" shrinkToFit="0" vertical="center" wrapText="1"/>
    </xf>
    <xf borderId="17" fillId="2" fontId="35" numFmtId="0" xfId="0" applyAlignment="1" applyBorder="1" applyFont="1">
      <alignment horizontal="center" shrinkToFit="0" vertical="center" wrapText="1"/>
    </xf>
    <xf borderId="17" fillId="7" fontId="35" numFmtId="0" xfId="0" applyAlignment="1" applyBorder="1" applyFont="1">
      <alignment horizontal="center" shrinkToFit="0" vertical="center" wrapText="1"/>
    </xf>
    <xf borderId="17" fillId="3" fontId="36" numFmtId="164" xfId="0" applyAlignment="1" applyBorder="1" applyFont="1" applyNumberFormat="1">
      <alignment horizontal="center" shrinkToFit="0" vertical="center" wrapText="0"/>
    </xf>
    <xf borderId="17" fillId="2" fontId="36" numFmtId="164" xfId="0" applyAlignment="1" applyBorder="1" applyFont="1" applyNumberFormat="1">
      <alignment horizontal="center" shrinkToFit="0" vertical="center" wrapText="0"/>
    </xf>
    <xf borderId="17" fillId="7" fontId="36" numFmtId="164" xfId="0" applyAlignment="1" applyBorder="1" applyFont="1" applyNumberFormat="1">
      <alignment horizontal="center" shrinkToFit="0" vertical="center" wrapText="0"/>
    </xf>
    <xf borderId="27" fillId="6" fontId="5" numFmtId="0" xfId="0" applyAlignment="1" applyBorder="1" applyFont="1">
      <alignment horizontal="left" readingOrder="0" shrinkToFit="0" vertical="center" wrapText="0"/>
    </xf>
    <xf borderId="32" fillId="0" fontId="37" numFmtId="0" xfId="0" applyBorder="1" applyFont="1"/>
    <xf borderId="28" fillId="6" fontId="3" numFmtId="0" xfId="0" applyAlignment="1" applyBorder="1" applyFont="1">
      <alignment shrinkToFit="0" vertical="bottom" wrapText="0"/>
    </xf>
    <xf borderId="7" fillId="10" fontId="3" numFmtId="0" xfId="0" applyAlignment="1" applyBorder="1" applyFont="1">
      <alignment shrinkToFit="0" vertical="bottom" wrapText="0"/>
    </xf>
    <xf borderId="7" fillId="13" fontId="3" numFmtId="0" xfId="0" applyAlignment="1" applyBorder="1" applyFont="1">
      <alignment shrinkToFit="0" vertical="bottom" wrapText="0"/>
    </xf>
    <xf borderId="7" fillId="11" fontId="3" numFmtId="0" xfId="0" applyAlignment="1" applyBorder="1" applyFont="1">
      <alignment shrinkToFit="0" vertical="bottom" wrapText="0"/>
    </xf>
    <xf borderId="33" fillId="10" fontId="38" numFmtId="0" xfId="0" applyAlignment="1" applyBorder="1" applyFont="1">
      <alignment horizontal="center" shrinkToFit="0" vertical="center" wrapText="0"/>
    </xf>
    <xf borderId="17" fillId="10" fontId="39" numFmtId="0" xfId="0" applyAlignment="1" applyBorder="1" applyFont="1">
      <alignment horizontal="left" shrinkToFit="0" vertical="center" wrapText="0"/>
    </xf>
    <xf borderId="33" fillId="13" fontId="40" numFmtId="0" xfId="0" applyAlignment="1" applyBorder="1" applyFont="1">
      <alignment horizontal="center" shrinkToFit="0" vertical="center" wrapText="0"/>
    </xf>
    <xf borderId="17" fillId="13" fontId="39" numFmtId="0" xfId="0" applyAlignment="1" applyBorder="1" applyFont="1">
      <alignment horizontal="left" shrinkToFit="0" vertical="center" wrapText="0"/>
    </xf>
    <xf borderId="33" fillId="11" fontId="40" numFmtId="0" xfId="0" applyAlignment="1" applyBorder="1" applyFont="1">
      <alignment horizontal="center" shrinkToFit="0" vertical="center" wrapText="0"/>
    </xf>
    <xf borderId="17" fillId="11" fontId="39" numFmtId="0" xfId="0" applyAlignment="1" applyBorder="1" applyFont="1">
      <alignment horizontal="left" shrinkToFit="0" vertical="center" wrapText="0"/>
    </xf>
    <xf borderId="34" fillId="0" fontId="2" numFmtId="0" xfId="0" applyBorder="1" applyFont="1"/>
    <xf borderId="35" fillId="10" fontId="41" numFmtId="0" xfId="0" applyAlignment="1" applyBorder="1" applyFont="1">
      <alignment horizontal="left" shrinkToFit="0" vertical="top" wrapText="1"/>
    </xf>
    <xf borderId="36" fillId="0" fontId="2" numFmtId="0" xfId="0" applyBorder="1" applyFont="1"/>
    <xf borderId="37" fillId="0" fontId="2" numFmtId="0" xfId="0" applyBorder="1" applyFont="1"/>
    <xf borderId="35" fillId="13" fontId="41" numFmtId="0" xfId="0" applyAlignment="1" applyBorder="1" applyFont="1">
      <alignment horizontal="left" readingOrder="0" shrinkToFit="0" vertical="top" wrapText="1"/>
    </xf>
    <xf borderId="35" fillId="11" fontId="41" numFmtId="0" xfId="0" applyAlignment="1" applyBorder="1" applyFont="1">
      <alignment horizontal="left" readingOrder="0" shrinkToFit="0" vertical="top" wrapText="1"/>
    </xf>
    <xf borderId="38" fillId="0" fontId="2" numFmtId="0" xfId="0" applyBorder="1" applyFont="1"/>
    <xf borderId="39" fillId="0" fontId="2" numFmtId="0" xfId="0" applyBorder="1" applyFont="1"/>
    <xf borderId="40" fillId="0" fontId="2" numFmtId="0" xfId="0" applyBorder="1" applyFont="1"/>
    <xf borderId="41" fillId="0" fontId="2" numFmtId="0" xfId="0" applyBorder="1" applyFont="1"/>
    <xf borderId="42" fillId="0" fontId="2" numFmtId="0" xfId="0" applyBorder="1" applyFont="1"/>
    <xf borderId="43" fillId="0" fontId="2" numFmtId="0" xfId="0" applyBorder="1" applyFont="1"/>
    <xf borderId="17" fillId="2" fontId="42" numFmtId="0" xfId="0" applyAlignment="1" applyBorder="1" applyFont="1">
      <alignment horizontal="right" readingOrder="0" shrinkToFit="0" vertical="center" wrapText="0"/>
    </xf>
    <xf borderId="17" fillId="3" fontId="43" numFmtId="0" xfId="0" applyAlignment="1" applyBorder="1" applyFont="1">
      <alignment horizontal="center" shrinkToFit="0" vertical="center" wrapText="0"/>
    </xf>
    <xf borderId="17" fillId="3" fontId="44" numFmtId="0" xfId="0" applyAlignment="1" applyBorder="1" applyFont="1">
      <alignment horizontal="center" shrinkToFit="0" vertical="center" wrapText="0"/>
    </xf>
    <xf borderId="17" fillId="7" fontId="45" numFmtId="0" xfId="0" applyAlignment="1" applyBorder="1" applyFont="1">
      <alignment horizontal="left" shrinkToFit="0" vertical="center" wrapText="0"/>
    </xf>
    <xf borderId="0" fillId="0" fontId="46" numFmtId="0" xfId="0" applyAlignment="1" applyFont="1">
      <alignment horizontal="left" shrinkToFit="0" vertical="center" wrapText="0"/>
    </xf>
    <xf borderId="0" fillId="0" fontId="47" numFmtId="164" xfId="0" applyAlignment="1" applyFont="1" applyNumberFormat="1">
      <alignment horizontal="right" shrinkToFit="0" vertical="center" wrapText="0"/>
    </xf>
    <xf borderId="0" fillId="0" fontId="47" numFmtId="165" xfId="0" applyAlignment="1" applyFont="1" applyNumberFormat="1">
      <alignment horizontal="right" shrinkToFit="0" vertical="center" wrapText="0"/>
    </xf>
    <xf borderId="0" fillId="0" fontId="47" numFmtId="49" xfId="0" applyAlignment="1" applyFont="1" applyNumberFormat="1">
      <alignment horizontal="right" shrinkToFit="0" vertical="center" wrapText="0"/>
    </xf>
    <xf borderId="0" fillId="0" fontId="47" numFmtId="9" xfId="0" applyAlignment="1" applyFont="1" applyNumberFormat="1">
      <alignment horizontal="right" shrinkToFit="0" vertical="center" wrapText="0"/>
    </xf>
    <xf borderId="0" fillId="0" fontId="46" numFmtId="0" xfId="0" applyAlignment="1" applyFont="1">
      <alignment horizontal="left" shrinkToFit="0" vertical="center" wrapText="1"/>
    </xf>
    <xf borderId="0" fillId="0" fontId="47" numFmtId="171" xfId="0" applyAlignment="1" applyFont="1" applyNumberFormat="1">
      <alignment horizontal="right" shrinkToFit="0" vertical="center" wrapText="0"/>
    </xf>
    <xf borderId="0" fillId="0" fontId="47" numFmtId="172" xfId="0" applyAlignment="1" applyFont="1" applyNumberFormat="1">
      <alignment horizontal="right" shrinkToFit="0" vertical="center" wrapText="0"/>
    </xf>
    <xf borderId="0" fillId="0" fontId="48" numFmtId="0" xfId="0" applyAlignment="1" applyFont="1">
      <alignment horizontal="left" shrinkToFit="0" vertical="center" wrapText="0"/>
    </xf>
    <xf borderId="17" fillId="2" fontId="49" numFmtId="0" xfId="0" applyAlignment="1" applyBorder="1" applyFont="1">
      <alignment horizontal="left" shrinkToFit="0" vertical="center" wrapText="0"/>
    </xf>
    <xf borderId="17" fillId="6" fontId="50" numFmtId="0" xfId="0" applyAlignment="1" applyBorder="1" applyFont="1">
      <alignment horizontal="left" shrinkToFit="0" vertical="center" wrapText="0"/>
    </xf>
    <xf borderId="17" fillId="14" fontId="45" numFmtId="0" xfId="0" applyAlignment="1" applyBorder="1" applyFill="1" applyFont="1">
      <alignment horizontal="left" shrinkToFit="0" vertical="center" wrapText="0"/>
    </xf>
    <xf borderId="17" fillId="3" fontId="51" numFmtId="0" xfId="0" applyAlignment="1" applyBorder="1" applyFont="1">
      <alignment horizontal="left" shrinkToFit="0" vertical="center" wrapText="0"/>
    </xf>
    <xf borderId="17" fillId="15" fontId="52" numFmtId="0" xfId="0" applyAlignment="1" applyBorder="1" applyFill="1" applyFont="1">
      <alignment horizontal="left" shrinkToFit="0" vertical="center" wrapText="0"/>
    </xf>
    <xf borderId="7" fillId="15" fontId="53" numFmtId="164" xfId="0" applyAlignment="1" applyBorder="1" applyFont="1" applyNumberFormat="1">
      <alignment horizontal="right" shrinkToFit="0" vertical="center" wrapText="0"/>
    </xf>
    <xf borderId="17" fillId="16" fontId="54" numFmtId="0" xfId="0" applyAlignment="1" applyBorder="1" applyFill="1" applyFont="1">
      <alignment horizontal="left" shrinkToFit="0" vertical="center" wrapText="0"/>
    </xf>
    <xf borderId="7" fillId="16" fontId="55" numFmtId="164" xfId="0" applyAlignment="1" applyBorder="1" applyFont="1" applyNumberFormat="1">
      <alignment horizontal="right" shrinkToFit="0" vertical="center" wrapText="0"/>
    </xf>
    <xf borderId="17" fillId="17" fontId="56" numFmtId="0" xfId="0" applyAlignment="1" applyBorder="1" applyFill="1" applyFont="1">
      <alignment horizontal="center" shrinkToFit="0" vertical="center" wrapText="1"/>
    </xf>
    <xf borderId="7" fillId="17" fontId="55" numFmtId="164" xfId="0" applyAlignment="1" applyBorder="1" applyFont="1" applyNumberFormat="1">
      <alignment horizontal="right" shrinkToFit="0" vertical="center" wrapText="0"/>
    </xf>
    <xf borderId="17" fillId="18" fontId="57" numFmtId="0" xfId="0" applyAlignment="1" applyBorder="1" applyFill="1" applyFont="1">
      <alignment horizontal="left" shrinkToFit="0" vertical="center" wrapText="1"/>
    </xf>
    <xf borderId="7" fillId="18" fontId="58" numFmtId="164" xfId="0" applyAlignment="1" applyBorder="1" applyFont="1" applyNumberFormat="1">
      <alignment horizontal="right" shrinkToFit="0" vertical="center" wrapText="0"/>
    </xf>
    <xf borderId="17" fillId="15" fontId="59" numFmtId="0" xfId="0" applyAlignment="1" applyBorder="1" applyFont="1">
      <alignment horizontal="left" shrinkToFit="0" vertical="center" wrapText="0"/>
    </xf>
    <xf borderId="7" fillId="15" fontId="60" numFmtId="164" xfId="0" applyAlignment="1" applyBorder="1" applyFont="1" applyNumberFormat="1">
      <alignment horizontal="right" shrinkToFit="0" vertical="center" wrapText="0"/>
    </xf>
    <xf borderId="17" fillId="16" fontId="61" numFmtId="0" xfId="0" applyAlignment="1" applyBorder="1" applyFont="1">
      <alignment horizontal="left" shrinkToFit="0" vertical="center" wrapText="0"/>
    </xf>
    <xf borderId="7" fillId="16" fontId="62" numFmtId="164" xfId="0" applyAlignment="1" applyBorder="1" applyFont="1" applyNumberFormat="1">
      <alignment horizontal="right" shrinkToFit="0" vertical="center" wrapText="0"/>
    </xf>
    <xf borderId="17" fillId="18" fontId="63" numFmtId="0" xfId="0" applyAlignment="1" applyBorder="1" applyFont="1">
      <alignment horizontal="left" shrinkToFit="0" vertical="center" wrapText="1"/>
    </xf>
    <xf borderId="7" fillId="18" fontId="64" numFmtId="164" xfId="0" applyAlignment="1" applyBorder="1" applyFont="1" applyNumberFormat="1">
      <alignment horizontal="right" shrinkToFit="0" vertical="center" wrapText="0"/>
    </xf>
    <xf borderId="17" fillId="18" fontId="65" numFmtId="0" xfId="0" applyAlignment="1" applyBorder="1" applyFont="1">
      <alignment horizontal="left" shrinkToFit="0" vertical="center" wrapText="0"/>
    </xf>
    <xf borderId="17" fillId="18" fontId="66" numFmtId="164" xfId="0" applyAlignment="1" applyBorder="1" applyFont="1" applyNumberFormat="1">
      <alignment horizontal="center" shrinkToFit="0" vertical="center" wrapText="0"/>
    </xf>
    <xf borderId="17" fillId="19" fontId="67" numFmtId="0" xfId="0" applyAlignment="1" applyBorder="1" applyFill="1" applyFont="1">
      <alignment horizontal="left" shrinkToFit="0" vertical="center" wrapText="1"/>
    </xf>
    <xf borderId="7" fillId="19" fontId="68" numFmtId="164" xfId="0" applyAlignment="1" applyBorder="1" applyFont="1" applyNumberFormat="1">
      <alignment horizontal="right" shrinkToFit="0" vertical="center" wrapText="0"/>
    </xf>
    <xf borderId="17" fillId="3" fontId="69" numFmtId="0" xfId="0" applyAlignment="1" applyBorder="1" applyFont="1">
      <alignment horizontal="left" shrinkToFit="0" vertical="center" wrapText="1"/>
    </xf>
    <xf borderId="0" fillId="0" fontId="70" numFmtId="0" xfId="0" applyAlignment="1" applyFont="1">
      <alignment horizontal="left" shrinkToFit="0" vertical="center" wrapText="1"/>
    </xf>
    <xf borderId="0" fillId="0" fontId="71" numFmtId="0" xfId="0" applyAlignment="1" applyFont="1">
      <alignment horizontal="left" shrinkToFit="0" vertical="center" wrapText="1"/>
    </xf>
    <xf borderId="0" fillId="0" fontId="72" numFmtId="0" xfId="0" applyAlignment="1" applyFont="1">
      <alignment horizontal="left" shrinkToFit="0" vertical="center" wrapText="1"/>
    </xf>
    <xf borderId="0" fillId="0" fontId="73" numFmtId="0" xfId="0" applyAlignment="1" applyFont="1">
      <alignment shrinkToFit="0" vertical="bottom" wrapText="0"/>
    </xf>
    <xf borderId="0" fillId="0" fontId="74" numFmtId="0" xfId="0" applyAlignment="1" applyFont="1">
      <alignment shrinkToFit="0" vertical="bottom" wrapText="0"/>
    </xf>
    <xf borderId="0" fillId="0" fontId="75" numFmtId="0" xfId="0" applyAlignment="1" applyFont="1">
      <alignment shrinkToFit="0" vertical="bottom" wrapText="0"/>
    </xf>
    <xf borderId="0" fillId="0" fontId="13" numFmtId="0" xfId="0" applyAlignment="1" applyFont="1">
      <alignment shrinkToFit="0" vertical="bottom" wrapText="0"/>
    </xf>
    <xf borderId="0" fillId="0" fontId="13" numFmtId="169" xfId="0" applyAlignment="1" applyFont="1" applyNumberFormat="1">
      <alignment shrinkToFit="0" vertical="bottom" wrapText="0"/>
    </xf>
    <xf borderId="0" fillId="0" fontId="76" numFmtId="0" xfId="0" applyAlignment="1" applyFont="1">
      <alignment shrinkToFit="0" vertical="bottom" wrapText="0"/>
    </xf>
    <xf borderId="44" fillId="3" fontId="43" numFmtId="0" xfId="0" applyAlignment="1" applyBorder="1" applyFont="1">
      <alignment horizontal="center" shrinkToFit="0" vertical="center" wrapText="0"/>
    </xf>
    <xf borderId="45" fillId="0" fontId="2" numFmtId="0" xfId="0" applyBorder="1" applyFont="1"/>
    <xf borderId="46" fillId="0" fontId="2" numFmtId="0" xfId="0" applyBorder="1" applyFont="1"/>
    <xf borderId="44" fillId="3" fontId="44" numFmtId="0" xfId="0" applyAlignment="1" applyBorder="1" applyFont="1">
      <alignment horizontal="center" shrinkToFit="0" vertical="center" wrapText="0"/>
    </xf>
    <xf borderId="44" fillId="7" fontId="45" numFmtId="0" xfId="0" applyAlignment="1" applyBorder="1" applyFont="1">
      <alignment horizontal="left" shrinkToFit="0" vertical="center" wrapText="0"/>
    </xf>
    <xf borderId="0" fillId="0" fontId="47" numFmtId="166" xfId="0" applyAlignment="1" applyFont="1" applyNumberFormat="1">
      <alignment horizontal="right" shrinkToFit="0" vertical="center" wrapText="0"/>
    </xf>
    <xf borderId="0" fillId="0" fontId="47" numFmtId="170" xfId="0" applyAlignment="1" applyFont="1" applyNumberFormat="1">
      <alignment horizontal="right" shrinkToFit="0" vertical="center" wrapText="0"/>
    </xf>
    <xf borderId="0" fillId="0" fontId="47" numFmtId="10" xfId="0" applyAlignment="1" applyFont="1" applyNumberFormat="1">
      <alignment horizontal="right" shrinkToFit="0" vertical="center" wrapText="0"/>
    </xf>
    <xf borderId="44" fillId="3" fontId="45" numFmtId="0" xfId="0" applyAlignment="1" applyBorder="1" applyFont="1">
      <alignment horizontal="left" shrinkToFit="0" vertical="center" wrapText="0"/>
    </xf>
    <xf borderId="47" fillId="7" fontId="77" numFmtId="0" xfId="0" applyAlignment="1" applyBorder="1" applyFont="1">
      <alignment horizontal="center" shrinkToFit="0" vertical="center" wrapText="1"/>
    </xf>
    <xf borderId="47" fillId="20" fontId="78" numFmtId="0" xfId="0" applyAlignment="1" applyBorder="1" applyFill="1" applyFont="1">
      <alignment horizontal="center" shrinkToFit="0" vertical="center" wrapText="1"/>
    </xf>
    <xf borderId="47" fillId="21" fontId="79" numFmtId="0" xfId="0" applyAlignment="1" applyBorder="1" applyFill="1" applyFont="1">
      <alignment horizontal="center" shrinkToFit="0" vertical="center" wrapText="1"/>
    </xf>
    <xf borderId="47" fillId="6" fontId="80" numFmtId="1" xfId="0" applyAlignment="1" applyBorder="1" applyFont="1" applyNumberFormat="1">
      <alignment horizontal="center" shrinkToFit="0" vertical="center" wrapText="0"/>
    </xf>
    <xf borderId="47" fillId="6" fontId="50" numFmtId="164" xfId="0" applyAlignment="1" applyBorder="1" applyFont="1" applyNumberFormat="1">
      <alignment horizontal="center" shrinkToFit="0" vertical="center" wrapText="0"/>
    </xf>
    <xf borderId="47" fillId="6" fontId="80" numFmtId="173" xfId="0" applyAlignment="1" applyBorder="1" applyFont="1" applyNumberFormat="1">
      <alignment horizontal="center" shrinkToFit="0" vertical="center" wrapText="0"/>
    </xf>
    <xf borderId="47" fillId="6" fontId="50" numFmtId="169" xfId="0" applyAlignment="1" applyBorder="1" applyFont="1" applyNumberFormat="1">
      <alignment horizontal="center" shrinkToFit="0" vertical="center" wrapText="0"/>
    </xf>
    <xf borderId="47" fillId="6" fontId="81" numFmtId="174" xfId="0" applyAlignment="1" applyBorder="1" applyFont="1" applyNumberFormat="1">
      <alignment horizontal="center" shrinkToFit="0" vertical="center" wrapText="0"/>
    </xf>
    <xf borderId="47" fillId="6" fontId="82" numFmtId="174" xfId="0" applyAlignment="1" applyBorder="1" applyFont="1" applyNumberFormat="1">
      <alignment horizontal="center" shrinkToFit="0" vertical="center" wrapText="0"/>
    </xf>
    <xf borderId="47" fillId="6" fontId="83" numFmtId="174" xfId="0" applyAlignment="1" applyBorder="1" applyFont="1" applyNumberFormat="1">
      <alignment horizontal="center" shrinkToFit="0" vertical="center" wrapText="0"/>
    </xf>
    <xf borderId="47" fillId="22" fontId="80" numFmtId="1" xfId="0" applyAlignment="1" applyBorder="1" applyFill="1" applyFont="1" applyNumberFormat="1">
      <alignment horizontal="center" shrinkToFit="0" vertical="center" wrapText="0"/>
    </xf>
    <xf borderId="47" fillId="22" fontId="50" numFmtId="164" xfId="0" applyAlignment="1" applyBorder="1" applyFont="1" applyNumberFormat="1">
      <alignment horizontal="center" shrinkToFit="0" vertical="center" wrapText="0"/>
    </xf>
    <xf borderId="47" fillId="22" fontId="80" numFmtId="173" xfId="0" applyAlignment="1" applyBorder="1" applyFont="1" applyNumberFormat="1">
      <alignment horizontal="center" shrinkToFit="0" vertical="center" wrapText="0"/>
    </xf>
    <xf borderId="47" fillId="22" fontId="50" numFmtId="169" xfId="0" applyAlignment="1" applyBorder="1" applyFont="1" applyNumberFormat="1">
      <alignment horizontal="center" shrinkToFit="0" vertical="center" wrapText="0"/>
    </xf>
    <xf borderId="47" fillId="22" fontId="81" numFmtId="174" xfId="0" applyAlignment="1" applyBorder="1" applyFont="1" applyNumberFormat="1">
      <alignment horizontal="center" shrinkToFit="0" vertical="center" wrapText="0"/>
    </xf>
    <xf borderId="47" fillId="22" fontId="82" numFmtId="174" xfId="0" applyAlignment="1" applyBorder="1" applyFont="1" applyNumberFormat="1">
      <alignment horizontal="center" shrinkToFit="0" vertical="center" wrapText="0"/>
    </xf>
    <xf borderId="47" fillId="22" fontId="83" numFmtId="174" xfId="0" applyAlignment="1" applyBorder="1" applyFont="1" applyNumberFormat="1">
      <alignment horizontal="center" shrinkToFit="0" vertical="center" wrapText="0"/>
    </xf>
    <xf borderId="48" fillId="6" fontId="80" numFmtId="1" xfId="0" applyAlignment="1" applyBorder="1" applyFont="1" applyNumberFormat="1">
      <alignment horizontal="center" shrinkToFit="0" vertical="center" wrapText="0"/>
    </xf>
    <xf borderId="48" fillId="6" fontId="50" numFmtId="164" xfId="0" applyAlignment="1" applyBorder="1" applyFont="1" applyNumberFormat="1">
      <alignment horizontal="center" shrinkToFit="0" vertical="center" wrapText="0"/>
    </xf>
    <xf borderId="48" fillId="6" fontId="80" numFmtId="173" xfId="0" applyAlignment="1" applyBorder="1" applyFont="1" applyNumberFormat="1">
      <alignment horizontal="center" shrinkToFit="0" vertical="center" wrapText="0"/>
    </xf>
    <xf borderId="48" fillId="6" fontId="50" numFmtId="169" xfId="0" applyAlignment="1" applyBorder="1" applyFont="1" applyNumberFormat="1">
      <alignment horizontal="center" shrinkToFit="0" vertical="center" wrapText="0"/>
    </xf>
    <xf borderId="48" fillId="6" fontId="81" numFmtId="174" xfId="0" applyAlignment="1" applyBorder="1" applyFont="1" applyNumberFormat="1">
      <alignment horizontal="center" shrinkToFit="0" vertical="center" wrapText="0"/>
    </xf>
    <xf borderId="48" fillId="6" fontId="82" numFmtId="174" xfId="0" applyAlignment="1" applyBorder="1" applyFont="1" applyNumberFormat="1">
      <alignment horizontal="center" shrinkToFit="0" vertical="center" wrapText="0"/>
    </xf>
    <xf borderId="48" fillId="6" fontId="83" numFmtId="174" xfId="0" applyAlignment="1" applyBorder="1" applyFont="1" applyNumberFormat="1">
      <alignment horizontal="center" shrinkToFit="0" vertical="center" wrapText="0"/>
    </xf>
    <xf borderId="49" fillId="22" fontId="80" numFmtId="1" xfId="0" applyAlignment="1" applyBorder="1" applyFont="1" applyNumberFormat="1">
      <alignment horizontal="center" shrinkToFit="0" vertical="center" wrapText="0"/>
    </xf>
    <xf borderId="49" fillId="22" fontId="50" numFmtId="164" xfId="0" applyAlignment="1" applyBorder="1" applyFont="1" applyNumberFormat="1">
      <alignment horizontal="center" shrinkToFit="0" vertical="center" wrapText="0"/>
    </xf>
    <xf borderId="49" fillId="22" fontId="80" numFmtId="173" xfId="0" applyAlignment="1" applyBorder="1" applyFont="1" applyNumberFormat="1">
      <alignment horizontal="center" shrinkToFit="0" vertical="center" wrapText="0"/>
    </xf>
    <xf borderId="49" fillId="22" fontId="50" numFmtId="169" xfId="0" applyAlignment="1" applyBorder="1" applyFont="1" applyNumberFormat="1">
      <alignment horizontal="center" shrinkToFit="0" vertical="center" wrapText="0"/>
    </xf>
    <xf borderId="49" fillId="22" fontId="81" numFmtId="174" xfId="0" applyAlignment="1" applyBorder="1" applyFont="1" applyNumberFormat="1">
      <alignment horizontal="center" shrinkToFit="0" vertical="center" wrapText="0"/>
    </xf>
    <xf borderId="49" fillId="22" fontId="82" numFmtId="174" xfId="0" applyAlignment="1" applyBorder="1" applyFont="1" applyNumberFormat="1">
      <alignment horizontal="center" shrinkToFit="0" vertical="center" wrapText="0"/>
    </xf>
    <xf borderId="49" fillId="22" fontId="83" numFmtId="174" xfId="0" applyAlignment="1" applyBorder="1" applyFont="1" applyNumberFormat="1">
      <alignment horizontal="center" shrinkToFit="0" vertical="center" wrapText="0"/>
    </xf>
    <xf borderId="50" fillId="6" fontId="80" numFmtId="1" xfId="0" applyAlignment="1" applyBorder="1" applyFont="1" applyNumberFormat="1">
      <alignment horizontal="center" shrinkToFit="0" vertical="center" wrapText="0"/>
    </xf>
    <xf borderId="50" fillId="6" fontId="50" numFmtId="164" xfId="0" applyAlignment="1" applyBorder="1" applyFont="1" applyNumberFormat="1">
      <alignment horizontal="center" shrinkToFit="0" vertical="center" wrapText="0"/>
    </xf>
    <xf borderId="50" fillId="6" fontId="80" numFmtId="173" xfId="0" applyAlignment="1" applyBorder="1" applyFont="1" applyNumberFormat="1">
      <alignment horizontal="center" shrinkToFit="0" vertical="center" wrapText="0"/>
    </xf>
    <xf borderId="50" fillId="6" fontId="50" numFmtId="169" xfId="0" applyAlignment="1" applyBorder="1" applyFont="1" applyNumberFormat="1">
      <alignment horizontal="center" shrinkToFit="0" vertical="center" wrapText="0"/>
    </xf>
    <xf borderId="50" fillId="6" fontId="81" numFmtId="174" xfId="0" applyAlignment="1" applyBorder="1" applyFont="1" applyNumberFormat="1">
      <alignment horizontal="center" shrinkToFit="0" vertical="center" wrapText="0"/>
    </xf>
    <xf borderId="50" fillId="6" fontId="82" numFmtId="174" xfId="0" applyAlignment="1" applyBorder="1" applyFont="1" applyNumberFormat="1">
      <alignment horizontal="center" shrinkToFit="0" vertical="center" wrapText="0"/>
    </xf>
    <xf borderId="50" fillId="6" fontId="83" numFmtId="174" xfId="0" applyAlignment="1" applyBorder="1" applyFont="1" applyNumberFormat="1">
      <alignment horizontal="center" shrinkToFit="0" vertical="center" wrapText="0"/>
    </xf>
    <xf borderId="51" fillId="22" fontId="80" numFmtId="1" xfId="0" applyAlignment="1" applyBorder="1" applyFont="1" applyNumberFormat="1">
      <alignment horizontal="center" shrinkToFit="0" vertical="center" wrapText="0"/>
    </xf>
    <xf borderId="51" fillId="22" fontId="50" numFmtId="164" xfId="0" applyAlignment="1" applyBorder="1" applyFont="1" applyNumberFormat="1">
      <alignment horizontal="center" shrinkToFit="0" vertical="center" wrapText="0"/>
    </xf>
    <xf borderId="51" fillId="22" fontId="80" numFmtId="173" xfId="0" applyAlignment="1" applyBorder="1" applyFont="1" applyNumberFormat="1">
      <alignment horizontal="center" shrinkToFit="0" vertical="center" wrapText="0"/>
    </xf>
    <xf borderId="51" fillId="22" fontId="50" numFmtId="169" xfId="0" applyAlignment="1" applyBorder="1" applyFont="1" applyNumberFormat="1">
      <alignment horizontal="center" shrinkToFit="0" vertical="center" wrapText="0"/>
    </xf>
    <xf borderId="51" fillId="22" fontId="81" numFmtId="174" xfId="0" applyAlignment="1" applyBorder="1" applyFont="1" applyNumberFormat="1">
      <alignment horizontal="center" shrinkToFit="0" vertical="center" wrapText="0"/>
    </xf>
    <xf borderId="51" fillId="22" fontId="82" numFmtId="174" xfId="0" applyAlignment="1" applyBorder="1" applyFont="1" applyNumberFormat="1">
      <alignment horizontal="center" shrinkToFit="0" vertical="center" wrapText="0"/>
    </xf>
    <xf borderId="51" fillId="22" fontId="83" numFmtId="174" xfId="0" applyAlignment="1" applyBorder="1" applyFont="1" applyNumberFormat="1">
      <alignment horizontal="center" shrinkToFit="0" vertical="center" wrapText="0"/>
    </xf>
    <xf borderId="47" fillId="23" fontId="80" numFmtId="0" xfId="0" applyAlignment="1" applyBorder="1" applyFill="1" applyFont="1">
      <alignment horizontal="center" shrinkToFit="0" vertical="center" wrapText="0"/>
    </xf>
    <xf borderId="47" fillId="23" fontId="80" numFmtId="164" xfId="0" applyAlignment="1" applyBorder="1" applyFont="1" applyNumberFormat="1">
      <alignment horizontal="center" shrinkToFit="0" vertical="center" wrapText="0"/>
    </xf>
    <xf borderId="0" fillId="0" fontId="84" numFmtId="0" xfId="0" applyAlignment="1" applyFont="1">
      <alignment shrinkToFit="0" vertical="bottom" wrapText="0"/>
    </xf>
    <xf borderId="47" fillId="24" fontId="85" numFmtId="0" xfId="0" applyAlignment="1" applyBorder="1" applyFill="1" applyFont="1">
      <alignment horizontal="center" shrinkToFit="0" vertical="center" wrapText="0"/>
    </xf>
    <xf borderId="47" fillId="6" fontId="86" numFmtId="0" xfId="0" applyAlignment="1" applyBorder="1" applyFont="1">
      <alignment horizontal="left" shrinkToFit="0" vertical="center" wrapText="0"/>
    </xf>
    <xf borderId="7" fillId="6" fontId="86" numFmtId="0" xfId="0" applyAlignment="1" applyBorder="1" applyFont="1">
      <alignment shrinkToFit="0" vertical="bottom" wrapText="0"/>
    </xf>
    <xf borderId="7" fillId="6" fontId="86" numFmtId="0" xfId="0" applyAlignment="1" applyBorder="1" applyFont="1">
      <alignment horizontal="left" shrinkToFit="0" vertical="center" wrapText="1"/>
    </xf>
    <xf borderId="47" fillId="6" fontId="86" numFmtId="0" xfId="0" applyAlignment="1" applyBorder="1" applyFont="1">
      <alignment horizontal="center" shrinkToFit="0" vertical="center" wrapText="0"/>
    </xf>
    <xf borderId="7" fillId="6" fontId="86" numFmtId="0" xfId="0" applyAlignment="1" applyBorder="1" applyFont="1">
      <alignment horizontal="center" shrinkToFit="0" vertical="center" wrapText="0"/>
    </xf>
    <xf borderId="0" fillId="0" fontId="87" numFmtId="0" xfId="0" applyAlignment="1" applyFont="1">
      <alignment shrinkToFit="0" vertical="bottom" wrapText="0"/>
    </xf>
    <xf borderId="0" fillId="0" fontId="88" numFmtId="0" xfId="0" applyAlignment="1" applyFont="1">
      <alignment shrinkToFit="0" vertical="bottom" wrapText="0"/>
    </xf>
    <xf borderId="0" fillId="0" fontId="89" numFmtId="169" xfId="0" applyAlignment="1" applyFont="1" applyNumberFormat="1">
      <alignment shrinkToFit="0" vertical="bottom" wrapText="0"/>
    </xf>
    <xf borderId="0" fillId="0" fontId="76" numFmtId="169" xfId="0" applyAlignment="1" applyFont="1" applyNumberFormat="1">
      <alignment shrinkToFit="0" vertical="bottom" wrapText="0"/>
    </xf>
    <xf borderId="0" fillId="0" fontId="76" numFmtId="169" xfId="0" applyAlignment="1" applyFont="1" applyNumberFormat="1">
      <alignment horizontal="left" shrinkToFit="0" vertical="center" wrapText="1"/>
    </xf>
    <xf borderId="0" fillId="0" fontId="89" numFmtId="169" xfId="0" applyAlignment="1" applyFont="1" applyNumberFormat="1">
      <alignment horizontal="left" shrinkToFit="0" vertical="center" wrapText="1"/>
    </xf>
    <xf borderId="17" fillId="2" fontId="90" numFmtId="0" xfId="0" applyAlignment="1" applyBorder="1" applyFont="1">
      <alignment horizontal="left" shrinkToFit="0" vertical="center" wrapText="1"/>
    </xf>
    <xf borderId="17" fillId="18" fontId="91" numFmtId="0" xfId="0" applyAlignment="1" applyBorder="1" applyFont="1">
      <alignment horizontal="left" shrinkToFit="0" vertical="center" wrapText="1"/>
    </xf>
    <xf borderId="17" fillId="7" fontId="90" numFmtId="0" xfId="0" applyAlignment="1" applyBorder="1" applyFont="1">
      <alignment horizontal="left" shrinkToFit="0" vertical="center" wrapText="1"/>
    </xf>
    <xf borderId="7" fillId="6" fontId="13" numFmtId="0" xfId="0" applyAlignment="1" applyBorder="1" applyFont="1">
      <alignment shrinkToFit="0" vertical="bottom" wrapText="0"/>
    </xf>
    <xf borderId="17" fillId="3" fontId="90" numFmtId="0" xfId="0" applyAlignment="1" applyBorder="1" applyFont="1">
      <alignment horizontal="left" shrinkToFit="0" vertical="center" wrapText="1"/>
    </xf>
    <xf borderId="7" fillId="17" fontId="92" numFmtId="0" xfId="0" applyAlignment="1" applyBorder="1" applyFont="1">
      <alignment horizontal="left" shrinkToFit="0" vertical="center" wrapText="1"/>
    </xf>
    <xf borderId="7" fillId="17" fontId="92" numFmtId="164" xfId="0" applyAlignment="1" applyBorder="1" applyFont="1" applyNumberFormat="1">
      <alignment horizontal="right" shrinkToFit="0" vertical="center" wrapText="0"/>
    </xf>
    <xf borderId="0" fillId="0" fontId="13" numFmtId="164" xfId="0" applyAlignment="1" applyFont="1" applyNumberFormat="1">
      <alignment horizontal="right" shrinkToFit="0" vertical="center" wrapText="0"/>
    </xf>
    <xf borderId="7" fillId="18" fontId="57" numFmtId="0" xfId="0" applyAlignment="1" applyBorder="1" applyFont="1">
      <alignment horizontal="left" shrinkToFit="0" vertical="center" wrapText="1"/>
    </xf>
    <xf borderId="7" fillId="18" fontId="57" numFmtId="164" xfId="0" applyAlignment="1" applyBorder="1" applyFont="1" applyNumberFormat="1">
      <alignment horizontal="right" shrinkToFit="0" vertical="center" wrapText="0"/>
    </xf>
    <xf borderId="0" fillId="0" fontId="93" numFmtId="0" xfId="0" applyAlignment="1" applyFont="1">
      <alignment horizontal="left" shrinkToFit="0" vertical="center" wrapText="1"/>
    </xf>
    <xf borderId="0" fillId="0" fontId="93" numFmtId="164" xfId="0" applyAlignment="1" applyFont="1" applyNumberFormat="1">
      <alignment horizontal="right" shrinkToFit="0" vertical="center" wrapText="0"/>
    </xf>
    <xf borderId="7" fillId="19" fontId="94" numFmtId="0" xfId="0" applyAlignment="1" applyBorder="1" applyFont="1">
      <alignment horizontal="left" shrinkToFit="0" vertical="center" wrapText="1"/>
    </xf>
    <xf borderId="7" fillId="19" fontId="94" numFmtId="164" xfId="0" applyAlignment="1" applyBorder="1" applyFont="1" applyNumberFormat="1">
      <alignment horizontal="right" shrinkToFit="0" vertical="center" wrapText="0"/>
    </xf>
    <xf borderId="0" fillId="0" fontId="13" numFmtId="10" xfId="0" applyAlignment="1" applyFont="1" applyNumberFormat="1">
      <alignment horizontal="right" shrinkToFit="0" vertical="center" wrapText="0"/>
    </xf>
    <xf borderId="7" fillId="25" fontId="92" numFmtId="0" xfId="0" applyAlignment="1" applyBorder="1" applyFill="1" applyFont="1">
      <alignment horizontal="left" shrinkToFit="0" vertical="center" wrapText="1"/>
    </xf>
    <xf borderId="7" fillId="25" fontId="92" numFmtId="164" xfId="0" applyAlignment="1" applyBorder="1" applyFont="1" applyNumberFormat="1">
      <alignment horizontal="right" shrinkToFit="0" vertical="center" wrapText="0"/>
    </xf>
    <xf borderId="52" fillId="19" fontId="94" numFmtId="0" xfId="0" applyAlignment="1" applyBorder="1" applyFont="1">
      <alignment horizontal="left" shrinkToFit="0" vertical="center" wrapText="1"/>
    </xf>
    <xf borderId="53" fillId="19" fontId="94" numFmtId="164" xfId="0" applyAlignment="1" applyBorder="1" applyFont="1" applyNumberFormat="1">
      <alignment horizontal="right" shrinkToFit="0" vertical="center" wrapText="0"/>
    </xf>
    <xf borderId="54" fillId="19" fontId="94" numFmtId="0" xfId="0" applyAlignment="1" applyBorder="1" applyFont="1">
      <alignment horizontal="left" shrinkToFit="0" vertical="center" wrapText="1"/>
    </xf>
    <xf borderId="55" fillId="19" fontId="94" numFmtId="164" xfId="0" applyAlignment="1" applyBorder="1" applyFont="1" applyNumberFormat="1">
      <alignment horizontal="right" shrinkToFit="0" vertical="center" wrapText="0"/>
    </xf>
    <xf borderId="56" fillId="19" fontId="94" numFmtId="0" xfId="0" applyAlignment="1" applyBorder="1" applyFont="1">
      <alignment horizontal="left" shrinkToFit="0" vertical="center" wrapText="1"/>
    </xf>
    <xf borderId="57" fillId="19" fontId="94" numFmtId="164" xfId="0" applyAlignment="1" applyBorder="1" applyFont="1" applyNumberFormat="1">
      <alignment horizontal="right" shrinkToFit="0" vertical="center" wrapText="0"/>
    </xf>
    <xf borderId="0" fillId="0" fontId="95" numFmtId="0" xfId="0" applyAlignment="1" applyFont="1">
      <alignment horizontal="left" shrinkToFit="0" vertical="center" wrapText="1"/>
    </xf>
    <xf borderId="17" fillId="26" fontId="96" numFmtId="0" xfId="0" applyAlignment="1" applyBorder="1" applyFill="1" applyFont="1">
      <alignment horizontal="center" shrinkToFit="0" vertical="center" wrapText="0"/>
    </xf>
    <xf borderId="0" fillId="0" fontId="14" numFmtId="0" xfId="0" applyAlignment="1" applyFont="1">
      <alignment horizontal="center" shrinkToFit="0" vertical="center" wrapText="0"/>
    </xf>
    <xf borderId="0" fillId="0" fontId="97" numFmtId="0" xfId="0" applyAlignment="1" applyFont="1">
      <alignment shrinkToFit="0" vertical="bottom" wrapText="0"/>
    </xf>
    <xf borderId="58" fillId="3" fontId="98" numFmtId="0" xfId="0" applyAlignment="1" applyBorder="1" applyFont="1">
      <alignment horizontal="center" shrinkToFit="0" vertical="center" wrapText="1"/>
    </xf>
    <xf borderId="58" fillId="27" fontId="98" numFmtId="0" xfId="0" applyAlignment="1" applyBorder="1" applyFill="1" applyFont="1">
      <alignment horizontal="center" shrinkToFit="0" vertical="center" wrapText="1"/>
    </xf>
    <xf borderId="7" fillId="3" fontId="98" numFmtId="0" xfId="0" applyAlignment="1" applyBorder="1" applyFont="1">
      <alignment horizontal="center" shrinkToFit="0" vertical="center" wrapText="1"/>
    </xf>
    <xf borderId="7" fillId="26" fontId="6" numFmtId="0" xfId="0" applyAlignment="1" applyBorder="1" applyFont="1">
      <alignment horizontal="center" shrinkToFit="0" vertical="center" wrapText="1"/>
    </xf>
    <xf borderId="7" fillId="6" fontId="99" numFmtId="0" xfId="0" applyAlignment="1" applyBorder="1" applyFont="1">
      <alignment horizontal="center" shrinkToFit="0" vertical="center" wrapText="0"/>
    </xf>
    <xf borderId="7" fillId="6" fontId="100" numFmtId="3" xfId="0" applyAlignment="1" applyBorder="1" applyFont="1" applyNumberFormat="1">
      <alignment horizontal="center" shrinkToFit="0" vertical="center" wrapText="0"/>
    </xf>
    <xf borderId="7" fillId="6" fontId="99" numFmtId="9" xfId="0" applyAlignment="1" applyBorder="1" applyFont="1" applyNumberFormat="1">
      <alignment horizontal="center" shrinkToFit="0" vertical="center" wrapText="0"/>
    </xf>
    <xf borderId="7" fillId="6" fontId="100" numFmtId="166" xfId="0" applyAlignment="1" applyBorder="1" applyFont="1" applyNumberFormat="1">
      <alignment horizontal="center" shrinkToFit="0" vertical="center" wrapText="0"/>
    </xf>
    <xf borderId="7" fillId="6" fontId="99" numFmtId="3" xfId="0" applyAlignment="1" applyBorder="1" applyFont="1" applyNumberFormat="1">
      <alignment horizontal="center" shrinkToFit="0" vertical="center" wrapText="0"/>
    </xf>
    <xf borderId="33" fillId="6" fontId="99" numFmtId="3" xfId="0" applyAlignment="1" applyBorder="1" applyFont="1" applyNumberFormat="1">
      <alignment horizontal="center" shrinkToFit="0" vertical="center" wrapText="0"/>
    </xf>
    <xf borderId="7" fillId="6" fontId="100" numFmtId="3" xfId="0" applyAlignment="1" applyBorder="1" applyFont="1" applyNumberFormat="1">
      <alignment shrinkToFit="0" vertical="bottom" wrapText="0"/>
    </xf>
    <xf borderId="7" fillId="6" fontId="100" numFmtId="166" xfId="0" applyAlignment="1" applyBorder="1" applyFont="1" applyNumberFormat="1">
      <alignment shrinkToFit="0" vertical="bottom" wrapText="0"/>
    </xf>
    <xf borderId="7" fillId="6" fontId="99" numFmtId="3" xfId="0" applyAlignment="1" applyBorder="1" applyFont="1" applyNumberFormat="1">
      <alignment shrinkToFit="0" vertical="bottom" wrapText="0"/>
    </xf>
    <xf borderId="7" fillId="6" fontId="100" numFmtId="10" xfId="0" applyAlignment="1" applyBorder="1" applyFont="1" applyNumberFormat="1">
      <alignment horizontal="center" shrinkToFit="0" vertical="center" wrapText="0"/>
    </xf>
    <xf borderId="59" fillId="28" fontId="14" numFmtId="3" xfId="0" applyAlignment="1" applyBorder="1" applyFill="1" applyFont="1" applyNumberFormat="1">
      <alignment shrinkToFit="0" vertical="bottom" wrapText="0"/>
    </xf>
    <xf borderId="7" fillId="22" fontId="99" numFmtId="0" xfId="0" applyAlignment="1" applyBorder="1" applyFont="1">
      <alignment horizontal="center" shrinkToFit="0" vertical="center" wrapText="0"/>
    </xf>
    <xf borderId="7" fillId="22" fontId="100" numFmtId="3" xfId="0" applyAlignment="1" applyBorder="1" applyFont="1" applyNumberFormat="1">
      <alignment horizontal="center" shrinkToFit="0" vertical="center" wrapText="0"/>
    </xf>
    <xf borderId="7" fillId="22" fontId="99" numFmtId="9" xfId="0" applyAlignment="1" applyBorder="1" applyFont="1" applyNumberFormat="1">
      <alignment horizontal="center" shrinkToFit="0" vertical="center" wrapText="0"/>
    </xf>
    <xf borderId="7" fillId="22" fontId="100" numFmtId="166" xfId="0" applyAlignment="1" applyBorder="1" applyFont="1" applyNumberFormat="1">
      <alignment horizontal="center" shrinkToFit="0" vertical="center" wrapText="0"/>
    </xf>
    <xf borderId="7" fillId="22" fontId="99" numFmtId="3" xfId="0" applyAlignment="1" applyBorder="1" applyFont="1" applyNumberFormat="1">
      <alignment horizontal="center" shrinkToFit="0" vertical="center" wrapText="0"/>
    </xf>
    <xf borderId="7" fillId="22" fontId="100" numFmtId="3" xfId="0" applyAlignment="1" applyBorder="1" applyFont="1" applyNumberFormat="1">
      <alignment shrinkToFit="0" vertical="bottom" wrapText="0"/>
    </xf>
    <xf borderId="7" fillId="22" fontId="100" numFmtId="166" xfId="0" applyAlignment="1" applyBorder="1" applyFont="1" applyNumberFormat="1">
      <alignment shrinkToFit="0" vertical="bottom" wrapText="0"/>
    </xf>
    <xf borderId="7" fillId="22" fontId="99" numFmtId="3" xfId="0" applyAlignment="1" applyBorder="1" applyFont="1" applyNumberFormat="1">
      <alignment shrinkToFit="0" vertical="bottom" wrapText="0"/>
    </xf>
    <xf borderId="7" fillId="22" fontId="100" numFmtId="10" xfId="0" applyAlignment="1" applyBorder="1" applyFont="1" applyNumberFormat="1">
      <alignment horizontal="center" shrinkToFit="0" vertical="center" wrapText="0"/>
    </xf>
    <xf borderId="33" fillId="22" fontId="99" numFmtId="3" xfId="0" applyAlignment="1" applyBorder="1" applyFont="1" applyNumberFormat="1">
      <alignment horizontal="center" shrinkToFit="0" vertical="center" wrapText="0"/>
    </xf>
    <xf borderId="7" fillId="29" fontId="101" numFmtId="0" xfId="0" applyAlignment="1" applyBorder="1" applyFill="1" applyFont="1">
      <alignment horizontal="center" shrinkToFit="0" vertical="center" wrapText="0"/>
    </xf>
    <xf borderId="7" fillId="29" fontId="101" numFmtId="3" xfId="0" applyAlignment="1" applyBorder="1" applyFont="1" applyNumberFormat="1">
      <alignment horizontal="center" shrinkToFit="0" vertical="center" wrapText="0"/>
    </xf>
    <xf borderId="0" fillId="0" fontId="101" numFmtId="3" xfId="0" applyAlignment="1" applyFont="1" applyNumberFormat="1">
      <alignment horizontal="center" shrinkToFit="0" vertical="center" wrapText="0"/>
    </xf>
    <xf borderId="0" fillId="0" fontId="101" numFmtId="3" xfId="0" applyAlignment="1" applyFont="1" applyNumberFormat="1">
      <alignment shrinkToFit="0" vertical="bottom" wrapText="0"/>
    </xf>
    <xf borderId="17" fillId="26" fontId="6" numFmtId="0" xfId="0" applyAlignment="1" applyBorder="1" applyFont="1">
      <alignment horizontal="center" shrinkToFit="0" vertical="center" wrapText="0"/>
    </xf>
    <xf borderId="0" fillId="0" fontId="101" numFmtId="0" xfId="0" applyAlignment="1" applyFont="1">
      <alignment horizontal="center" shrinkToFit="0" vertical="center" wrapText="0"/>
    </xf>
    <xf borderId="0" fillId="0" fontId="14" numFmtId="164" xfId="0" applyAlignment="1" applyFont="1" applyNumberFormat="1">
      <alignment horizontal="center" shrinkToFit="0" vertical="center" wrapText="0"/>
    </xf>
    <xf borderId="7" fillId="30" fontId="101" numFmtId="164" xfId="0" applyAlignment="1" applyBorder="1" applyFill="1" applyFont="1" applyNumberFormat="1">
      <alignment horizontal="center" shrinkToFit="0" vertical="center" wrapText="0"/>
    </xf>
    <xf borderId="0" fillId="0" fontId="102" numFmtId="0" xfId="0" applyAlignment="1" applyFont="1">
      <alignment horizontal="center" shrinkToFit="0" vertical="center" wrapText="0"/>
    </xf>
    <xf borderId="0" fillId="0" fontId="103" numFmtId="0" xfId="0" applyAlignment="1" applyFont="1">
      <alignment horizontal="center" shrinkToFit="0" vertical="center" wrapText="0"/>
    </xf>
    <xf borderId="60" fillId="31" fontId="103" numFmtId="0" xfId="0" applyAlignment="1" applyBorder="1" applyFill="1" applyFont="1">
      <alignment horizontal="center" shrinkToFit="0" vertical="center" wrapText="0"/>
    </xf>
    <xf borderId="7" fillId="32" fontId="104" numFmtId="0" xfId="0" applyAlignment="1" applyBorder="1" applyFill="1" applyFont="1">
      <alignment horizontal="center" shrinkToFit="0" vertical="center" wrapText="0"/>
    </xf>
    <xf borderId="60" fillId="32" fontId="14" numFmtId="3" xfId="0" applyAlignment="1" applyBorder="1" applyFont="1" applyNumberFormat="1">
      <alignment horizontal="center" shrinkToFit="0" vertical="center" wrapText="0"/>
    </xf>
    <xf borderId="0" fillId="0" fontId="57" numFmtId="0" xfId="0" applyAlignment="1" applyFont="1">
      <alignment horizontal="center" shrinkToFit="0" vertical="center" wrapText="0"/>
    </xf>
    <xf borderId="0" fillId="0" fontId="104" numFmtId="169" xfId="0" applyAlignment="1" applyFont="1" applyNumberFormat="1">
      <alignment horizontal="center" shrinkToFit="0" vertical="center" wrapText="0"/>
    </xf>
    <xf borderId="0" fillId="0" fontId="94" numFmtId="0" xfId="0" applyAlignment="1" applyFont="1">
      <alignment horizontal="center" shrinkToFit="0" vertical="center" wrapText="0"/>
    </xf>
    <xf borderId="0" fillId="0" fontId="105" numFmtId="0" xfId="0" applyAlignment="1" applyFont="1">
      <alignment horizontal="center" shrinkToFit="0" vertical="center" wrapText="0"/>
    </xf>
    <xf borderId="0" fillId="0" fontId="106" numFmtId="0" xfId="0" applyAlignment="1" applyFont="1">
      <alignment horizontal="center" shrinkToFit="0" vertical="center" wrapText="0"/>
    </xf>
    <xf borderId="0" fillId="0" fontId="14" numFmtId="169" xfId="0" applyAlignment="1" applyFont="1" applyNumberFormat="1">
      <alignment horizontal="center" shrinkToFit="0" vertical="center" wrapText="0"/>
    </xf>
    <xf borderId="0" fillId="0" fontId="14" numFmtId="3" xfId="0" applyAlignment="1" applyFont="1" applyNumberFormat="1">
      <alignment horizontal="center" shrinkToFit="0" vertical="center" wrapText="0"/>
    </xf>
    <xf borderId="0" fillId="0" fontId="14" numFmtId="166" xfId="0" applyAlignment="1" applyFont="1" applyNumberFormat="1">
      <alignment horizontal="center" shrinkToFit="0" vertical="center" wrapText="0"/>
    </xf>
    <xf borderId="0" fillId="0" fontId="14" numFmtId="175" xfId="0" applyAlignment="1" applyFont="1" applyNumberFormat="1">
      <alignment horizontal="center" shrinkToFit="0" vertical="center" wrapText="0"/>
    </xf>
    <xf borderId="17" fillId="3" fontId="43" numFmtId="0" xfId="0" applyAlignment="1" applyBorder="1" applyFont="1">
      <alignment horizontal="center" shrinkToFit="0" vertical="center" wrapText="1"/>
    </xf>
    <xf borderId="17" fillId="3" fontId="107" numFmtId="0" xfId="0" applyAlignment="1" applyBorder="1" applyFont="1">
      <alignment horizontal="center" shrinkToFit="0" vertical="center" wrapText="1"/>
    </xf>
    <xf borderId="17" fillId="7" fontId="48" numFmtId="0" xfId="0" applyAlignment="1" applyBorder="1" applyFont="1">
      <alignment horizontal="left" shrinkToFit="0" vertical="center" wrapText="1"/>
    </xf>
    <xf borderId="7" fillId="18" fontId="108" numFmtId="0" xfId="0" applyAlignment="1" applyBorder="1" applyFont="1">
      <alignment shrinkToFit="0" vertical="bottom" wrapText="0"/>
    </xf>
    <xf borderId="17" fillId="18" fontId="109" numFmtId="0" xfId="0" applyAlignment="1" applyBorder="1" applyFont="1">
      <alignment horizontal="left" shrinkToFit="0" vertical="center" wrapText="1"/>
    </xf>
    <xf borderId="7" fillId="6" fontId="108" numFmtId="0" xfId="0" applyAlignment="1" applyBorder="1" applyFont="1">
      <alignment shrinkToFit="0" vertical="bottom" wrapText="0"/>
    </xf>
    <xf borderId="17" fillId="6" fontId="100" numFmtId="0" xfId="0" applyAlignment="1" applyBorder="1" applyFont="1">
      <alignment horizontal="left" shrinkToFit="0" vertical="top" wrapText="1"/>
    </xf>
    <xf borderId="0" fillId="0" fontId="110" numFmtId="0" xfId="0" applyAlignment="1" applyFont="1">
      <alignment shrinkToFit="0" vertical="bottom" wrapText="0"/>
    </xf>
    <xf borderId="0" fillId="0" fontId="111" numFmtId="0" xfId="0" applyAlignment="1" applyFont="1">
      <alignment horizontal="left" shrinkToFit="0" vertical="center" wrapText="1"/>
    </xf>
    <xf borderId="0" fillId="0" fontId="112" numFmtId="0" xfId="0" applyAlignment="1" applyFont="1">
      <alignment horizontal="left" shrinkToFit="0" vertical="center" wrapText="1"/>
    </xf>
    <xf borderId="7" fillId="15" fontId="108" numFmtId="0" xfId="0" applyAlignment="1" applyBorder="1" applyFont="1">
      <alignment shrinkToFit="0" vertical="bottom" wrapText="0"/>
    </xf>
    <xf borderId="17" fillId="15" fontId="109" numFmtId="0" xfId="0" applyAlignment="1" applyBorder="1" applyFont="1">
      <alignment horizontal="left" shrinkToFit="0" vertical="center" wrapText="1"/>
    </xf>
    <xf borderId="7" fillId="17" fontId="108" numFmtId="0" xfId="0" applyAlignment="1" applyBorder="1" applyFont="1">
      <alignment shrinkToFit="0" vertical="bottom" wrapText="0"/>
    </xf>
    <xf borderId="17" fillId="17" fontId="109" numFmtId="0" xfId="0" applyAlignment="1" applyBorder="1" applyFont="1">
      <alignment horizontal="left" shrinkToFit="0" vertical="center" wrapText="1"/>
    </xf>
    <xf borderId="7" fillId="33" fontId="108" numFmtId="0" xfId="0" applyAlignment="1" applyBorder="1" applyFill="1" applyFont="1">
      <alignment shrinkToFit="0" vertical="bottom" wrapText="0"/>
    </xf>
    <xf borderId="17" fillId="33" fontId="109" numFmtId="0" xfId="0" applyAlignment="1" applyBorder="1" applyFont="1">
      <alignment horizontal="left" shrinkToFit="0" vertical="center" wrapText="1"/>
    </xf>
    <xf borderId="7" fillId="16" fontId="108" numFmtId="0" xfId="0" applyAlignment="1" applyBorder="1" applyFont="1">
      <alignment shrinkToFit="0" vertical="bottom" wrapText="0"/>
    </xf>
    <xf borderId="17" fillId="16" fontId="109" numFmtId="0" xfId="0" applyAlignment="1" applyBorder="1" applyFont="1">
      <alignment horizontal="left" shrinkToFit="0" vertical="center" wrapText="1"/>
    </xf>
    <xf borderId="7" fillId="18" fontId="113" numFmtId="0" xfId="0" applyAlignment="1" applyBorder="1" applyFont="1">
      <alignment shrinkToFit="0" vertical="bottom" wrapText="0"/>
    </xf>
    <xf borderId="0" fillId="0" fontId="113" numFmtId="0" xfId="0" applyAlignment="1" applyFont="1">
      <alignment shrinkToFit="0" vertical="bottom" wrapText="0"/>
    </xf>
    <xf borderId="17" fillId="6" fontId="114" numFmtId="0" xfId="0" applyAlignment="1" applyBorder="1" applyFont="1">
      <alignment horizontal="left" shrinkToFit="0" vertical="top" wrapText="1"/>
    </xf>
    <xf borderId="0" fillId="0" fontId="115" numFmtId="0" xfId="0" applyAlignment="1" applyFont="1">
      <alignment horizontal="left" shrinkToFit="0" vertical="center" wrapText="1"/>
    </xf>
    <xf borderId="17" fillId="22" fontId="110" numFmtId="0" xfId="0" applyAlignment="1" applyBorder="1" applyFont="1">
      <alignment horizontal="left" shrinkToFit="0" vertical="top" wrapText="1"/>
    </xf>
    <xf borderId="0" fillId="0" fontId="116" numFmtId="0" xfId="0" applyAlignment="1" applyFont="1">
      <alignment horizontal="left" shrinkToFit="0" vertical="center" wrapText="1"/>
    </xf>
    <xf borderId="0" fillId="0" fontId="117" numFmtId="0" xfId="0" applyAlignment="1" applyFont="1">
      <alignment horizontal="left" shrinkToFit="0" vertical="center" wrapText="1"/>
    </xf>
    <xf borderId="17" fillId="3" fontId="51" numFmtId="0" xfId="0" applyAlignment="1" applyBorder="1" applyFont="1">
      <alignment shrinkToFit="0" vertical="bottom" wrapText="0"/>
    </xf>
    <xf borderId="7" fillId="22" fontId="100" numFmtId="0" xfId="0" applyAlignment="1" applyBorder="1" applyFont="1">
      <alignment horizontal="center" shrinkToFit="0" vertical="bottom" wrapText="0"/>
    </xf>
    <xf borderId="7" fillId="6" fontId="100" numFmtId="0" xfId="0" applyAlignment="1" applyBorder="1" applyFont="1">
      <alignment horizontal="center" shrinkToFit="0" vertical="bottom" wrapText="0"/>
    </xf>
    <xf borderId="7" fillId="6" fontId="100" numFmtId="2" xfId="0" applyAlignment="1" applyBorder="1" applyFont="1" applyNumberFormat="1">
      <alignment horizontal="center" shrinkToFit="0" vertical="bottom" wrapText="0"/>
    </xf>
    <xf borderId="7" fillId="22" fontId="100" numFmtId="2" xfId="0" applyAlignment="1" applyBorder="1" applyFont="1" applyNumberFormat="1">
      <alignment horizontal="center" shrinkToFit="0" vertical="bottom" wrapText="0"/>
    </xf>
    <xf borderId="17" fillId="3" fontId="118" numFmtId="0" xfId="0" applyAlignment="1" applyBorder="1" applyFont="1">
      <alignment shrinkToFit="0" vertical="bottom" wrapText="0"/>
    </xf>
    <xf borderId="7" fillId="2" fontId="98" numFmtId="0" xfId="0" applyAlignment="1" applyBorder="1" applyFont="1">
      <alignment shrinkToFit="0" vertical="bottom" wrapText="0"/>
    </xf>
    <xf borderId="7" fillId="6" fontId="100" numFmtId="9" xfId="0" applyAlignment="1" applyBorder="1" applyFont="1" applyNumberFormat="1">
      <alignment shrinkToFit="0" vertical="bottom" wrapText="0"/>
    </xf>
    <xf borderId="7" fillId="6" fontId="100" numFmtId="4" xfId="0" applyAlignment="1" applyBorder="1" applyFont="1" applyNumberFormat="1">
      <alignment shrinkToFit="0" vertical="bottom" wrapText="0"/>
    </xf>
    <xf borderId="7" fillId="22" fontId="100" numFmtId="9" xfId="0" applyAlignment="1" applyBorder="1" applyFont="1" applyNumberFormat="1">
      <alignment shrinkToFit="0" vertical="bottom" wrapText="0"/>
    </xf>
    <xf borderId="7" fillId="22" fontId="100" numFmtId="4" xfId="0" applyAlignment="1" applyBorder="1" applyFont="1" applyNumberFormat="1">
      <alignment shrinkToFit="0" vertical="bottom" wrapText="0"/>
    </xf>
    <xf borderId="7" fillId="33" fontId="100" numFmtId="0" xfId="0" applyAlignment="1" applyBorder="1" applyFont="1">
      <alignment shrinkToFit="0" vertical="bottom" wrapText="0"/>
    </xf>
    <xf borderId="7" fillId="33" fontId="99" numFmtId="3" xfId="0" applyAlignment="1" applyBorder="1" applyFont="1" applyNumberFormat="1">
      <alignment shrinkToFit="0" vertical="bottom" wrapText="0"/>
    </xf>
    <xf borderId="7" fillId="33" fontId="99" numFmtId="166" xfId="0" applyAlignment="1" applyBorder="1" applyFont="1" applyNumberFormat="1">
      <alignment shrinkToFit="0" vertical="bottom" wrapText="0"/>
    </xf>
    <xf borderId="0" fillId="0" fontId="119" numFmtId="0" xfId="0" applyAlignment="1" applyFont="1">
      <alignment shrinkToFit="0" vertical="bottom" wrapText="0"/>
    </xf>
    <xf borderId="7" fillId="6" fontId="46" numFmtId="3" xfId="0" applyAlignment="1" applyBorder="1" applyFont="1" applyNumberFormat="1">
      <alignment shrinkToFit="0" vertical="bottom" wrapText="0"/>
    </xf>
    <xf borderId="7" fillId="6" fontId="46" numFmtId="9" xfId="0" applyAlignment="1" applyBorder="1" applyFont="1" applyNumberFormat="1">
      <alignment shrinkToFit="0" vertical="bottom" wrapText="0"/>
    </xf>
    <xf borderId="7" fillId="6" fontId="46" numFmtId="0" xfId="0" applyAlignment="1" applyBorder="1" applyFont="1">
      <alignment shrinkToFit="0" vertical="bottom" wrapText="0"/>
    </xf>
    <xf borderId="7" fillId="22" fontId="46" numFmtId="3" xfId="0" applyAlignment="1" applyBorder="1" applyFont="1" applyNumberFormat="1">
      <alignment shrinkToFit="0" vertical="bottom" wrapText="0"/>
    </xf>
    <xf borderId="7" fillId="22" fontId="46" numFmtId="9" xfId="0" applyAlignment="1" applyBorder="1" applyFont="1" applyNumberFormat="1">
      <alignment shrinkToFit="0" vertical="bottom" wrapText="0"/>
    </xf>
    <xf borderId="7" fillId="22" fontId="46" numFmtId="0" xfId="0" applyAlignment="1" applyBorder="1" applyFont="1">
      <alignment shrinkToFit="0" vertical="bottom" wrapText="0"/>
    </xf>
    <xf borderId="0" fillId="0" fontId="100" numFmtId="0" xfId="0" applyAlignment="1" applyFont="1">
      <alignment shrinkToFit="0" vertical="bottom" wrapText="0"/>
    </xf>
    <xf borderId="0" fillId="0" fontId="99" numFmtId="3" xfId="0" applyAlignment="1" applyFont="1" applyNumberFormat="1">
      <alignment shrinkToFit="0" vertical="bottom" wrapText="0"/>
    </xf>
    <xf borderId="0" fillId="0" fontId="120" numFmtId="0" xfId="0" applyAlignment="1" applyFont="1">
      <alignment shrinkToFit="0" vertical="bottom" wrapText="0"/>
    </xf>
    <xf borderId="0" fillId="0" fontId="121" numFmtId="0" xfId="0" applyAlignment="1" applyFont="1">
      <alignment shrinkToFit="0" vertical="bottom" wrapText="0"/>
    </xf>
    <xf borderId="0" fillId="0" fontId="122" numFmtId="0" xfId="0" applyAlignment="1" applyFont="1">
      <alignment horizontal="center" shrinkToFit="0" vertical="center" wrapText="0"/>
    </xf>
    <xf borderId="60" fillId="22" fontId="99" numFmtId="176" xfId="0" applyAlignment="1" applyBorder="1" applyFont="1" applyNumberFormat="1">
      <alignment horizontal="center" shrinkToFit="0" vertical="center" wrapText="0"/>
    </xf>
    <xf borderId="60" fillId="22" fontId="100" numFmtId="177" xfId="0" applyAlignment="1" applyBorder="1" applyFont="1" applyNumberFormat="1">
      <alignment horizontal="center" shrinkToFit="0" vertical="center" wrapText="0"/>
    </xf>
    <xf borderId="60" fillId="6" fontId="99" numFmtId="10" xfId="0" applyAlignment="1" applyBorder="1" applyFont="1" applyNumberFormat="1">
      <alignment horizontal="center" shrinkToFit="0" vertical="center" wrapText="0"/>
    </xf>
    <xf borderId="60" fillId="6" fontId="100" numFmtId="177" xfId="0" applyAlignment="1" applyBorder="1" applyFont="1" applyNumberFormat="1">
      <alignment horizontal="center" shrinkToFit="0" vertical="center" wrapText="0"/>
    </xf>
    <xf borderId="60" fillId="22" fontId="99" numFmtId="1" xfId="0" applyAlignment="1" applyBorder="1" applyFont="1" applyNumberFormat="1">
      <alignment horizontal="center" shrinkToFit="0" vertical="center" wrapText="0"/>
    </xf>
    <xf borderId="60" fillId="22" fontId="99" numFmtId="177" xfId="0" applyAlignment="1" applyBorder="1" applyFont="1" applyNumberFormat="1">
      <alignment horizontal="center" shrinkToFit="0" vertical="center" wrapText="0"/>
    </xf>
    <xf borderId="60" fillId="34" fontId="123" numFmtId="1" xfId="0" applyAlignment="1" applyBorder="1" applyFill="1" applyFont="1" applyNumberFormat="1">
      <alignment horizontal="center" shrinkToFit="0" vertical="center" wrapText="0"/>
    </xf>
    <xf borderId="60" fillId="22" fontId="100" numFmtId="10" xfId="0" applyAlignment="1" applyBorder="1" applyFont="1" applyNumberFormat="1">
      <alignment horizontal="center" shrinkToFit="0" vertical="center" wrapText="0"/>
    </xf>
    <xf borderId="60" fillId="6" fontId="99" numFmtId="0" xfId="0" applyAlignment="1" applyBorder="1" applyFont="1">
      <alignment horizontal="center" shrinkToFit="0" vertical="center" wrapText="0"/>
    </xf>
    <xf borderId="60" fillId="22" fontId="100" numFmtId="0" xfId="0" applyAlignment="1" applyBorder="1" applyFont="1">
      <alignment horizontal="center" shrinkToFit="0" vertical="center" wrapText="0"/>
    </xf>
    <xf borderId="60" fillId="22" fontId="99" numFmtId="0" xfId="0" applyAlignment="1" applyBorder="1" applyFont="1">
      <alignment horizontal="center" shrinkToFit="0" vertical="center" wrapText="0"/>
    </xf>
    <xf borderId="60" fillId="22" fontId="100" numFmtId="169" xfId="0" applyAlignment="1" applyBorder="1" applyFont="1" applyNumberFormat="1">
      <alignment horizontal="center" shrinkToFit="0" vertical="center" wrapText="0"/>
    </xf>
    <xf borderId="60" fillId="6" fontId="100" numFmtId="0" xfId="0" applyAlignment="1" applyBorder="1" applyFont="1">
      <alignment horizontal="center" shrinkToFit="0" vertical="center" wrapText="0"/>
    </xf>
    <xf borderId="60" fillId="6" fontId="100" numFmtId="169" xfId="0" applyAlignment="1" applyBorder="1" applyFont="1" applyNumberFormat="1">
      <alignment horizontal="center" shrinkToFit="0" vertical="center" wrapText="0"/>
    </xf>
    <xf borderId="60" fillId="35" fontId="13" numFmtId="0" xfId="0" applyAlignment="1" applyBorder="1" applyFill="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Avec Jeanbrun (0%)</c:v>
          </c:tx>
          <c:spPr>
            <a:ln cmpd="sng" w="19050">
              <a:solidFill>
                <a:srgbClr val="3761AD">
                  <a:alpha val="100000"/>
                </a:srgbClr>
              </a:solidFill>
            </a:ln>
          </c:spPr>
          <c:marker>
            <c:symbol val="circle"/>
            <c:size val="10"/>
            <c:spPr>
              <a:solidFill>
                <a:srgbClr val="3761AD">
                  <a:alpha val="100000"/>
                </a:srgbClr>
              </a:solidFill>
              <a:ln cmpd="sng">
                <a:solidFill>
                  <a:srgbClr val="3761AD">
                    <a:alpha val="100000"/>
                  </a:srgbClr>
                </a:solidFill>
              </a:ln>
            </c:spPr>
          </c:marker>
          <c:cat>
            <c:strRef>
              <c:f>Moteur!$C$59:$AA$59</c:f>
            </c:strRef>
          </c:cat>
          <c:val>
            <c:numRef>
              <c:f>'Synthèse client - simplifiée'!$B$94:$Z$94</c:f>
              <c:numCache/>
            </c:numRef>
          </c:val>
          <c:smooth val="1"/>
        </c:ser>
        <c:ser>
          <c:idx val="1"/>
          <c:order val="1"/>
          <c:tx>
            <c:v>Avec Jeanbrun (+1,5%/an)</c:v>
          </c:tx>
          <c:spPr>
            <a:ln cmpd="sng" w="19050">
              <a:solidFill>
                <a:srgbClr val="009FA3">
                  <a:alpha val="100000"/>
                </a:srgbClr>
              </a:solidFill>
            </a:ln>
          </c:spPr>
          <c:marker>
            <c:symbol val="circle"/>
            <c:size val="10"/>
            <c:spPr>
              <a:solidFill>
                <a:srgbClr val="009FA3">
                  <a:alpha val="100000"/>
                </a:srgbClr>
              </a:solidFill>
              <a:ln cmpd="sng">
                <a:solidFill>
                  <a:srgbClr val="009FA3">
                    <a:alpha val="100000"/>
                  </a:srgbClr>
                </a:solidFill>
              </a:ln>
            </c:spPr>
          </c:marker>
          <c:cat>
            <c:strRef>
              <c:f>Moteur!$C$59:$AA$59</c:f>
            </c:strRef>
          </c:cat>
          <c:val>
            <c:numRef>
              <c:f>'Synthèse client - simplifiée'!$B$95:$Z$95</c:f>
              <c:numCache/>
            </c:numRef>
          </c:val>
          <c:smooth val="1"/>
        </c:ser>
        <c:axId val="439851592"/>
        <c:axId val="1159139806"/>
      </c:lineChart>
      <c:catAx>
        <c:axId val="4398515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1F4E79"/>
                </a:solidFill>
                <a:latin typeface="Calibri"/>
              </a:defRPr>
            </a:pPr>
          </a:p>
        </c:txPr>
        <c:crossAx val="1159139806"/>
      </c:catAx>
      <c:valAx>
        <c:axId val="11591398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a:lstStyle/>
          <a:p>
            <a:pPr lvl="0">
              <a:defRPr b="0" i="0" sz="1400">
                <a:solidFill>
                  <a:srgbClr val="1F4E79"/>
                </a:solidFill>
                <a:latin typeface="Calibri"/>
              </a:defRPr>
            </a:pPr>
          </a:p>
        </c:txPr>
        <c:crossAx val="439851592"/>
      </c:valAx>
    </c:plotArea>
    <c:legend>
      <c:legendPos val="b"/>
      <c:overlay val="0"/>
      <c:txPr>
        <a:bodyPr/>
        <a:lstStyle/>
        <a:p>
          <a:pPr lvl="0">
            <a:defRPr b="0" i="0" sz="14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Capital net constitué à la revente = Prix de vente − Capital restant dû − Impôt sur la plus-value</a:t>
            </a:r>
          </a:p>
        </c:rich>
      </c:tx>
      <c:overlay val="0"/>
    </c:title>
    <c:plotArea>
      <c:layout/>
      <c:lineChart>
        <c:ser>
          <c:idx val="0"/>
          <c:order val="0"/>
          <c:tx>
            <c:v>Avec Jeanbrun (revalo. 0%)</c:v>
          </c:tx>
          <c:spPr>
            <a:ln cmpd="sng" w="19050">
              <a:solidFill>
                <a:srgbClr val="3761AD">
                  <a:alpha val="100000"/>
                </a:srgbClr>
              </a:solidFill>
            </a:ln>
          </c:spPr>
          <c:marker>
            <c:symbol val="none"/>
          </c:marker>
          <c:cat>
            <c:strRef>
              <c:f>'Synthèse client - simplifiée'!$B$93:$Z$93</c:f>
            </c:strRef>
          </c:cat>
          <c:val>
            <c:numRef>
              <c:f>'Synthèse client - simplifiée'!$B$94:$Z$94</c:f>
              <c:numCache/>
            </c:numRef>
          </c:val>
          <c:smooth val="1"/>
        </c:ser>
        <c:ser>
          <c:idx val="1"/>
          <c:order val="1"/>
          <c:tx>
            <c:v>Avec Jeanbrun (revalo. 1,5%/an)</c:v>
          </c:tx>
          <c:spPr>
            <a:ln cmpd="sng" w="19050">
              <a:solidFill>
                <a:srgbClr val="009FA3">
                  <a:alpha val="100000"/>
                </a:srgbClr>
              </a:solidFill>
            </a:ln>
          </c:spPr>
          <c:marker>
            <c:symbol val="none"/>
          </c:marker>
          <c:cat>
            <c:strRef>
              <c:f>'Synthèse client - simplifiée'!$B$93:$Z$93</c:f>
            </c:strRef>
          </c:cat>
          <c:val>
            <c:numRef>
              <c:f>'Synthèse client - simplifiée'!$B$95:$Z$95</c:f>
              <c:numCache/>
            </c:numRef>
          </c:val>
          <c:smooth val="1"/>
        </c:ser>
        <c:axId val="1811515400"/>
        <c:axId val="160981634"/>
      </c:lineChart>
      <c:catAx>
        <c:axId val="1811515400"/>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Année de revente</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160981634"/>
      </c:catAx>
      <c:valAx>
        <c:axId val="16098163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a:t>
                </a:r>
              </a:p>
            </c:rich>
          </c:tx>
          <c:overlay val="0"/>
        </c:title>
        <c:numFmt formatCode="#,##0&quot; €&quot;" sourceLinked="0"/>
        <c:majorTickMark val="none"/>
        <c:minorTickMark val="none"/>
        <c:tickLblPos val="nextTo"/>
        <c:spPr>
          <a:ln/>
        </c:spPr>
        <c:txPr>
          <a:bodyPr/>
          <a:lstStyle/>
          <a:p>
            <a:pPr lvl="0">
              <a:defRPr b="0" i="0" sz="1000">
                <a:solidFill>
                  <a:srgbClr val="000000"/>
                </a:solidFill>
                <a:latin typeface="Calibri"/>
              </a:defRPr>
            </a:pPr>
          </a:p>
        </c:txPr>
        <c:crossAx val="1811515400"/>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Bilan net total : = (Prix de vente − CRD − Impôt PV) − (Apport + Σ effort d'épargne mensuel × 12)</a:t>
            </a:r>
          </a:p>
        </c:rich>
      </c:tx>
      <c:overlay val="0"/>
    </c:title>
    <c:plotArea>
      <c:layout/>
      <c:lineChart>
        <c:ser>
          <c:idx val="0"/>
          <c:order val="0"/>
          <c:tx>
            <c:v>Sans Jeanbrun (revalo. 0%)</c:v>
          </c:tx>
          <c:spPr>
            <a:ln cmpd="sng" w="19050">
              <a:solidFill>
                <a:srgbClr val="E57373">
                  <a:alpha val="100000"/>
                </a:srgbClr>
              </a:solidFill>
              <a:prstDash val="dash"/>
            </a:ln>
          </c:spPr>
          <c:marker>
            <c:symbol val="none"/>
          </c:marker>
          <c:cat>
            <c:strRef>
              <c:f>'Synthèse client - simplifiée'!$B$93:$Z$93</c:f>
            </c:strRef>
          </c:cat>
          <c:val>
            <c:numRef>
              <c:f>'Synthèse client - simplifiée'!$B$101:$Z$101</c:f>
              <c:numCache/>
            </c:numRef>
          </c:val>
          <c:smooth val="1"/>
        </c:ser>
        <c:ser>
          <c:idx val="1"/>
          <c:order val="1"/>
          <c:tx>
            <c:v>Avec Jeanbrun (revalo. 0%)</c:v>
          </c:tx>
          <c:spPr>
            <a:ln cmpd="sng" w="19050">
              <a:solidFill>
                <a:srgbClr val="3761AD">
                  <a:alpha val="100000"/>
                </a:srgbClr>
              </a:solidFill>
            </a:ln>
          </c:spPr>
          <c:marker>
            <c:symbol val="none"/>
          </c:marker>
          <c:cat>
            <c:strRef>
              <c:f>'Synthèse client - simplifiée'!$B$93:$Z$93</c:f>
            </c:strRef>
          </c:cat>
          <c:val>
            <c:numRef>
              <c:f>'Synthèse client - simplifiée'!$B$99:$Z$99</c:f>
              <c:numCache/>
            </c:numRef>
          </c:val>
          <c:smooth val="1"/>
        </c:ser>
        <c:ser>
          <c:idx val="2"/>
          <c:order val="2"/>
          <c:tx>
            <c:v>Avec Jeanbrun (revalo. 1,5%/an)</c:v>
          </c:tx>
          <c:spPr>
            <a:ln cmpd="sng" w="19050">
              <a:solidFill>
                <a:srgbClr val="009FA3">
                  <a:alpha val="100000"/>
                </a:srgbClr>
              </a:solidFill>
            </a:ln>
          </c:spPr>
          <c:marker>
            <c:symbol val="none"/>
          </c:marker>
          <c:cat>
            <c:strRef>
              <c:f>'Synthèse client - simplifiée'!$B$93:$Z$93</c:f>
            </c:strRef>
          </c:cat>
          <c:val>
            <c:numRef>
              <c:f>'Synthèse client - simplifiée'!$B$100:$Z$100</c:f>
              <c:numCache/>
            </c:numRef>
          </c:val>
          <c:smooth val="1"/>
        </c:ser>
        <c:axId val="4202452"/>
        <c:axId val="994746847"/>
      </c:lineChart>
      <c:catAx>
        <c:axId val="4202452"/>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Année de revente</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994746847"/>
      </c:catAx>
      <c:valAx>
        <c:axId val="99474684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a:t>
                </a:r>
              </a:p>
            </c:rich>
          </c:tx>
          <c:overlay val="0"/>
        </c:title>
        <c:numFmt formatCode="#,##0&quot; €&quot;" sourceLinked="0"/>
        <c:majorTickMark val="none"/>
        <c:minorTickMark val="none"/>
        <c:tickLblPos val="nextTo"/>
        <c:spPr>
          <a:ln/>
        </c:spPr>
        <c:txPr>
          <a:bodyPr/>
          <a:lstStyle/>
          <a:p>
            <a:pPr lvl="0">
              <a:defRPr b="0" i="0" sz="1000">
                <a:solidFill>
                  <a:srgbClr val="000000"/>
                </a:solidFill>
                <a:latin typeface="Calibri"/>
              </a:defRPr>
            </a:pPr>
          </a:p>
        </c:txPr>
        <c:crossAx val="4202452"/>
      </c:valAx>
    </c:plotArea>
    <c:legend>
      <c:legendPos val="b"/>
      <c:overlay val="0"/>
      <c:txPr>
        <a:bodyPr/>
        <a:lstStyle/>
        <a:p>
          <a:pPr lvl="0">
            <a:defRPr b="0" i="0" sz="1400">
              <a:solidFill>
                <a:srgbClr val="000000"/>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Capital net constitué à la revente = Prix de vente − Capital restant dû − Impôt sur la plus-value</a:t>
            </a:r>
          </a:p>
        </c:rich>
      </c:tx>
      <c:overlay val="0"/>
    </c:title>
    <c:plotArea>
      <c:layout/>
      <c:lineChart>
        <c:ser>
          <c:idx val="0"/>
          <c:order val="0"/>
          <c:tx>
            <c:v>Avec Jeanbrun (revalo. 0%)</c:v>
          </c:tx>
          <c:spPr>
            <a:ln cmpd="sng" w="19050">
              <a:solidFill>
                <a:srgbClr val="3761AD">
                  <a:alpha val="100000"/>
                </a:srgbClr>
              </a:solidFill>
            </a:ln>
          </c:spPr>
          <c:marker>
            <c:symbol val="none"/>
          </c:marker>
          <c:cat>
            <c:strRef>
              <c:f>'Synthèse Client - détaillée'!$B$244:$Z$244</c:f>
            </c:strRef>
          </c:cat>
          <c:val>
            <c:numRef>
              <c:f>'Synthèse Client - détaillée'!$B$245:$Z$245</c:f>
              <c:numCache/>
            </c:numRef>
          </c:val>
          <c:smooth val="1"/>
        </c:ser>
        <c:ser>
          <c:idx val="1"/>
          <c:order val="1"/>
          <c:tx>
            <c:v>Avec Jeanbrun (revalo. 1,5%/an)</c:v>
          </c:tx>
          <c:spPr>
            <a:ln cmpd="sng" w="19050">
              <a:solidFill>
                <a:srgbClr val="009FA3">
                  <a:alpha val="100000"/>
                </a:srgbClr>
              </a:solidFill>
            </a:ln>
          </c:spPr>
          <c:marker>
            <c:symbol val="none"/>
          </c:marker>
          <c:cat>
            <c:strRef>
              <c:f>'Synthèse Client - détaillée'!$B$244:$Z$244</c:f>
            </c:strRef>
          </c:cat>
          <c:val>
            <c:numRef>
              <c:f>'Synthèse Client - détaillée'!$B$246:$Z$246</c:f>
              <c:numCache/>
            </c:numRef>
          </c:val>
          <c:smooth val="1"/>
        </c:ser>
        <c:axId val="1780370617"/>
        <c:axId val="693871911"/>
      </c:lineChart>
      <c:catAx>
        <c:axId val="1780370617"/>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Année de revente</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693871911"/>
      </c:catAx>
      <c:valAx>
        <c:axId val="69387191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a:t>
                </a:r>
              </a:p>
            </c:rich>
          </c:tx>
          <c:overlay val="0"/>
        </c:title>
        <c:numFmt formatCode="#,##0&quot; €&quot;" sourceLinked="0"/>
        <c:majorTickMark val="none"/>
        <c:minorTickMark val="none"/>
        <c:tickLblPos val="nextTo"/>
        <c:spPr>
          <a:ln/>
        </c:spPr>
        <c:txPr>
          <a:bodyPr/>
          <a:lstStyle/>
          <a:p>
            <a:pPr lvl="0">
              <a:defRPr b="0" i="0" sz="1000">
                <a:solidFill>
                  <a:srgbClr val="000000"/>
                </a:solidFill>
                <a:latin typeface="Calibri"/>
              </a:defRPr>
            </a:pPr>
          </a:p>
        </c:txPr>
        <c:crossAx val="1780370617"/>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Bilan net total (Prix de vente − CRD − Impôt PV) − (Apport + Σ effort d'épargne mensuel × 12)</a:t>
            </a:r>
          </a:p>
        </c:rich>
      </c:tx>
      <c:overlay val="0"/>
    </c:title>
    <c:plotArea>
      <c:layout/>
      <c:lineChart>
        <c:ser>
          <c:idx val="0"/>
          <c:order val="0"/>
          <c:tx>
            <c:v>Sans Jeanbrun (revalo. 0%)</c:v>
          </c:tx>
          <c:spPr>
            <a:ln cmpd="sng" w="19050">
              <a:solidFill>
                <a:srgbClr val="E57373">
                  <a:alpha val="100000"/>
                </a:srgbClr>
              </a:solidFill>
              <a:prstDash val="dash"/>
            </a:ln>
          </c:spPr>
          <c:marker>
            <c:symbol val="none"/>
          </c:marker>
          <c:cat>
            <c:strRef>
              <c:f>'Synthèse Client - détaillée'!$B$244:$Z$244</c:f>
            </c:strRef>
          </c:cat>
          <c:val>
            <c:numRef>
              <c:f>'Synthèse Client - détaillée'!$B$252:$Z$252</c:f>
              <c:numCache/>
            </c:numRef>
          </c:val>
          <c:smooth val="1"/>
        </c:ser>
        <c:ser>
          <c:idx val="1"/>
          <c:order val="1"/>
          <c:tx>
            <c:v>Avec Jeanbrun (revalo. 0%)</c:v>
          </c:tx>
          <c:spPr>
            <a:ln cmpd="sng" w="19050">
              <a:solidFill>
                <a:srgbClr val="3761AD">
                  <a:alpha val="100000"/>
                </a:srgbClr>
              </a:solidFill>
            </a:ln>
          </c:spPr>
          <c:marker>
            <c:symbol val="none"/>
          </c:marker>
          <c:cat>
            <c:strRef>
              <c:f>'Synthèse Client - détaillée'!$B$244:$Z$244</c:f>
            </c:strRef>
          </c:cat>
          <c:val>
            <c:numRef>
              <c:f>'Synthèse Client - détaillée'!$B$250:$Z$250</c:f>
              <c:numCache/>
            </c:numRef>
          </c:val>
          <c:smooth val="1"/>
        </c:ser>
        <c:ser>
          <c:idx val="2"/>
          <c:order val="2"/>
          <c:tx>
            <c:v>Avec Jeanbrun (revalo. 1,5%/an)</c:v>
          </c:tx>
          <c:spPr>
            <a:ln cmpd="sng" w="19050">
              <a:solidFill>
                <a:srgbClr val="009FA3">
                  <a:alpha val="100000"/>
                </a:srgbClr>
              </a:solidFill>
            </a:ln>
          </c:spPr>
          <c:marker>
            <c:symbol val="none"/>
          </c:marker>
          <c:cat>
            <c:strRef>
              <c:f>'Synthèse Client - détaillée'!$B$244:$Z$244</c:f>
            </c:strRef>
          </c:cat>
          <c:val>
            <c:numRef>
              <c:f>'Synthèse Client - détaillée'!$B$251:$Z$251</c:f>
              <c:numCache/>
            </c:numRef>
          </c:val>
          <c:smooth val="1"/>
        </c:ser>
        <c:axId val="5917015"/>
        <c:axId val="727743684"/>
      </c:lineChart>
      <c:catAx>
        <c:axId val="5917015"/>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Année de revente</a:t>
                </a:r>
              </a:p>
            </c:rich>
          </c:tx>
          <c:overlay val="0"/>
        </c:title>
        <c:numFmt formatCode="General" sourceLinked="0"/>
        <c:majorTickMark val="none"/>
        <c:minorTickMark val="none"/>
        <c:spPr/>
        <c:txPr>
          <a:bodyPr/>
          <a:lstStyle/>
          <a:p>
            <a:pPr lvl="0">
              <a:defRPr b="0" i="0" sz="1000">
                <a:solidFill>
                  <a:srgbClr val="000000"/>
                </a:solidFill>
                <a:latin typeface="Calibri"/>
              </a:defRPr>
            </a:pPr>
          </a:p>
        </c:txPr>
        <c:crossAx val="727743684"/>
      </c:catAx>
      <c:valAx>
        <c:axId val="72774368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a:t>
                </a:r>
              </a:p>
            </c:rich>
          </c:tx>
          <c:overlay val="0"/>
        </c:title>
        <c:numFmt formatCode="#,##0&quot; €&quot;" sourceLinked="0"/>
        <c:majorTickMark val="none"/>
        <c:minorTickMark val="none"/>
        <c:tickLblPos val="nextTo"/>
        <c:spPr>
          <a:ln/>
        </c:spPr>
        <c:txPr>
          <a:bodyPr/>
          <a:lstStyle/>
          <a:p>
            <a:pPr lvl="0">
              <a:defRPr b="0" i="0" sz="1000">
                <a:solidFill>
                  <a:srgbClr val="000000"/>
                </a:solidFill>
                <a:latin typeface="Calibri"/>
              </a:defRPr>
            </a:pPr>
          </a:p>
        </c:txPr>
        <c:crossAx val="5917015"/>
      </c:valAx>
    </c:plotArea>
    <c:legend>
      <c:legendPos val="b"/>
      <c:overlay val="0"/>
      <c:txPr>
        <a:bodyPr/>
        <a:lstStyle/>
        <a:p>
          <a:pPr lvl="0">
            <a:defRPr b="0" i="0" sz="1400">
              <a:solidFill>
                <a:srgbClr val="000000"/>
              </a:solidFill>
              <a:latin typeface="Calibri"/>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819150</xdr:colOff>
      <xdr:row>23</xdr:row>
      <xdr:rowOff>152400</xdr:rowOff>
    </xdr:from>
    <xdr:ext cx="4876800" cy="2419350"/>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38100</xdr:colOff>
      <xdr:row>47</xdr:row>
      <xdr:rowOff>0</xdr:rowOff>
    </xdr:from>
    <xdr:ext cx="8991600" cy="436245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514350</xdr:colOff>
      <xdr:row>47</xdr:row>
      <xdr:rowOff>0</xdr:rowOff>
    </xdr:from>
    <xdr:ext cx="9010650" cy="4305300"/>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161925</xdr:colOff>
      <xdr:row>0</xdr:row>
      <xdr:rowOff>95250</xdr:rowOff>
    </xdr:from>
    <xdr:ext cx="1190625" cy="476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428625</xdr:colOff>
      <xdr:row>48</xdr:row>
      <xdr:rowOff>57150</xdr:rowOff>
    </xdr:from>
    <xdr:ext cx="7477125" cy="4476750"/>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304800</xdr:colOff>
      <xdr:row>48</xdr:row>
      <xdr:rowOff>57150</xdr:rowOff>
    </xdr:from>
    <xdr:ext cx="7467600" cy="4476750"/>
    <xdr:graphicFrame>
      <xdr:nvGraphicFramePr>
        <xdr:cNvPr id="5" name="Chart 5"/>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304800</xdr:colOff>
      <xdr:row>0</xdr:row>
      <xdr:rowOff>38100</xdr:rowOff>
    </xdr:from>
    <xdr:ext cx="1200150" cy="4762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61AD"/>
    <pageSetUpPr/>
  </sheetPr>
  <sheetViews>
    <sheetView showGridLines="0" workbookViewId="0"/>
  </sheetViews>
  <sheetFormatPr customHeight="1" defaultColWidth="14.43" defaultRowHeight="15.0" outlineLevelRow="1"/>
  <cols>
    <col customWidth="1" min="1" max="1" width="38.0"/>
    <col customWidth="1" min="2" max="2" width="18.43"/>
    <col customWidth="1" min="3" max="4" width="10.0"/>
    <col customWidth="1" min="5" max="5" width="24.0"/>
    <col customWidth="1" min="6" max="6" width="12.0"/>
    <col customWidth="1" min="7" max="7" width="14.71"/>
  </cols>
  <sheetData>
    <row r="1" ht="30.0" customHeight="1">
      <c r="A1" s="1" t="s">
        <v>0</v>
      </c>
      <c r="B1" s="2"/>
      <c r="C1" s="2"/>
      <c r="D1" s="2"/>
      <c r="E1" s="2"/>
      <c r="F1" s="2"/>
      <c r="G1" s="3"/>
      <c r="H1" s="4"/>
      <c r="I1" s="4"/>
      <c r="J1" s="4"/>
      <c r="K1" s="4"/>
      <c r="L1" s="4"/>
      <c r="M1" s="4"/>
      <c r="N1" s="4"/>
      <c r="O1" s="4"/>
      <c r="P1" s="4"/>
      <c r="Q1" s="4"/>
      <c r="R1" s="4"/>
      <c r="S1" s="4"/>
      <c r="T1" s="4"/>
      <c r="U1" s="4"/>
      <c r="V1" s="4"/>
      <c r="W1" s="4"/>
      <c r="X1" s="4"/>
      <c r="Y1" s="4"/>
      <c r="Z1" s="4"/>
    </row>
    <row r="2" ht="21.75" customHeight="1">
      <c r="A2" s="5" t="s">
        <v>1</v>
      </c>
      <c r="B2" s="6"/>
      <c r="C2" s="7"/>
      <c r="D2" s="8"/>
      <c r="E2" s="9" t="s">
        <v>2</v>
      </c>
      <c r="F2" s="10"/>
      <c r="G2" s="11"/>
      <c r="H2" s="4"/>
      <c r="I2" s="4"/>
      <c r="J2" s="4"/>
      <c r="K2" s="4"/>
      <c r="L2" s="4"/>
      <c r="M2" s="4"/>
      <c r="N2" s="4"/>
      <c r="O2" s="4"/>
      <c r="P2" s="4"/>
      <c r="Q2" s="4"/>
      <c r="R2" s="4"/>
      <c r="S2" s="4"/>
      <c r="T2" s="4"/>
      <c r="U2" s="4"/>
      <c r="V2" s="4"/>
      <c r="W2" s="4"/>
      <c r="X2" s="4"/>
      <c r="Y2" s="4"/>
      <c r="Z2" s="4"/>
    </row>
    <row r="3" ht="21.75" customHeight="1">
      <c r="A3" s="12" t="s">
        <v>3</v>
      </c>
      <c r="B3" s="2"/>
      <c r="C3" s="2"/>
      <c r="D3" s="2"/>
      <c r="E3" s="2"/>
      <c r="F3" s="2"/>
      <c r="G3" s="3"/>
      <c r="H3" s="4"/>
      <c r="I3" s="4"/>
      <c r="J3" s="4"/>
      <c r="K3" s="4"/>
      <c r="L3" s="4"/>
      <c r="M3" s="4"/>
      <c r="N3" s="4"/>
      <c r="O3" s="4"/>
      <c r="P3" s="4"/>
      <c r="Q3" s="4"/>
      <c r="R3" s="4"/>
      <c r="S3" s="4"/>
      <c r="T3" s="4"/>
      <c r="U3" s="4"/>
      <c r="V3" s="4"/>
      <c r="W3" s="4"/>
      <c r="X3" s="4"/>
      <c r="Y3" s="4"/>
      <c r="Z3" s="4"/>
    </row>
    <row r="4" ht="19.5" customHeight="1">
      <c r="A4" s="13" t="s">
        <v>4</v>
      </c>
      <c r="B4" s="14">
        <v>260000.0</v>
      </c>
      <c r="C4" s="15" t="s">
        <v>5</v>
      </c>
      <c r="D4" s="8"/>
      <c r="E4" s="16" t="s">
        <v>6</v>
      </c>
      <c r="F4" s="17"/>
      <c r="G4" s="18"/>
      <c r="H4" s="4"/>
      <c r="I4" s="4"/>
      <c r="J4" s="4"/>
      <c r="K4" s="4"/>
      <c r="L4" s="4"/>
      <c r="M4" s="4"/>
      <c r="N4" s="4"/>
      <c r="O4" s="4"/>
      <c r="P4" s="4"/>
      <c r="Q4" s="4"/>
      <c r="R4" s="4"/>
      <c r="S4" s="4"/>
      <c r="T4" s="4"/>
      <c r="U4" s="4"/>
      <c r="V4" s="4"/>
      <c r="W4" s="4"/>
      <c r="X4" s="4"/>
      <c r="Y4" s="4"/>
      <c r="Z4" s="4"/>
    </row>
    <row r="5" ht="19.5" customHeight="1">
      <c r="A5" s="19" t="s">
        <v>7</v>
      </c>
      <c r="B5" s="20">
        <v>0.03</v>
      </c>
      <c r="C5" s="15" t="s">
        <v>8</v>
      </c>
      <c r="D5" s="8"/>
      <c r="E5" s="21" t="s">
        <v>9</v>
      </c>
      <c r="F5" s="22" t="s">
        <v>10</v>
      </c>
      <c r="G5" s="8"/>
      <c r="H5" s="4"/>
      <c r="I5" s="4"/>
      <c r="J5" s="4"/>
      <c r="K5" s="4"/>
      <c r="L5" s="4"/>
      <c r="M5" s="4"/>
      <c r="N5" s="4"/>
      <c r="O5" s="4"/>
      <c r="P5" s="4"/>
      <c r="Q5" s="4"/>
      <c r="R5" s="4"/>
      <c r="S5" s="4"/>
      <c r="T5" s="4"/>
      <c r="U5" s="4"/>
      <c r="V5" s="4"/>
      <c r="W5" s="4"/>
      <c r="X5" s="4"/>
      <c r="Y5" s="4"/>
      <c r="Z5" s="4"/>
    </row>
    <row r="6" ht="19.5" customHeight="1">
      <c r="A6" s="13" t="s">
        <v>11</v>
      </c>
      <c r="B6" s="23">
        <f>B4*(1+B5)</f>
        <v>267800</v>
      </c>
      <c r="C6" s="15" t="s">
        <v>5</v>
      </c>
      <c r="D6" s="8"/>
      <c r="E6" s="21" t="s">
        <v>12</v>
      </c>
      <c r="F6" s="24">
        <v>0.0</v>
      </c>
      <c r="G6" s="8"/>
      <c r="H6" s="4"/>
      <c r="I6" s="4"/>
      <c r="J6" s="4"/>
      <c r="K6" s="4"/>
      <c r="L6" s="4"/>
      <c r="M6" s="4"/>
      <c r="N6" s="4"/>
      <c r="O6" s="4"/>
      <c r="P6" s="4"/>
      <c r="Q6" s="4"/>
      <c r="R6" s="4"/>
      <c r="S6" s="4"/>
      <c r="T6" s="4"/>
      <c r="U6" s="4"/>
      <c r="V6" s="4"/>
      <c r="W6" s="4"/>
      <c r="X6" s="4"/>
      <c r="Y6" s="4"/>
      <c r="Z6" s="4"/>
    </row>
    <row r="7" ht="19.5" customHeight="1">
      <c r="A7" s="18"/>
      <c r="B7" s="18"/>
      <c r="C7" s="18"/>
      <c r="D7" s="8"/>
      <c r="E7" s="21" t="s">
        <v>13</v>
      </c>
      <c r="F7" s="24">
        <v>15.0</v>
      </c>
      <c r="G7" s="8"/>
      <c r="H7" s="4"/>
      <c r="I7" s="4"/>
      <c r="J7" s="4"/>
      <c r="K7" s="4"/>
      <c r="L7" s="4"/>
      <c r="M7" s="4"/>
      <c r="N7" s="4"/>
      <c r="O7" s="4"/>
      <c r="P7" s="4"/>
      <c r="Q7" s="4"/>
      <c r="R7" s="4"/>
      <c r="S7" s="4"/>
      <c r="T7" s="4"/>
      <c r="U7" s="4"/>
      <c r="V7" s="4"/>
      <c r="W7" s="4"/>
      <c r="X7" s="4"/>
      <c r="Y7" s="4"/>
      <c r="Z7" s="4"/>
    </row>
    <row r="8" ht="19.5" customHeight="1">
      <c r="A8" s="13" t="s">
        <v>14</v>
      </c>
      <c r="B8" s="24">
        <v>40.0</v>
      </c>
      <c r="C8" s="15" t="s">
        <v>15</v>
      </c>
      <c r="D8" s="8"/>
      <c r="E8" s="18"/>
      <c r="F8" s="18"/>
      <c r="G8" s="18"/>
      <c r="H8" s="4"/>
      <c r="I8" s="4"/>
      <c r="J8" s="4"/>
      <c r="K8" s="4"/>
      <c r="L8" s="4"/>
      <c r="M8" s="4"/>
      <c r="N8" s="4"/>
      <c r="O8" s="4"/>
      <c r="P8" s="4"/>
      <c r="Q8" s="4"/>
      <c r="R8" s="4"/>
      <c r="S8" s="4"/>
      <c r="T8" s="4"/>
      <c r="U8" s="4"/>
      <c r="V8" s="4"/>
      <c r="W8" s="4"/>
      <c r="X8" s="4"/>
      <c r="Y8" s="4"/>
      <c r="Z8" s="4"/>
    </row>
    <row r="9" ht="19.5" customHeight="1">
      <c r="A9" s="13" t="s">
        <v>16</v>
      </c>
      <c r="B9" s="25" t="s">
        <v>17</v>
      </c>
      <c r="C9" s="15"/>
      <c r="D9" s="8"/>
      <c r="E9" s="21" t="s">
        <v>18</v>
      </c>
      <c r="F9" s="26">
        <f>B8+MIN(N(F7)+IF(F5="OUI",0,MIN(N(F6),9)),16)/2</f>
        <v>47.5</v>
      </c>
      <c r="G9" s="8"/>
      <c r="H9" s="4"/>
      <c r="I9" s="4"/>
      <c r="J9" s="4"/>
      <c r="K9" s="4"/>
      <c r="L9" s="4"/>
      <c r="M9" s="4"/>
      <c r="N9" s="4"/>
      <c r="O9" s="4"/>
      <c r="P9" s="4"/>
      <c r="Q9" s="4"/>
      <c r="R9" s="4"/>
      <c r="S9" s="4"/>
      <c r="T9" s="4"/>
      <c r="U9" s="4"/>
      <c r="V9" s="4"/>
      <c r="W9" s="4"/>
      <c r="X9" s="4"/>
      <c r="Y9" s="4"/>
      <c r="Z9" s="4"/>
    </row>
    <row r="10" ht="17.25" customHeight="1">
      <c r="A10" s="13"/>
      <c r="B10" s="13"/>
      <c r="C10" s="13"/>
      <c r="D10" s="8"/>
      <c r="E10" s="27" t="s">
        <v>19</v>
      </c>
      <c r="F10" s="26">
        <f>TRUNC(MIN(0.7+19/F9,1.2),2)</f>
        <v>1.1</v>
      </c>
      <c r="G10" s="8"/>
      <c r="H10" s="4"/>
      <c r="I10" s="4"/>
      <c r="J10" s="4"/>
      <c r="K10" s="4"/>
      <c r="L10" s="4"/>
      <c r="M10" s="4"/>
      <c r="N10" s="4"/>
      <c r="O10" s="4"/>
      <c r="P10" s="4"/>
      <c r="Q10" s="4"/>
      <c r="R10" s="4"/>
      <c r="S10" s="4"/>
      <c r="T10" s="4"/>
      <c r="U10" s="4"/>
      <c r="V10" s="4"/>
      <c r="W10" s="4"/>
      <c r="X10" s="4"/>
      <c r="Y10" s="4"/>
      <c r="Z10" s="4"/>
    </row>
    <row r="11" ht="15.75" customHeight="1">
      <c r="A11" s="19" t="s">
        <v>20</v>
      </c>
      <c r="B11" s="28">
        <v>0.0</v>
      </c>
      <c r="C11" s="15" t="s">
        <v>21</v>
      </c>
      <c r="D11" s="8"/>
      <c r="E11" s="29" t="s">
        <v>22</v>
      </c>
      <c r="F11" s="30"/>
      <c r="G11" s="18"/>
      <c r="H11" s="4"/>
      <c r="I11" s="4"/>
      <c r="J11" s="4"/>
      <c r="K11" s="4"/>
      <c r="L11" s="4"/>
      <c r="M11" s="4"/>
      <c r="N11" s="4"/>
      <c r="O11" s="4"/>
      <c r="P11" s="4"/>
      <c r="Q11" s="4"/>
      <c r="R11" s="4"/>
      <c r="S11" s="4"/>
      <c r="T11" s="4"/>
      <c r="U11" s="4"/>
      <c r="V11" s="4"/>
      <c r="W11" s="4"/>
      <c r="X11" s="4"/>
      <c r="Y11" s="4"/>
      <c r="Z11" s="4"/>
    </row>
    <row r="12" ht="19.5" customHeight="1">
      <c r="A12" s="18"/>
      <c r="B12" s="18"/>
      <c r="C12" s="18"/>
      <c r="D12" s="8"/>
      <c r="E12" s="21" t="s">
        <v>23</v>
      </c>
      <c r="F12" s="31">
        <f>B24*F9*F10</f>
        <v>757.1025</v>
      </c>
      <c r="G12" s="8"/>
      <c r="H12" s="4"/>
      <c r="I12" s="4"/>
      <c r="J12" s="4"/>
      <c r="K12" s="4"/>
      <c r="L12" s="4"/>
      <c r="M12" s="4"/>
      <c r="N12" s="4"/>
      <c r="O12" s="4"/>
      <c r="P12" s="4"/>
      <c r="Q12" s="4"/>
      <c r="R12" s="4"/>
      <c r="S12" s="4"/>
      <c r="T12" s="4"/>
      <c r="U12" s="4"/>
      <c r="V12" s="4"/>
      <c r="W12" s="4"/>
      <c r="X12" s="4"/>
      <c r="Y12" s="4"/>
      <c r="Z12" s="4"/>
    </row>
    <row r="13" ht="21.75" customHeight="1">
      <c r="A13" s="12" t="s">
        <v>24</v>
      </c>
      <c r="B13" s="2"/>
      <c r="C13" s="2"/>
      <c r="D13" s="2"/>
      <c r="E13" s="2"/>
      <c r="F13" s="2"/>
      <c r="G13" s="3"/>
      <c r="H13" s="4"/>
      <c r="I13" s="4"/>
      <c r="J13" s="4"/>
      <c r="K13" s="4"/>
      <c r="L13" s="4"/>
      <c r="M13" s="4"/>
      <c r="N13" s="4"/>
      <c r="O13" s="4"/>
      <c r="P13" s="4"/>
      <c r="Q13" s="4"/>
      <c r="R13" s="4"/>
      <c r="S13" s="4"/>
      <c r="T13" s="4"/>
      <c r="U13" s="4"/>
      <c r="V13" s="4"/>
      <c r="W13" s="4"/>
      <c r="X13" s="4"/>
      <c r="Y13" s="4"/>
      <c r="Z13" s="4"/>
    </row>
    <row r="14" ht="19.5" customHeight="1">
      <c r="A14" s="13" t="s">
        <v>25</v>
      </c>
      <c r="B14" s="14">
        <v>15000.0</v>
      </c>
      <c r="C14" s="15" t="s">
        <v>5</v>
      </c>
      <c r="D14" s="8"/>
      <c r="E14" s="18"/>
      <c r="F14" s="18"/>
      <c r="G14" s="18"/>
      <c r="H14" s="4"/>
      <c r="I14" s="4"/>
      <c r="J14" s="4"/>
      <c r="K14" s="4"/>
      <c r="L14" s="4"/>
      <c r="M14" s="4"/>
      <c r="N14" s="4"/>
      <c r="O14" s="4"/>
      <c r="P14" s="4"/>
      <c r="Q14" s="4"/>
      <c r="R14" s="4"/>
      <c r="S14" s="4"/>
      <c r="T14" s="4"/>
      <c r="U14" s="4"/>
      <c r="V14" s="4"/>
      <c r="W14" s="4"/>
      <c r="X14" s="4"/>
      <c r="Y14" s="4"/>
      <c r="Z14" s="4"/>
    </row>
    <row r="15" ht="19.5" customHeight="1">
      <c r="A15" s="13" t="s">
        <v>26</v>
      </c>
      <c r="B15" s="23">
        <f>B6-B14</f>
        <v>252800</v>
      </c>
      <c r="C15" s="15" t="s">
        <v>5</v>
      </c>
      <c r="D15" s="8"/>
      <c r="E15" s="18"/>
      <c r="F15" s="18"/>
      <c r="G15" s="18"/>
      <c r="H15" s="4"/>
      <c r="I15" s="4"/>
      <c r="J15" s="4"/>
      <c r="K15" s="4"/>
      <c r="L15" s="4"/>
      <c r="M15" s="4"/>
      <c r="N15" s="4"/>
      <c r="O15" s="4"/>
      <c r="P15" s="4"/>
      <c r="Q15" s="4"/>
      <c r="R15" s="4"/>
      <c r="S15" s="4"/>
      <c r="T15" s="4"/>
      <c r="U15" s="4"/>
      <c r="V15" s="4"/>
      <c r="W15" s="4"/>
      <c r="X15" s="4"/>
      <c r="Y15" s="4"/>
      <c r="Z15" s="4"/>
    </row>
    <row r="16" ht="19.5" customHeight="1">
      <c r="A16" s="13" t="s">
        <v>27</v>
      </c>
      <c r="B16" s="32">
        <v>0.033</v>
      </c>
      <c r="C16" s="15" t="s">
        <v>8</v>
      </c>
      <c r="D16" s="8"/>
      <c r="E16" s="18"/>
      <c r="F16" s="18"/>
      <c r="G16" s="18"/>
      <c r="H16" s="4"/>
      <c r="I16" s="4"/>
      <c r="J16" s="4"/>
      <c r="K16" s="4"/>
      <c r="L16" s="4"/>
      <c r="M16" s="4"/>
      <c r="N16" s="4"/>
      <c r="O16" s="4"/>
      <c r="P16" s="4"/>
      <c r="Q16" s="4"/>
      <c r="R16" s="4"/>
      <c r="S16" s="4"/>
      <c r="T16" s="4"/>
      <c r="U16" s="4"/>
      <c r="V16" s="4"/>
      <c r="W16" s="4"/>
      <c r="X16" s="4"/>
      <c r="Y16" s="4"/>
      <c r="Z16" s="4"/>
    </row>
    <row r="17" ht="19.5" customHeight="1">
      <c r="A17" s="13" t="s">
        <v>28</v>
      </c>
      <c r="B17" s="33">
        <v>0.0035</v>
      </c>
      <c r="C17" s="15" t="s">
        <v>8</v>
      </c>
      <c r="D17" s="8"/>
      <c r="E17" s="18"/>
      <c r="F17" s="18"/>
      <c r="G17" s="18"/>
      <c r="H17" s="4"/>
      <c r="I17" s="4"/>
      <c r="J17" s="4"/>
      <c r="K17" s="4"/>
      <c r="L17" s="4"/>
      <c r="M17" s="4"/>
      <c r="N17" s="4"/>
      <c r="O17" s="4"/>
      <c r="P17" s="4"/>
      <c r="Q17" s="4"/>
      <c r="R17" s="4"/>
      <c r="S17" s="4"/>
      <c r="T17" s="4"/>
      <c r="U17" s="4"/>
      <c r="V17" s="4"/>
      <c r="W17" s="4"/>
      <c r="X17" s="4"/>
      <c r="Y17" s="4"/>
      <c r="Z17" s="4"/>
    </row>
    <row r="18" ht="19.5" customHeight="1">
      <c r="A18" s="13" t="s">
        <v>29</v>
      </c>
      <c r="B18" s="34">
        <v>25.0</v>
      </c>
      <c r="C18" s="15" t="s">
        <v>30</v>
      </c>
      <c r="D18" s="8"/>
      <c r="E18" s="18"/>
      <c r="F18" s="18"/>
      <c r="G18" s="18"/>
      <c r="H18" s="4"/>
      <c r="I18" s="4"/>
      <c r="J18" s="4"/>
      <c r="K18" s="4"/>
      <c r="L18" s="4"/>
      <c r="M18" s="4"/>
      <c r="N18" s="4"/>
      <c r="O18" s="4"/>
      <c r="P18" s="4"/>
      <c r="Q18" s="4"/>
      <c r="R18" s="4"/>
      <c r="S18" s="4"/>
      <c r="T18" s="4"/>
      <c r="U18" s="4"/>
      <c r="V18" s="4"/>
      <c r="W18" s="4"/>
      <c r="X18" s="4"/>
      <c r="Y18" s="4"/>
      <c r="Z18" s="4"/>
    </row>
    <row r="19" ht="19.5" customHeight="1">
      <c r="A19" s="13" t="s">
        <v>31</v>
      </c>
      <c r="B19" s="31">
        <f>'Tableau dAMT financier'!F16/12</f>
        <v>73.73333333</v>
      </c>
      <c r="C19" s="15" t="s">
        <v>32</v>
      </c>
      <c r="D19" s="8"/>
      <c r="E19" s="18"/>
      <c r="F19" s="18"/>
      <c r="G19" s="18"/>
      <c r="H19" s="4"/>
      <c r="I19" s="4"/>
      <c r="J19" s="4"/>
      <c r="K19" s="4"/>
      <c r="L19" s="4"/>
      <c r="M19" s="4"/>
      <c r="N19" s="4"/>
      <c r="O19" s="4"/>
      <c r="P19" s="4"/>
      <c r="Q19" s="4"/>
      <c r="R19" s="4"/>
      <c r="S19" s="4"/>
      <c r="T19" s="4"/>
      <c r="U19" s="4"/>
      <c r="V19" s="4"/>
      <c r="W19" s="4"/>
      <c r="X19" s="4"/>
      <c r="Y19" s="4"/>
      <c r="Z19" s="4"/>
    </row>
    <row r="20" ht="19.5" customHeight="1">
      <c r="A20" s="13" t="s">
        <v>33</v>
      </c>
      <c r="B20" s="31">
        <f>('Tableau dAMT financier'!D16+'Tableau dAMT financier'!E16)/12</f>
        <v>1238.62284</v>
      </c>
      <c r="C20" s="15" t="s">
        <v>32</v>
      </c>
      <c r="D20" s="8"/>
      <c r="E20" s="18"/>
      <c r="F20" s="18"/>
      <c r="G20" s="18"/>
      <c r="H20" s="4"/>
      <c r="I20" s="4"/>
      <c r="J20" s="4"/>
      <c r="K20" s="4"/>
      <c r="L20" s="4"/>
      <c r="M20" s="4"/>
      <c r="N20" s="4"/>
      <c r="O20" s="4"/>
      <c r="P20" s="4"/>
      <c r="Q20" s="4"/>
      <c r="R20" s="4"/>
      <c r="S20" s="4"/>
      <c r="T20" s="4"/>
      <c r="U20" s="4"/>
      <c r="V20" s="4"/>
      <c r="W20" s="4"/>
      <c r="X20" s="4"/>
      <c r="Y20" s="4"/>
      <c r="Z20" s="4"/>
    </row>
    <row r="21" ht="19.5" customHeight="1">
      <c r="A21" s="13" t="s">
        <v>34</v>
      </c>
      <c r="B21" s="14">
        <v>4000.0</v>
      </c>
      <c r="C21" s="15" t="s">
        <v>5</v>
      </c>
      <c r="D21" s="8"/>
      <c r="E21" s="18"/>
      <c r="F21" s="18"/>
      <c r="G21" s="18"/>
      <c r="H21" s="4"/>
      <c r="I21" s="4"/>
      <c r="J21" s="4"/>
      <c r="K21" s="4"/>
      <c r="L21" s="4"/>
      <c r="M21" s="4"/>
      <c r="N21" s="4"/>
      <c r="O21" s="4"/>
      <c r="P21" s="4"/>
      <c r="Q21" s="4"/>
      <c r="R21" s="4"/>
      <c r="S21" s="4"/>
      <c r="T21" s="4"/>
      <c r="U21" s="4"/>
      <c r="V21" s="4"/>
      <c r="W21" s="4"/>
      <c r="X21" s="4"/>
      <c r="Y21" s="4"/>
      <c r="Z21" s="4"/>
    </row>
    <row r="22" ht="21.75" customHeight="1">
      <c r="A22" s="12" t="s">
        <v>35</v>
      </c>
      <c r="B22" s="2"/>
      <c r="C22" s="2"/>
      <c r="D22" s="3"/>
      <c r="E22" s="16" t="s">
        <v>36</v>
      </c>
      <c r="F22" s="17"/>
      <c r="G22" s="18"/>
      <c r="H22" s="4"/>
      <c r="I22" s="4"/>
      <c r="J22" s="4"/>
      <c r="K22" s="4"/>
      <c r="L22" s="4"/>
      <c r="M22" s="4"/>
      <c r="N22" s="4"/>
      <c r="O22" s="4"/>
      <c r="P22" s="4"/>
      <c r="Q22" s="4"/>
      <c r="R22" s="4"/>
      <c r="S22" s="4"/>
      <c r="T22" s="4"/>
      <c r="U22" s="4"/>
      <c r="V22" s="4"/>
      <c r="W22" s="4"/>
      <c r="X22" s="4"/>
      <c r="Y22" s="4"/>
      <c r="Z22" s="4"/>
    </row>
    <row r="23" ht="30.75" customHeight="1">
      <c r="A23" s="13" t="s">
        <v>37</v>
      </c>
      <c r="B23" s="35" t="s">
        <v>38</v>
      </c>
      <c r="C23" s="15"/>
      <c r="D23" s="8"/>
      <c r="E23" s="21" t="s">
        <v>38</v>
      </c>
      <c r="F23" s="23">
        <v>8000.0</v>
      </c>
      <c r="G23" s="8"/>
      <c r="H23" s="4"/>
      <c r="I23" s="4"/>
      <c r="J23" s="4"/>
      <c r="K23" s="4"/>
      <c r="L23" s="4"/>
      <c r="M23" s="4"/>
      <c r="N23" s="4"/>
      <c r="O23" s="4"/>
      <c r="P23" s="4"/>
      <c r="Q23" s="4"/>
      <c r="R23" s="4"/>
      <c r="S23" s="4"/>
      <c r="T23" s="4"/>
      <c r="U23" s="4"/>
      <c r="V23" s="4"/>
      <c r="W23" s="4"/>
      <c r="X23" s="4"/>
      <c r="Y23" s="4"/>
      <c r="Z23" s="4"/>
    </row>
    <row r="24" ht="19.5" customHeight="1">
      <c r="A24" s="13" t="s">
        <v>39</v>
      </c>
      <c r="B24" s="26">
        <f>VLOOKUP(B9,'Plafonds loyers'!A:D,IF(B23="Loyer intermédiaire",2,IF(B23="Loyer social",3,4)),FALSE())</f>
        <v>14.49</v>
      </c>
      <c r="C24" s="15" t="s">
        <v>40</v>
      </c>
      <c r="D24" s="8"/>
      <c r="E24" s="21" t="s">
        <v>41</v>
      </c>
      <c r="F24" s="23">
        <v>10000.0</v>
      </c>
      <c r="G24" s="8"/>
      <c r="H24" s="4"/>
      <c r="I24" s="4"/>
      <c r="J24" s="4"/>
      <c r="K24" s="4"/>
      <c r="L24" s="4"/>
      <c r="M24" s="4"/>
      <c r="N24" s="4"/>
      <c r="O24" s="4"/>
      <c r="P24" s="4"/>
      <c r="Q24" s="4"/>
      <c r="R24" s="4"/>
      <c r="S24" s="4"/>
      <c r="T24" s="4"/>
      <c r="U24" s="4"/>
      <c r="V24" s="4"/>
      <c r="W24" s="4"/>
      <c r="X24" s="4"/>
      <c r="Y24" s="4"/>
      <c r="Z24" s="4"/>
    </row>
    <row r="25" ht="19.5" customHeight="1">
      <c r="A25" s="13" t="s">
        <v>42</v>
      </c>
      <c r="B25" s="23">
        <f>MIN(F26,F12)</f>
        <v>750</v>
      </c>
      <c r="C25" s="36" t="s">
        <v>43</v>
      </c>
      <c r="D25" s="8"/>
      <c r="E25" s="21" t="s">
        <v>44</v>
      </c>
      <c r="F25" s="23">
        <v>12000.0</v>
      </c>
      <c r="G25" s="8"/>
      <c r="H25" s="4"/>
      <c r="I25" s="4"/>
      <c r="J25" s="4"/>
      <c r="K25" s="4"/>
      <c r="L25" s="4"/>
      <c r="M25" s="4"/>
      <c r="N25" s="4"/>
      <c r="O25" s="4"/>
      <c r="P25" s="4"/>
      <c r="Q25" s="4"/>
      <c r="R25" s="4"/>
      <c r="S25" s="4"/>
      <c r="T25" s="4"/>
      <c r="U25" s="4"/>
      <c r="V25" s="4"/>
      <c r="W25" s="4"/>
      <c r="X25" s="4"/>
      <c r="Y25" s="4"/>
      <c r="Z25" s="4"/>
    </row>
    <row r="26" ht="19.5" customHeight="1">
      <c r="A26" s="13" t="s">
        <v>45</v>
      </c>
      <c r="B26" s="23">
        <f>B25*12</f>
        <v>9000</v>
      </c>
      <c r="C26" s="15" t="s">
        <v>46</v>
      </c>
      <c r="D26" s="8"/>
      <c r="E26" s="37" t="s">
        <v>47</v>
      </c>
      <c r="F26" s="14">
        <v>750.0</v>
      </c>
      <c r="G26" s="8"/>
      <c r="H26" s="4"/>
      <c r="I26" s="4"/>
      <c r="J26" s="4"/>
      <c r="K26" s="4"/>
      <c r="L26" s="4"/>
      <c r="M26" s="4"/>
      <c r="N26" s="4"/>
      <c r="O26" s="4"/>
      <c r="P26" s="4"/>
      <c r="Q26" s="4"/>
      <c r="R26" s="4"/>
      <c r="S26" s="4"/>
      <c r="T26" s="4"/>
      <c r="U26" s="4"/>
      <c r="V26" s="4"/>
      <c r="W26" s="4"/>
      <c r="X26" s="4"/>
      <c r="Y26" s="4"/>
      <c r="Z26" s="4"/>
    </row>
    <row r="27" ht="15.0" customHeight="1">
      <c r="A27" s="13" t="s">
        <v>48</v>
      </c>
      <c r="B27" s="38">
        <v>0.015</v>
      </c>
      <c r="C27" s="18"/>
      <c r="D27" s="8"/>
      <c r="E27" s="18"/>
      <c r="F27" s="18"/>
      <c r="G27" s="18"/>
      <c r="H27" s="4"/>
      <c r="I27" s="4"/>
      <c r="J27" s="4"/>
      <c r="K27" s="4"/>
      <c r="L27" s="4"/>
      <c r="M27" s="4"/>
      <c r="N27" s="4"/>
      <c r="O27" s="4"/>
      <c r="P27" s="4"/>
      <c r="Q27" s="4"/>
      <c r="R27" s="4"/>
      <c r="S27" s="4"/>
      <c r="T27" s="4"/>
      <c r="U27" s="4"/>
      <c r="V27" s="4"/>
      <c r="W27" s="4"/>
      <c r="X27" s="4"/>
      <c r="Y27" s="4"/>
      <c r="Z27" s="4"/>
    </row>
    <row r="28" ht="19.5" customHeight="1">
      <c r="A28" s="13" t="s">
        <v>49</v>
      </c>
      <c r="B28" s="39">
        <v>0.3</v>
      </c>
      <c r="C28" s="15" t="s">
        <v>50</v>
      </c>
      <c r="D28" s="8"/>
      <c r="E28" s="18"/>
      <c r="F28" s="18"/>
      <c r="G28" s="18"/>
      <c r="H28" s="4"/>
      <c r="I28" s="4"/>
      <c r="J28" s="4"/>
      <c r="K28" s="4"/>
      <c r="L28" s="4"/>
      <c r="M28" s="4"/>
      <c r="N28" s="4"/>
      <c r="O28" s="4"/>
      <c r="P28" s="4"/>
      <c r="Q28" s="4"/>
      <c r="R28" s="4"/>
      <c r="S28" s="4"/>
      <c r="T28" s="4"/>
      <c r="U28" s="4"/>
      <c r="V28" s="4"/>
      <c r="W28" s="4"/>
      <c r="X28" s="4"/>
      <c r="Y28" s="4"/>
      <c r="Z28" s="4"/>
    </row>
    <row r="29" ht="7.5" customHeight="1">
      <c r="A29" s="8"/>
      <c r="B29" s="8"/>
      <c r="C29" s="8"/>
      <c r="D29" s="8"/>
      <c r="E29" s="8"/>
      <c r="F29" s="8"/>
      <c r="G29" s="8"/>
      <c r="H29" s="4"/>
      <c r="I29" s="4"/>
      <c r="J29" s="4"/>
      <c r="K29" s="4"/>
      <c r="L29" s="4"/>
      <c r="M29" s="4"/>
      <c r="N29" s="4"/>
      <c r="O29" s="4"/>
      <c r="P29" s="4"/>
      <c r="Q29" s="4"/>
      <c r="R29" s="4"/>
      <c r="S29" s="4"/>
      <c r="T29" s="4"/>
      <c r="U29" s="4"/>
      <c r="V29" s="4"/>
      <c r="W29" s="4"/>
      <c r="X29" s="4"/>
      <c r="Y29" s="4"/>
      <c r="Z29" s="4"/>
    </row>
    <row r="30" ht="21.75" customHeight="1">
      <c r="A30" s="12" t="s">
        <v>51</v>
      </c>
      <c r="B30" s="2"/>
      <c r="C30" s="2"/>
      <c r="D30" s="2"/>
      <c r="E30" s="2"/>
      <c r="F30" s="2"/>
      <c r="G30" s="3"/>
      <c r="H30" s="4"/>
      <c r="I30" s="4"/>
      <c r="J30" s="4"/>
      <c r="K30" s="4"/>
      <c r="L30" s="4"/>
      <c r="M30" s="4"/>
      <c r="N30" s="4"/>
      <c r="O30" s="4"/>
      <c r="P30" s="4"/>
      <c r="Q30" s="4"/>
      <c r="R30" s="4"/>
      <c r="S30" s="4"/>
      <c r="T30" s="4"/>
      <c r="U30" s="4"/>
      <c r="V30" s="4"/>
      <c r="W30" s="4"/>
      <c r="X30" s="4"/>
      <c r="Y30" s="4"/>
      <c r="Z30" s="4"/>
    </row>
    <row r="31" ht="19.5" customHeight="1">
      <c r="A31" s="13" t="s">
        <v>52</v>
      </c>
      <c r="B31" s="23">
        <f>B4*0.8</f>
        <v>208000</v>
      </c>
      <c r="C31" s="15" t="s">
        <v>5</v>
      </c>
      <c r="D31" s="8"/>
      <c r="E31" s="18"/>
      <c r="F31" s="18"/>
      <c r="G31" s="18"/>
      <c r="H31" s="4"/>
      <c r="I31" s="4"/>
      <c r="J31" s="4"/>
      <c r="K31" s="4"/>
      <c r="L31" s="4"/>
      <c r="M31" s="4"/>
      <c r="N31" s="4"/>
      <c r="O31" s="4"/>
      <c r="P31" s="4"/>
      <c r="Q31" s="4"/>
      <c r="R31" s="4"/>
      <c r="S31" s="4"/>
      <c r="T31" s="4"/>
      <c r="U31" s="4"/>
      <c r="V31" s="4"/>
      <c r="W31" s="4"/>
      <c r="X31" s="4"/>
      <c r="Y31" s="4"/>
      <c r="Z31" s="4"/>
    </row>
    <row r="32" ht="19.5" customHeight="1">
      <c r="A32" s="13" t="s">
        <v>53</v>
      </c>
      <c r="B32" s="28">
        <f>IF(B23="Loyer intermédiaire",0.035,IF(B23="Loyer social",0.045,0.055))</f>
        <v>0.035</v>
      </c>
      <c r="C32" s="15" t="s">
        <v>8</v>
      </c>
      <c r="D32" s="8"/>
      <c r="E32" s="18"/>
      <c r="F32" s="18"/>
      <c r="G32" s="18"/>
      <c r="H32" s="4"/>
      <c r="I32" s="4"/>
      <c r="J32" s="4"/>
      <c r="K32" s="4"/>
      <c r="L32" s="4"/>
      <c r="M32" s="4"/>
      <c r="N32" s="4"/>
      <c r="O32" s="4"/>
      <c r="P32" s="4"/>
      <c r="Q32" s="4"/>
      <c r="R32" s="4"/>
      <c r="S32" s="4"/>
      <c r="T32" s="4"/>
      <c r="U32" s="4"/>
      <c r="V32" s="4"/>
      <c r="W32" s="4"/>
      <c r="X32" s="4"/>
      <c r="Y32" s="4"/>
      <c r="Z32" s="4"/>
    </row>
    <row r="33" ht="19.5" customHeight="1">
      <c r="A33" s="13" t="s">
        <v>54</v>
      </c>
      <c r="B33" s="23">
        <f>VLOOKUP(B23,E23:F26,2,FALSE())</f>
        <v>8000</v>
      </c>
      <c r="C33" s="15" t="s">
        <v>46</v>
      </c>
      <c r="D33" s="8"/>
      <c r="E33" s="18"/>
      <c r="F33" s="18"/>
      <c r="G33" s="18"/>
      <c r="H33" s="4"/>
      <c r="I33" s="4"/>
      <c r="J33" s="4"/>
      <c r="K33" s="4"/>
      <c r="L33" s="4"/>
      <c r="M33" s="4"/>
      <c r="N33" s="4"/>
      <c r="O33" s="4"/>
      <c r="P33" s="4"/>
      <c r="Q33" s="4"/>
      <c r="R33" s="4"/>
      <c r="S33" s="4"/>
      <c r="T33" s="4"/>
      <c r="U33" s="4"/>
      <c r="V33" s="4"/>
      <c r="W33" s="4"/>
      <c r="X33" s="4"/>
      <c r="Y33" s="4"/>
      <c r="Z33" s="4"/>
    </row>
    <row r="34" ht="18.75" customHeight="1">
      <c r="A34" s="40" t="s">
        <v>55</v>
      </c>
      <c r="B34" s="23">
        <f>MIN(B33,B31*B32)</f>
        <v>7280</v>
      </c>
      <c r="C34" s="15" t="s">
        <v>46</v>
      </c>
      <c r="D34" s="8"/>
      <c r="E34" s="8"/>
      <c r="F34" s="8"/>
      <c r="G34" s="8"/>
      <c r="H34" s="4"/>
      <c r="I34" s="4"/>
      <c r="J34" s="4"/>
      <c r="K34" s="4"/>
      <c r="L34" s="4"/>
      <c r="M34" s="4"/>
      <c r="N34" s="4"/>
      <c r="O34" s="4"/>
      <c r="P34" s="4"/>
      <c r="Q34" s="4"/>
      <c r="R34" s="4"/>
      <c r="S34" s="4"/>
      <c r="T34" s="4"/>
      <c r="U34" s="4"/>
      <c r="V34" s="4"/>
      <c r="W34" s="4"/>
      <c r="X34" s="4"/>
      <c r="Y34" s="4"/>
      <c r="Z34" s="4"/>
    </row>
    <row r="35" ht="21.75" customHeight="1">
      <c r="A35" s="12" t="s">
        <v>56</v>
      </c>
      <c r="B35" s="2"/>
      <c r="C35" s="2"/>
      <c r="D35" s="2"/>
      <c r="E35" s="2"/>
      <c r="F35" s="2"/>
      <c r="G35" s="3"/>
      <c r="H35" s="4"/>
      <c r="I35" s="4"/>
      <c r="J35" s="4"/>
      <c r="K35" s="4"/>
      <c r="L35" s="4"/>
      <c r="M35" s="4"/>
      <c r="N35" s="4"/>
      <c r="O35" s="4"/>
      <c r="P35" s="4"/>
      <c r="Q35" s="4"/>
      <c r="R35" s="4"/>
      <c r="S35" s="4"/>
      <c r="T35" s="4"/>
      <c r="U35" s="4"/>
      <c r="V35" s="4"/>
      <c r="W35" s="4"/>
      <c r="X35" s="4"/>
      <c r="Y35" s="4"/>
      <c r="Z35" s="4"/>
    </row>
    <row r="36" ht="33.75" customHeight="1">
      <c r="A36" s="13" t="s">
        <v>57</v>
      </c>
      <c r="B36" s="35" t="s">
        <v>58</v>
      </c>
      <c r="C36" s="15"/>
      <c r="D36" s="8"/>
      <c r="E36" s="18"/>
      <c r="F36" s="18"/>
      <c r="G36" s="18"/>
      <c r="H36" s="4"/>
      <c r="I36" s="4"/>
      <c r="J36" s="4"/>
      <c r="K36" s="4"/>
      <c r="L36" s="4"/>
      <c r="M36" s="4"/>
      <c r="N36" s="4"/>
      <c r="O36" s="4"/>
      <c r="P36" s="4"/>
      <c r="Q36" s="4"/>
      <c r="R36" s="4"/>
      <c r="S36" s="4"/>
      <c r="T36" s="4"/>
      <c r="U36" s="4"/>
      <c r="V36" s="4"/>
      <c r="W36" s="4"/>
      <c r="X36" s="4"/>
      <c r="Y36" s="4"/>
      <c r="Z36" s="4"/>
    </row>
    <row r="37" ht="19.5" customHeight="1">
      <c r="A37" s="13" t="s">
        <v>59</v>
      </c>
      <c r="B37" s="14">
        <v>95000.0</v>
      </c>
      <c r="C37" s="15" t="s">
        <v>46</v>
      </c>
      <c r="D37" s="8"/>
      <c r="E37" s="18"/>
      <c r="F37" s="18"/>
      <c r="G37" s="18"/>
      <c r="H37" s="4"/>
      <c r="I37" s="4"/>
      <c r="J37" s="4"/>
      <c r="K37" s="4"/>
      <c r="L37" s="4"/>
      <c r="M37" s="4"/>
      <c r="N37" s="4"/>
      <c r="O37" s="4"/>
      <c r="P37" s="4"/>
      <c r="Q37" s="4"/>
      <c r="R37" s="4"/>
      <c r="S37" s="4"/>
      <c r="T37" s="4"/>
      <c r="U37" s="4"/>
      <c r="V37" s="4"/>
      <c r="W37" s="4"/>
      <c r="X37" s="4"/>
      <c r="Y37" s="4"/>
      <c r="Z37" s="4"/>
    </row>
    <row r="38" ht="19.5" customHeight="1">
      <c r="A38" s="13" t="s">
        <v>60</v>
      </c>
      <c r="B38" s="14">
        <v>5000.0</v>
      </c>
      <c r="C38" s="15" t="s">
        <v>46</v>
      </c>
      <c r="D38" s="8"/>
      <c r="E38" s="18"/>
      <c r="F38" s="18"/>
      <c r="G38" s="18"/>
      <c r="H38" s="4"/>
      <c r="I38" s="4"/>
      <c r="J38" s="4"/>
      <c r="K38" s="4"/>
      <c r="L38" s="4"/>
      <c r="M38" s="4"/>
      <c r="N38" s="4"/>
      <c r="O38" s="4"/>
      <c r="P38" s="4"/>
      <c r="Q38" s="4"/>
      <c r="R38" s="4"/>
      <c r="S38" s="4"/>
      <c r="T38" s="4"/>
      <c r="U38" s="4"/>
      <c r="V38" s="4"/>
      <c r="W38" s="4"/>
      <c r="X38" s="4"/>
      <c r="Y38" s="4"/>
      <c r="Z38" s="4"/>
    </row>
    <row r="39" ht="19.5" customHeight="1">
      <c r="A39" s="13" t="s">
        <v>61</v>
      </c>
      <c r="B39" s="24">
        <v>2.5</v>
      </c>
      <c r="C39" s="15" t="s">
        <v>62</v>
      </c>
      <c r="D39" s="8"/>
      <c r="E39" s="18"/>
      <c r="F39" s="18"/>
      <c r="G39" s="18"/>
      <c r="H39" s="4"/>
      <c r="I39" s="4"/>
      <c r="J39" s="4"/>
      <c r="K39" s="4"/>
      <c r="L39" s="4"/>
      <c r="M39" s="4"/>
      <c r="N39" s="4"/>
      <c r="O39" s="4"/>
      <c r="P39" s="4"/>
      <c r="Q39" s="4"/>
      <c r="R39" s="4"/>
      <c r="S39" s="4"/>
      <c r="T39" s="4"/>
      <c r="U39" s="4"/>
      <c r="V39" s="4"/>
      <c r="W39" s="4"/>
      <c r="X39" s="4"/>
      <c r="Y39" s="4"/>
      <c r="Z39" s="4"/>
    </row>
    <row r="40" ht="19.5" customHeight="1">
      <c r="A40" s="13" t="s">
        <v>63</v>
      </c>
      <c r="B40" s="28">
        <v>0.172</v>
      </c>
      <c r="C40" s="15" t="s">
        <v>8</v>
      </c>
      <c r="D40" s="8"/>
      <c r="E40" s="18"/>
      <c r="F40" s="18"/>
      <c r="G40" s="18"/>
      <c r="H40" s="4"/>
      <c r="I40" s="4"/>
      <c r="J40" s="4"/>
      <c r="K40" s="4"/>
      <c r="L40" s="4"/>
      <c r="M40" s="4"/>
      <c r="N40" s="4"/>
      <c r="O40" s="4"/>
      <c r="P40" s="4"/>
      <c r="Q40" s="4"/>
      <c r="R40" s="4"/>
      <c r="S40" s="4"/>
      <c r="T40" s="4"/>
      <c r="U40" s="4"/>
      <c r="V40" s="4"/>
      <c r="W40" s="4"/>
      <c r="X40" s="4"/>
      <c r="Y40" s="4"/>
      <c r="Z40" s="4"/>
    </row>
    <row r="41" ht="19.5" customHeight="1">
      <c r="A41" s="13" t="s">
        <v>64</v>
      </c>
      <c r="B41" s="34">
        <v>2.0</v>
      </c>
      <c r="C41" s="15" t="s">
        <v>65</v>
      </c>
      <c r="D41" s="8"/>
      <c r="E41" s="18"/>
      <c r="F41" s="18"/>
      <c r="G41" s="18"/>
      <c r="H41" s="4"/>
      <c r="I41" s="4"/>
      <c r="J41" s="4"/>
      <c r="K41" s="4"/>
      <c r="L41" s="4"/>
      <c r="M41" s="4"/>
      <c r="N41" s="4"/>
      <c r="O41" s="4"/>
      <c r="P41" s="4"/>
      <c r="Q41" s="4"/>
      <c r="R41" s="4"/>
      <c r="S41" s="4"/>
      <c r="T41" s="4"/>
      <c r="U41" s="4"/>
      <c r="V41" s="4"/>
      <c r="W41" s="4"/>
      <c r="X41" s="4"/>
      <c r="Y41" s="4"/>
      <c r="Z41" s="4"/>
    </row>
    <row r="42" ht="21.75" hidden="1" customHeight="1" outlineLevel="1">
      <c r="A42" s="12" t="s">
        <v>66</v>
      </c>
      <c r="B42" s="2"/>
      <c r="C42" s="2"/>
      <c r="D42" s="2"/>
      <c r="E42" s="2"/>
      <c r="F42" s="2"/>
      <c r="G42" s="3"/>
      <c r="H42" s="4"/>
      <c r="I42" s="4"/>
      <c r="J42" s="4"/>
      <c r="K42" s="4"/>
      <c r="L42" s="4"/>
      <c r="M42" s="4"/>
      <c r="N42" s="4"/>
      <c r="O42" s="4"/>
      <c r="P42" s="4"/>
      <c r="Q42" s="4"/>
      <c r="R42" s="4"/>
      <c r="S42" s="4"/>
      <c r="T42" s="4"/>
      <c r="U42" s="4"/>
      <c r="V42" s="4"/>
      <c r="W42" s="4"/>
      <c r="X42" s="4"/>
      <c r="Y42" s="4"/>
      <c r="Z42" s="4"/>
    </row>
    <row r="43" ht="19.5" hidden="1" customHeight="1" outlineLevel="1">
      <c r="A43" s="13" t="s">
        <v>67</v>
      </c>
      <c r="B43" s="28">
        <v>0.075</v>
      </c>
      <c r="C43" s="15" t="s">
        <v>8</v>
      </c>
      <c r="D43" s="8"/>
      <c r="E43" s="18"/>
      <c r="F43" s="18"/>
      <c r="G43" s="18"/>
      <c r="H43" s="4"/>
      <c r="I43" s="4"/>
      <c r="J43" s="4"/>
      <c r="K43" s="4"/>
      <c r="L43" s="4"/>
      <c r="M43" s="4"/>
      <c r="N43" s="4"/>
      <c r="O43" s="4"/>
      <c r="P43" s="4"/>
      <c r="Q43" s="4"/>
      <c r="R43" s="4"/>
      <c r="S43" s="4"/>
      <c r="T43" s="4"/>
      <c r="U43" s="4"/>
      <c r="V43" s="4"/>
      <c r="W43" s="4"/>
      <c r="X43" s="4"/>
      <c r="Y43" s="4"/>
      <c r="Z43" s="4"/>
    </row>
    <row r="44" ht="19.5" hidden="1" customHeight="1" outlineLevel="1">
      <c r="A44" s="13" t="s">
        <v>68</v>
      </c>
      <c r="B44" s="28">
        <v>0.15</v>
      </c>
      <c r="C44" s="15" t="s">
        <v>8</v>
      </c>
      <c r="D44" s="8"/>
      <c r="E44" s="18"/>
      <c r="F44" s="18"/>
      <c r="G44" s="18"/>
      <c r="H44" s="4"/>
      <c r="I44" s="4"/>
      <c r="J44" s="4"/>
      <c r="K44" s="4"/>
      <c r="L44" s="4"/>
      <c r="M44" s="4"/>
      <c r="N44" s="4"/>
      <c r="O44" s="4"/>
      <c r="P44" s="4"/>
      <c r="Q44" s="4"/>
      <c r="R44" s="4"/>
      <c r="S44" s="4"/>
      <c r="T44" s="4"/>
      <c r="U44" s="4"/>
      <c r="V44" s="4"/>
      <c r="W44" s="4"/>
      <c r="X44" s="4"/>
      <c r="Y44" s="4"/>
      <c r="Z44" s="4"/>
    </row>
    <row r="45" ht="19.5" hidden="1" customHeight="1" outlineLevel="1">
      <c r="A45" s="13" t="s">
        <v>69</v>
      </c>
      <c r="B45" s="28">
        <v>0.19</v>
      </c>
      <c r="C45" s="15" t="s">
        <v>8</v>
      </c>
      <c r="D45" s="8"/>
      <c r="E45" s="18"/>
      <c r="F45" s="18"/>
      <c r="G45" s="18"/>
      <c r="H45" s="4"/>
      <c r="I45" s="4"/>
      <c r="J45" s="4"/>
      <c r="K45" s="4"/>
      <c r="L45" s="4"/>
      <c r="M45" s="4"/>
      <c r="N45" s="4"/>
      <c r="O45" s="4"/>
      <c r="P45" s="4"/>
      <c r="Q45" s="4"/>
      <c r="R45" s="4"/>
      <c r="S45" s="4"/>
      <c r="T45" s="4"/>
      <c r="U45" s="4"/>
      <c r="V45" s="4"/>
      <c r="W45" s="4"/>
      <c r="X45" s="4"/>
      <c r="Y45" s="4"/>
      <c r="Z45" s="4"/>
    </row>
    <row r="46" ht="19.5" hidden="1" customHeight="1" outlineLevel="1">
      <c r="A46" s="13" t="s">
        <v>70</v>
      </c>
      <c r="B46" s="28">
        <v>0.172</v>
      </c>
      <c r="C46" s="15" t="s">
        <v>8</v>
      </c>
      <c r="D46" s="8"/>
      <c r="E46" s="18"/>
      <c r="F46" s="18"/>
      <c r="G46" s="18"/>
      <c r="H46" s="4"/>
      <c r="I46" s="4"/>
      <c r="J46" s="4"/>
      <c r="K46" s="4"/>
      <c r="L46" s="4"/>
      <c r="M46" s="4"/>
      <c r="N46" s="4"/>
      <c r="O46" s="4"/>
      <c r="P46" s="4"/>
      <c r="Q46" s="4"/>
      <c r="R46" s="4"/>
      <c r="S46" s="4"/>
      <c r="T46" s="4"/>
      <c r="U46" s="4"/>
      <c r="V46" s="4"/>
      <c r="W46" s="4"/>
      <c r="X46" s="4"/>
      <c r="Y46" s="4"/>
      <c r="Z46" s="4"/>
    </row>
    <row r="47" ht="7.5" hidden="1" customHeight="1" outlineLevel="1">
      <c r="A47" s="8"/>
      <c r="B47" s="8"/>
      <c r="C47" s="8"/>
      <c r="D47" s="8"/>
      <c r="E47" s="8"/>
      <c r="F47" s="8"/>
      <c r="G47" s="8"/>
      <c r="H47" s="4"/>
      <c r="I47" s="4"/>
      <c r="J47" s="4"/>
      <c r="K47" s="4"/>
      <c r="L47" s="4"/>
      <c r="M47" s="4"/>
      <c r="N47" s="4"/>
      <c r="O47" s="4"/>
      <c r="P47" s="4"/>
      <c r="Q47" s="4"/>
      <c r="R47" s="4"/>
      <c r="S47" s="4"/>
      <c r="T47" s="4"/>
      <c r="U47" s="4"/>
      <c r="V47" s="4"/>
      <c r="W47" s="4"/>
      <c r="X47" s="4"/>
      <c r="Y47" s="4"/>
      <c r="Z47" s="4"/>
    </row>
    <row r="48" ht="21.75" hidden="1" customHeight="1" outlineLevel="1">
      <c r="A48" s="12" t="s">
        <v>71</v>
      </c>
      <c r="B48" s="2"/>
      <c r="C48" s="2"/>
      <c r="D48" s="2"/>
      <c r="E48" s="2"/>
      <c r="F48" s="2"/>
      <c r="G48" s="3"/>
      <c r="H48" s="4"/>
      <c r="I48" s="4"/>
      <c r="J48" s="4"/>
      <c r="K48" s="4"/>
      <c r="L48" s="4"/>
      <c r="M48" s="4"/>
      <c r="N48" s="4"/>
      <c r="O48" s="4"/>
      <c r="P48" s="4"/>
      <c r="Q48" s="4"/>
      <c r="R48" s="4"/>
      <c r="S48" s="4"/>
      <c r="T48" s="4"/>
      <c r="U48" s="4"/>
      <c r="V48" s="4"/>
      <c r="W48" s="4"/>
      <c r="X48" s="4"/>
      <c r="Y48" s="4"/>
      <c r="Z48" s="4"/>
    </row>
    <row r="49" ht="19.5" hidden="1" customHeight="1" outlineLevel="1">
      <c r="A49" s="41" t="s">
        <v>72</v>
      </c>
      <c r="B49" s="23">
        <f>IF(B36="Salaires (abatt. 10%)",MAX('Barème fiscal'!B30*B41,MIN(B37*0.1,'Barème fiscal'!B29*B41)),IF(B36="Pensions / Retraites (abatt. 10%)",MAX('Barème fiscal'!B32*B41,MIN(B37*0.1,'Barème fiscal'!B31*B41)),0))</f>
        <v>9500</v>
      </c>
      <c r="C49" s="15" t="s">
        <v>5</v>
      </c>
      <c r="D49" s="8"/>
      <c r="E49" s="18"/>
      <c r="F49" s="18"/>
      <c r="G49" s="18"/>
      <c r="H49" s="4"/>
      <c r="I49" s="4"/>
      <c r="J49" s="4"/>
      <c r="K49" s="4"/>
      <c r="L49" s="4"/>
      <c r="M49" s="4"/>
      <c r="N49" s="4"/>
      <c r="O49" s="4"/>
      <c r="P49" s="4"/>
      <c r="Q49" s="4"/>
      <c r="R49" s="4"/>
      <c r="S49" s="4"/>
      <c r="T49" s="4"/>
      <c r="U49" s="4"/>
      <c r="V49" s="4"/>
      <c r="W49" s="4"/>
      <c r="X49" s="4"/>
      <c r="Y49" s="4"/>
      <c r="Z49" s="4"/>
    </row>
    <row r="50" ht="19.5" hidden="1" customHeight="1" outlineLevel="1">
      <c r="A50" s="41" t="s">
        <v>73</v>
      </c>
      <c r="B50" s="23">
        <f>B37-B49</f>
        <v>85500</v>
      </c>
      <c r="C50" s="15" t="s">
        <v>5</v>
      </c>
      <c r="D50" s="8"/>
      <c r="E50" s="18"/>
      <c r="F50" s="18"/>
      <c r="G50" s="18"/>
      <c r="H50" s="4"/>
      <c r="I50" s="4"/>
      <c r="J50" s="4"/>
      <c r="K50" s="4"/>
      <c r="L50" s="4"/>
      <c r="M50" s="4"/>
      <c r="N50" s="4"/>
      <c r="O50" s="4"/>
      <c r="P50" s="4"/>
      <c r="Q50" s="4"/>
      <c r="R50" s="4"/>
      <c r="S50" s="4"/>
      <c r="T50" s="4"/>
      <c r="U50" s="4"/>
      <c r="V50" s="4"/>
      <c r="W50" s="4"/>
      <c r="X50" s="4"/>
      <c r="Y50" s="4"/>
      <c r="Z50" s="4"/>
    </row>
    <row r="51" ht="19.5" customHeight="1" collapsed="1">
      <c r="A51" s="18"/>
      <c r="B51" s="18"/>
      <c r="C51" s="18"/>
      <c r="D51" s="18"/>
      <c r="E51" s="18"/>
      <c r="F51" s="18"/>
      <c r="G51" s="18"/>
      <c r="H51" s="4"/>
      <c r="I51" s="4"/>
      <c r="J51" s="4"/>
      <c r="K51" s="4"/>
      <c r="L51" s="4"/>
      <c r="M51" s="4"/>
      <c r="N51" s="4"/>
      <c r="O51" s="4"/>
      <c r="P51" s="4"/>
      <c r="Q51" s="4"/>
      <c r="R51" s="4"/>
      <c r="S51" s="4"/>
      <c r="T51" s="4"/>
      <c r="U51" s="4"/>
      <c r="V51" s="4"/>
      <c r="W51" s="4"/>
      <c r="X51" s="4"/>
      <c r="Y51" s="4"/>
      <c r="Z51" s="4"/>
    </row>
    <row r="52" ht="19.5" customHeight="1">
      <c r="A52" s="18"/>
      <c r="B52" s="18"/>
      <c r="C52" s="18"/>
      <c r="D52" s="18"/>
      <c r="E52" s="18"/>
      <c r="F52" s="18"/>
      <c r="G52" s="18"/>
      <c r="H52" s="4"/>
      <c r="I52" s="4"/>
      <c r="J52" s="4"/>
      <c r="K52" s="4"/>
      <c r="L52" s="4"/>
      <c r="M52" s="4"/>
      <c r="N52" s="4"/>
      <c r="O52" s="4"/>
      <c r="P52" s="4"/>
      <c r="Q52" s="4"/>
      <c r="R52" s="4"/>
      <c r="S52" s="4"/>
      <c r="T52" s="4"/>
      <c r="U52" s="4"/>
      <c r="V52" s="4"/>
      <c r="W52" s="4"/>
      <c r="X52" s="4"/>
      <c r="Y52" s="4"/>
      <c r="Z52" s="4"/>
    </row>
    <row r="53" ht="19.5" customHeight="1">
      <c r="A53" s="18"/>
      <c r="B53" s="18"/>
      <c r="C53" s="18"/>
      <c r="D53" s="18"/>
      <c r="E53" s="18"/>
      <c r="F53" s="18"/>
      <c r="G53" s="18"/>
      <c r="H53" s="4"/>
      <c r="I53" s="4"/>
      <c r="J53" s="4"/>
      <c r="K53" s="4"/>
      <c r="L53" s="4"/>
      <c r="M53" s="4"/>
      <c r="N53" s="4"/>
      <c r="O53" s="4"/>
      <c r="P53" s="4"/>
      <c r="Q53" s="4"/>
      <c r="R53" s="4"/>
      <c r="S53" s="4"/>
      <c r="T53" s="4"/>
      <c r="U53" s="4"/>
      <c r="V53" s="4"/>
      <c r="W53" s="4"/>
      <c r="X53" s="4"/>
      <c r="Y53" s="4"/>
      <c r="Z53" s="4"/>
    </row>
    <row r="54" ht="19.5" customHeight="1">
      <c r="A54" s="18"/>
      <c r="B54" s="18"/>
      <c r="C54" s="18"/>
      <c r="D54" s="18"/>
      <c r="E54" s="18"/>
      <c r="F54" s="18"/>
      <c r="G54" s="18"/>
      <c r="H54" s="4"/>
      <c r="I54" s="4"/>
      <c r="J54" s="4"/>
      <c r="K54" s="4"/>
      <c r="L54" s="4"/>
      <c r="M54" s="4"/>
      <c r="N54" s="4"/>
      <c r="O54" s="4"/>
      <c r="P54" s="4"/>
      <c r="Q54" s="4"/>
      <c r="R54" s="4"/>
      <c r="S54" s="4"/>
      <c r="T54" s="4"/>
      <c r="U54" s="4"/>
      <c r="V54" s="4"/>
      <c r="W54" s="4"/>
      <c r="X54" s="4"/>
      <c r="Y54" s="4"/>
      <c r="Z54" s="4"/>
    </row>
    <row r="55" ht="15.75" customHeight="1">
      <c r="A55" s="4"/>
      <c r="B55" s="42"/>
      <c r="C55" s="4"/>
      <c r="D55" s="4"/>
      <c r="E55" s="4"/>
      <c r="F55" s="43"/>
      <c r="G55" s="4"/>
      <c r="H55" s="4"/>
      <c r="I55" s="4"/>
      <c r="J55" s="4"/>
      <c r="K55" s="4"/>
      <c r="L55" s="4"/>
      <c r="M55" s="4"/>
      <c r="N55" s="4"/>
      <c r="O55" s="4"/>
      <c r="P55" s="4"/>
      <c r="Q55" s="4"/>
      <c r="R55" s="4"/>
      <c r="S55" s="4"/>
      <c r="T55" s="4"/>
      <c r="U55" s="4"/>
      <c r="V55" s="4"/>
      <c r="W55" s="4"/>
      <c r="X55" s="4"/>
      <c r="Y55" s="4"/>
      <c r="Z55" s="4"/>
    </row>
    <row r="56" ht="15.75" customHeight="1">
      <c r="A56" s="4"/>
      <c r="B56" s="42"/>
      <c r="C56" s="4"/>
      <c r="D56" s="4"/>
      <c r="E56" s="4"/>
      <c r="F56" s="43"/>
      <c r="G56" s="4"/>
      <c r="H56" s="4"/>
      <c r="I56" s="4"/>
      <c r="J56" s="4"/>
      <c r="K56" s="4"/>
      <c r="L56" s="4"/>
      <c r="M56" s="4"/>
      <c r="N56" s="4"/>
      <c r="O56" s="4"/>
      <c r="P56" s="4"/>
      <c r="Q56" s="4"/>
      <c r="R56" s="4"/>
      <c r="S56" s="4"/>
      <c r="T56" s="4"/>
      <c r="U56" s="4"/>
      <c r="V56" s="4"/>
      <c r="W56" s="4"/>
      <c r="X56" s="4"/>
      <c r="Y56" s="4"/>
      <c r="Z56" s="4"/>
    </row>
    <row r="57" ht="15.75" customHeight="1">
      <c r="A57" s="4"/>
      <c r="B57" s="42"/>
      <c r="C57" s="4"/>
      <c r="D57" s="4"/>
      <c r="E57" s="4"/>
      <c r="F57" s="43"/>
      <c r="G57" s="4"/>
      <c r="H57" s="4"/>
      <c r="I57" s="4"/>
      <c r="J57" s="4"/>
      <c r="K57" s="4"/>
      <c r="L57" s="4"/>
      <c r="M57" s="4"/>
      <c r="N57" s="4"/>
      <c r="O57" s="4"/>
      <c r="P57" s="4"/>
      <c r="Q57" s="4"/>
      <c r="R57" s="4"/>
      <c r="S57" s="4"/>
      <c r="T57" s="4"/>
      <c r="U57" s="4"/>
      <c r="V57" s="4"/>
      <c r="W57" s="4"/>
      <c r="X57" s="4"/>
      <c r="Y57" s="4"/>
      <c r="Z57" s="4"/>
    </row>
    <row r="58" ht="15.75" customHeight="1">
      <c r="A58" s="4"/>
      <c r="B58" s="42"/>
      <c r="C58" s="4"/>
      <c r="D58" s="4"/>
      <c r="E58" s="4"/>
      <c r="F58" s="43"/>
      <c r="G58" s="4"/>
      <c r="H58" s="4"/>
      <c r="I58" s="4"/>
      <c r="J58" s="4"/>
      <c r="K58" s="4"/>
      <c r="L58" s="4"/>
      <c r="M58" s="4"/>
      <c r="N58" s="4"/>
      <c r="O58" s="4"/>
      <c r="P58" s="4"/>
      <c r="Q58" s="4"/>
      <c r="R58" s="4"/>
      <c r="S58" s="4"/>
      <c r="T58" s="4"/>
      <c r="U58" s="4"/>
      <c r="V58" s="4"/>
      <c r="W58" s="4"/>
      <c r="X58" s="4"/>
      <c r="Y58" s="4"/>
      <c r="Z58" s="4"/>
    </row>
    <row r="59" ht="15.75" customHeight="1">
      <c r="A59" s="4"/>
      <c r="B59" s="42"/>
      <c r="C59" s="4"/>
      <c r="D59" s="4"/>
      <c r="E59" s="4"/>
      <c r="F59" s="43"/>
      <c r="G59" s="4"/>
      <c r="H59" s="4"/>
      <c r="I59" s="4"/>
      <c r="J59" s="4"/>
      <c r="K59" s="4"/>
      <c r="L59" s="4"/>
      <c r="M59" s="4"/>
      <c r="N59" s="4"/>
      <c r="O59" s="4"/>
      <c r="P59" s="4"/>
      <c r="Q59" s="4"/>
      <c r="R59" s="4"/>
      <c r="S59" s="4"/>
      <c r="T59" s="4"/>
      <c r="U59" s="4"/>
      <c r="V59" s="4"/>
      <c r="W59" s="4"/>
      <c r="X59" s="4"/>
      <c r="Y59" s="4"/>
      <c r="Z59" s="4"/>
    </row>
    <row r="60" ht="15.75" customHeight="1">
      <c r="A60" s="4"/>
      <c r="B60" s="42"/>
      <c r="C60" s="4"/>
      <c r="D60" s="4"/>
      <c r="E60" s="4"/>
      <c r="F60" s="43"/>
      <c r="G60" s="4"/>
      <c r="H60" s="4"/>
      <c r="I60" s="4"/>
      <c r="J60" s="4"/>
      <c r="K60" s="4"/>
      <c r="L60" s="4"/>
      <c r="M60" s="4"/>
      <c r="N60" s="4"/>
      <c r="O60" s="4"/>
      <c r="P60" s="4"/>
      <c r="Q60" s="4"/>
      <c r="R60" s="4"/>
      <c r="S60" s="4"/>
      <c r="T60" s="4"/>
      <c r="U60" s="4"/>
      <c r="V60" s="4"/>
      <c r="W60" s="4"/>
      <c r="X60" s="4"/>
      <c r="Y60" s="4"/>
      <c r="Z60" s="4"/>
    </row>
    <row r="61" ht="15.75" customHeight="1">
      <c r="A61" s="4"/>
      <c r="B61" s="42"/>
      <c r="C61" s="4"/>
      <c r="D61" s="4"/>
      <c r="E61" s="4"/>
      <c r="F61" s="43"/>
      <c r="G61" s="4"/>
      <c r="H61" s="4"/>
      <c r="I61" s="4"/>
      <c r="J61" s="4"/>
      <c r="K61" s="4"/>
      <c r="L61" s="4"/>
      <c r="M61" s="4"/>
      <c r="N61" s="4"/>
      <c r="O61" s="4"/>
      <c r="P61" s="4"/>
      <c r="Q61" s="4"/>
      <c r="R61" s="4"/>
      <c r="S61" s="4"/>
      <c r="T61" s="4"/>
      <c r="U61" s="4"/>
      <c r="V61" s="4"/>
      <c r="W61" s="4"/>
      <c r="X61" s="4"/>
      <c r="Y61" s="4"/>
      <c r="Z61" s="4"/>
    </row>
    <row r="62" ht="15.75" customHeight="1">
      <c r="A62" s="4"/>
      <c r="B62" s="42"/>
      <c r="C62" s="4"/>
      <c r="D62" s="4"/>
      <c r="E62" s="4"/>
      <c r="F62" s="43"/>
      <c r="G62" s="4"/>
      <c r="H62" s="4"/>
      <c r="I62" s="4"/>
      <c r="J62" s="4"/>
      <c r="K62" s="4"/>
      <c r="L62" s="4"/>
      <c r="M62" s="4"/>
      <c r="N62" s="4"/>
      <c r="O62" s="4"/>
      <c r="P62" s="4"/>
      <c r="Q62" s="4"/>
      <c r="R62" s="4"/>
      <c r="S62" s="4"/>
      <c r="T62" s="4"/>
      <c r="U62" s="4"/>
      <c r="V62" s="4"/>
      <c r="W62" s="4"/>
      <c r="X62" s="4"/>
      <c r="Y62" s="4"/>
      <c r="Z62" s="4"/>
    </row>
    <row r="63" ht="15.75" customHeight="1">
      <c r="A63" s="4"/>
      <c r="B63" s="42"/>
      <c r="C63" s="4"/>
      <c r="D63" s="4"/>
      <c r="E63" s="4"/>
      <c r="F63" s="43"/>
      <c r="G63" s="4"/>
      <c r="H63" s="4"/>
      <c r="I63" s="4"/>
      <c r="J63" s="4"/>
      <c r="K63" s="4"/>
      <c r="L63" s="4"/>
      <c r="M63" s="4"/>
      <c r="N63" s="4"/>
      <c r="O63" s="4"/>
      <c r="P63" s="4"/>
      <c r="Q63" s="4"/>
      <c r="R63" s="4"/>
      <c r="S63" s="4"/>
      <c r="T63" s="4"/>
      <c r="U63" s="4"/>
      <c r="V63" s="4"/>
      <c r="W63" s="4"/>
      <c r="X63" s="4"/>
      <c r="Y63" s="4"/>
      <c r="Z63" s="4"/>
    </row>
    <row r="64" ht="15.75" customHeight="1">
      <c r="A64" s="4"/>
      <c r="B64" s="42"/>
      <c r="C64" s="4"/>
      <c r="D64" s="4"/>
      <c r="E64" s="4"/>
      <c r="F64" s="43"/>
      <c r="G64" s="4"/>
      <c r="H64" s="4"/>
      <c r="I64" s="4"/>
      <c r="J64" s="4"/>
      <c r="K64" s="4"/>
      <c r="L64" s="4"/>
      <c r="M64" s="4"/>
      <c r="N64" s="4"/>
      <c r="O64" s="4"/>
      <c r="P64" s="4"/>
      <c r="Q64" s="4"/>
      <c r="R64" s="4"/>
      <c r="S64" s="4"/>
      <c r="T64" s="4"/>
      <c r="U64" s="4"/>
      <c r="V64" s="4"/>
      <c r="W64" s="4"/>
      <c r="X64" s="4"/>
      <c r="Y64" s="4"/>
      <c r="Z64" s="4"/>
    </row>
    <row r="65" ht="15.75" customHeight="1">
      <c r="A65" s="4"/>
      <c r="B65" s="42"/>
      <c r="C65" s="4"/>
      <c r="D65" s="4"/>
      <c r="E65" s="4"/>
      <c r="F65" s="43"/>
      <c r="G65" s="4"/>
      <c r="H65" s="4"/>
      <c r="I65" s="4"/>
      <c r="J65" s="4"/>
      <c r="K65" s="4"/>
      <c r="L65" s="4"/>
      <c r="M65" s="4"/>
      <c r="N65" s="4"/>
      <c r="O65" s="4"/>
      <c r="P65" s="4"/>
      <c r="Q65" s="4"/>
      <c r="R65" s="4"/>
      <c r="S65" s="4"/>
      <c r="T65" s="4"/>
      <c r="U65" s="4"/>
      <c r="V65" s="4"/>
      <c r="W65" s="4"/>
      <c r="X65" s="4"/>
      <c r="Y65" s="4"/>
      <c r="Z65" s="4"/>
    </row>
    <row r="66" ht="15.75" customHeight="1">
      <c r="A66" s="4"/>
      <c r="B66" s="42"/>
      <c r="C66" s="4"/>
      <c r="D66" s="4"/>
      <c r="E66" s="4"/>
      <c r="F66" s="43"/>
      <c r="G66" s="4"/>
      <c r="H66" s="4"/>
      <c r="I66" s="4"/>
      <c r="J66" s="4"/>
      <c r="K66" s="4"/>
      <c r="L66" s="4"/>
      <c r="M66" s="4"/>
      <c r="N66" s="4"/>
      <c r="O66" s="4"/>
      <c r="P66" s="4"/>
      <c r="Q66" s="4"/>
      <c r="R66" s="4"/>
      <c r="S66" s="4"/>
      <c r="T66" s="4"/>
      <c r="U66" s="4"/>
      <c r="V66" s="4"/>
      <c r="W66" s="4"/>
      <c r="X66" s="4"/>
      <c r="Y66" s="4"/>
      <c r="Z66" s="4"/>
    </row>
    <row r="67" ht="15.75" customHeight="1">
      <c r="A67" s="4"/>
      <c r="B67" s="42"/>
      <c r="C67" s="4"/>
      <c r="D67" s="4"/>
      <c r="E67" s="4"/>
      <c r="F67" s="43"/>
      <c r="G67" s="4"/>
      <c r="H67" s="4"/>
      <c r="I67" s="4"/>
      <c r="J67" s="4"/>
      <c r="K67" s="4"/>
      <c r="L67" s="4"/>
      <c r="M67" s="4"/>
      <c r="N67" s="4"/>
      <c r="O67" s="4"/>
      <c r="P67" s="4"/>
      <c r="Q67" s="4"/>
      <c r="R67" s="4"/>
      <c r="S67" s="4"/>
      <c r="T67" s="4"/>
      <c r="U67" s="4"/>
      <c r="V67" s="4"/>
      <c r="W67" s="4"/>
      <c r="X67" s="4"/>
      <c r="Y67" s="4"/>
      <c r="Z67" s="4"/>
    </row>
    <row r="68" ht="15.75" customHeight="1">
      <c r="A68" s="4"/>
      <c r="B68" s="42"/>
      <c r="C68" s="4"/>
      <c r="D68" s="4"/>
      <c r="E68" s="4"/>
      <c r="F68" s="43"/>
      <c r="G68" s="4"/>
      <c r="H68" s="4"/>
      <c r="I68" s="4"/>
      <c r="J68" s="4"/>
      <c r="K68" s="4"/>
      <c r="L68" s="4"/>
      <c r="M68" s="4"/>
      <c r="N68" s="4"/>
      <c r="O68" s="4"/>
      <c r="P68" s="4"/>
      <c r="Q68" s="4"/>
      <c r="R68" s="4"/>
      <c r="S68" s="4"/>
      <c r="T68" s="4"/>
      <c r="U68" s="4"/>
      <c r="V68" s="4"/>
      <c r="W68" s="4"/>
      <c r="X68" s="4"/>
      <c r="Y68" s="4"/>
      <c r="Z68" s="4"/>
    </row>
    <row r="69" ht="15.75" customHeight="1">
      <c r="A69" s="4"/>
      <c r="B69" s="42"/>
      <c r="C69" s="4"/>
      <c r="D69" s="4"/>
      <c r="E69" s="4"/>
      <c r="F69" s="43"/>
      <c r="G69" s="4"/>
      <c r="H69" s="4"/>
      <c r="I69" s="4"/>
      <c r="J69" s="4"/>
      <c r="K69" s="4"/>
      <c r="L69" s="4"/>
      <c r="M69" s="4"/>
      <c r="N69" s="4"/>
      <c r="O69" s="4"/>
      <c r="P69" s="4"/>
      <c r="Q69" s="4"/>
      <c r="R69" s="4"/>
      <c r="S69" s="4"/>
      <c r="T69" s="4"/>
      <c r="U69" s="4"/>
      <c r="V69" s="4"/>
      <c r="W69" s="4"/>
      <c r="X69" s="4"/>
      <c r="Y69" s="4"/>
      <c r="Z69" s="4"/>
    </row>
    <row r="70" ht="15.75" customHeight="1">
      <c r="A70" s="4"/>
      <c r="B70" s="42"/>
      <c r="C70" s="4"/>
      <c r="D70" s="4"/>
      <c r="E70" s="4"/>
      <c r="F70" s="43"/>
      <c r="G70" s="4"/>
      <c r="H70" s="4"/>
      <c r="I70" s="4"/>
      <c r="J70" s="4"/>
      <c r="K70" s="4"/>
      <c r="L70" s="4"/>
      <c r="M70" s="4"/>
      <c r="N70" s="4"/>
      <c r="O70" s="4"/>
      <c r="P70" s="4"/>
      <c r="Q70" s="4"/>
      <c r="R70" s="4"/>
      <c r="S70" s="4"/>
      <c r="T70" s="4"/>
      <c r="U70" s="4"/>
      <c r="V70" s="4"/>
      <c r="W70" s="4"/>
      <c r="X70" s="4"/>
      <c r="Y70" s="4"/>
      <c r="Z70" s="4"/>
    </row>
    <row r="71" ht="15.75" customHeight="1">
      <c r="A71" s="4"/>
      <c r="B71" s="42"/>
      <c r="C71" s="4"/>
      <c r="D71" s="4"/>
      <c r="E71" s="4"/>
      <c r="F71" s="43"/>
      <c r="G71" s="4"/>
      <c r="H71" s="4"/>
      <c r="I71" s="4"/>
      <c r="J71" s="4"/>
      <c r="K71" s="4"/>
      <c r="L71" s="4"/>
      <c r="M71" s="4"/>
      <c r="N71" s="4"/>
      <c r="O71" s="4"/>
      <c r="P71" s="4"/>
      <c r="Q71" s="4"/>
      <c r="R71" s="4"/>
      <c r="S71" s="4"/>
      <c r="T71" s="4"/>
      <c r="U71" s="4"/>
      <c r="V71" s="4"/>
      <c r="W71" s="4"/>
      <c r="X71" s="4"/>
      <c r="Y71" s="4"/>
      <c r="Z71" s="4"/>
    </row>
    <row r="72" ht="15.75" customHeight="1">
      <c r="A72" s="4"/>
      <c r="B72" s="42"/>
      <c r="C72" s="4"/>
      <c r="D72" s="4"/>
      <c r="E72" s="4"/>
      <c r="F72" s="43"/>
      <c r="G72" s="4"/>
      <c r="H72" s="4"/>
      <c r="I72" s="4"/>
      <c r="J72" s="4"/>
      <c r="K72" s="4"/>
      <c r="L72" s="4"/>
      <c r="M72" s="4"/>
      <c r="N72" s="4"/>
      <c r="O72" s="4"/>
      <c r="P72" s="4"/>
      <c r="Q72" s="4"/>
      <c r="R72" s="4"/>
      <c r="S72" s="4"/>
      <c r="T72" s="4"/>
      <c r="U72" s="4"/>
      <c r="V72" s="4"/>
      <c r="W72" s="4"/>
      <c r="X72" s="4"/>
      <c r="Y72" s="4"/>
      <c r="Z72" s="4"/>
    </row>
    <row r="73" ht="15.75" customHeight="1">
      <c r="A73" s="4"/>
      <c r="B73" s="42"/>
      <c r="C73" s="4"/>
      <c r="D73" s="4"/>
      <c r="E73" s="4"/>
      <c r="F73" s="43"/>
      <c r="G73" s="4"/>
      <c r="H73" s="4"/>
      <c r="I73" s="4"/>
      <c r="J73" s="4"/>
      <c r="K73" s="4"/>
      <c r="L73" s="4"/>
      <c r="M73" s="4"/>
      <c r="N73" s="4"/>
      <c r="O73" s="4"/>
      <c r="P73" s="4"/>
      <c r="Q73" s="4"/>
      <c r="R73" s="4"/>
      <c r="S73" s="4"/>
      <c r="T73" s="4"/>
      <c r="U73" s="4"/>
      <c r="V73" s="4"/>
      <c r="W73" s="4"/>
      <c r="X73" s="4"/>
      <c r="Y73" s="4"/>
      <c r="Z73" s="4"/>
    </row>
    <row r="74" ht="15.75" customHeight="1">
      <c r="A74" s="4"/>
      <c r="B74" s="42"/>
      <c r="C74" s="4"/>
      <c r="D74" s="4"/>
      <c r="E74" s="4"/>
      <c r="F74" s="43"/>
      <c r="G74" s="4"/>
      <c r="H74" s="4"/>
      <c r="I74" s="4"/>
      <c r="J74" s="4"/>
      <c r="K74" s="4"/>
      <c r="L74" s="4"/>
      <c r="M74" s="4"/>
      <c r="N74" s="4"/>
      <c r="O74" s="4"/>
      <c r="P74" s="4"/>
      <c r="Q74" s="4"/>
      <c r="R74" s="4"/>
      <c r="S74" s="4"/>
      <c r="T74" s="4"/>
      <c r="U74" s="4"/>
      <c r="V74" s="4"/>
      <c r="W74" s="4"/>
      <c r="X74" s="4"/>
      <c r="Y74" s="4"/>
      <c r="Z74" s="4"/>
    </row>
    <row r="75" ht="15.75" customHeight="1">
      <c r="A75" s="4"/>
      <c r="B75" s="42"/>
      <c r="C75" s="4"/>
      <c r="D75" s="4"/>
      <c r="E75" s="4"/>
      <c r="F75" s="43"/>
      <c r="G75" s="4"/>
      <c r="H75" s="4"/>
      <c r="I75" s="4"/>
      <c r="J75" s="4"/>
      <c r="K75" s="4"/>
      <c r="L75" s="4"/>
      <c r="M75" s="4"/>
      <c r="N75" s="4"/>
      <c r="O75" s="4"/>
      <c r="P75" s="4"/>
      <c r="Q75" s="4"/>
      <c r="R75" s="4"/>
      <c r="S75" s="4"/>
      <c r="T75" s="4"/>
      <c r="U75" s="4"/>
      <c r="V75" s="4"/>
      <c r="W75" s="4"/>
      <c r="X75" s="4"/>
      <c r="Y75" s="4"/>
      <c r="Z75" s="4"/>
    </row>
    <row r="76" ht="15.75" customHeight="1">
      <c r="A76" s="4"/>
      <c r="B76" s="42"/>
      <c r="C76" s="4"/>
      <c r="D76" s="4"/>
      <c r="E76" s="4"/>
      <c r="F76" s="43"/>
      <c r="G76" s="4"/>
      <c r="H76" s="4"/>
      <c r="I76" s="4"/>
      <c r="J76" s="4"/>
      <c r="K76" s="4"/>
      <c r="L76" s="4"/>
      <c r="M76" s="4"/>
      <c r="N76" s="4"/>
      <c r="O76" s="4"/>
      <c r="P76" s="4"/>
      <c r="Q76" s="4"/>
      <c r="R76" s="4"/>
      <c r="S76" s="4"/>
      <c r="T76" s="4"/>
      <c r="U76" s="4"/>
      <c r="V76" s="4"/>
      <c r="W76" s="4"/>
      <c r="X76" s="4"/>
      <c r="Y76" s="4"/>
      <c r="Z76" s="4"/>
    </row>
    <row r="77" ht="15.75" customHeight="1">
      <c r="A77" s="4"/>
      <c r="B77" s="42"/>
      <c r="C77" s="4"/>
      <c r="D77" s="4"/>
      <c r="E77" s="4"/>
      <c r="F77" s="43"/>
      <c r="G77" s="4"/>
      <c r="H77" s="4"/>
      <c r="I77" s="4"/>
      <c r="J77" s="4"/>
      <c r="K77" s="4"/>
      <c r="L77" s="4"/>
      <c r="M77" s="4"/>
      <c r="N77" s="4"/>
      <c r="O77" s="4"/>
      <c r="P77" s="4"/>
      <c r="Q77" s="4"/>
      <c r="R77" s="4"/>
      <c r="S77" s="4"/>
      <c r="T77" s="4"/>
      <c r="U77" s="4"/>
      <c r="V77" s="4"/>
      <c r="W77" s="4"/>
      <c r="X77" s="4"/>
      <c r="Y77" s="4"/>
      <c r="Z77" s="4"/>
    </row>
    <row r="78" ht="15.75" customHeight="1">
      <c r="A78" s="4"/>
      <c r="B78" s="42"/>
      <c r="C78" s="4"/>
      <c r="D78" s="4"/>
      <c r="E78" s="4"/>
      <c r="F78" s="43"/>
      <c r="G78" s="4"/>
      <c r="H78" s="4"/>
      <c r="I78" s="4"/>
      <c r="J78" s="4"/>
      <c r="K78" s="4"/>
      <c r="L78" s="4"/>
      <c r="M78" s="4"/>
      <c r="N78" s="4"/>
      <c r="O78" s="4"/>
      <c r="P78" s="4"/>
      <c r="Q78" s="4"/>
      <c r="R78" s="4"/>
      <c r="S78" s="4"/>
      <c r="T78" s="4"/>
      <c r="U78" s="4"/>
      <c r="V78" s="4"/>
      <c r="W78" s="4"/>
      <c r="X78" s="4"/>
      <c r="Y78" s="4"/>
      <c r="Z78" s="4"/>
    </row>
    <row r="79" ht="15.75" customHeight="1">
      <c r="A79" s="4"/>
      <c r="B79" s="42"/>
      <c r="C79" s="4"/>
      <c r="D79" s="4"/>
      <c r="E79" s="4"/>
      <c r="F79" s="43"/>
      <c r="G79" s="4"/>
      <c r="H79" s="4"/>
      <c r="I79" s="4"/>
      <c r="J79" s="4"/>
      <c r="K79" s="4"/>
      <c r="L79" s="4"/>
      <c r="M79" s="4"/>
      <c r="N79" s="4"/>
      <c r="O79" s="4"/>
      <c r="P79" s="4"/>
      <c r="Q79" s="4"/>
      <c r="R79" s="4"/>
      <c r="S79" s="4"/>
      <c r="T79" s="4"/>
      <c r="U79" s="4"/>
      <c r="V79" s="4"/>
      <c r="W79" s="4"/>
      <c r="X79" s="4"/>
      <c r="Y79" s="4"/>
      <c r="Z79" s="4"/>
    </row>
    <row r="80" ht="15.75" customHeight="1">
      <c r="A80" s="4"/>
      <c r="B80" s="42"/>
      <c r="C80" s="4"/>
      <c r="D80" s="4"/>
      <c r="E80" s="4"/>
      <c r="F80" s="43"/>
      <c r="G80" s="4"/>
      <c r="H80" s="4"/>
      <c r="I80" s="4"/>
      <c r="J80" s="4"/>
      <c r="K80" s="4"/>
      <c r="L80" s="4"/>
      <c r="M80" s="4"/>
      <c r="N80" s="4"/>
      <c r="O80" s="4"/>
      <c r="P80" s="4"/>
      <c r="Q80" s="4"/>
      <c r="R80" s="4"/>
      <c r="S80" s="4"/>
      <c r="T80" s="4"/>
      <c r="U80" s="4"/>
      <c r="V80" s="4"/>
      <c r="W80" s="4"/>
      <c r="X80" s="4"/>
      <c r="Y80" s="4"/>
      <c r="Z80" s="4"/>
    </row>
    <row r="81" ht="15.75" customHeight="1">
      <c r="A81" s="4"/>
      <c r="B81" s="42"/>
      <c r="C81" s="4"/>
      <c r="D81" s="4"/>
      <c r="E81" s="4"/>
      <c r="F81" s="43"/>
      <c r="G81" s="4"/>
      <c r="H81" s="4"/>
      <c r="I81" s="4"/>
      <c r="J81" s="4"/>
      <c r="K81" s="4"/>
      <c r="L81" s="4"/>
      <c r="M81" s="4"/>
      <c r="N81" s="4"/>
      <c r="O81" s="4"/>
      <c r="P81" s="4"/>
      <c r="Q81" s="4"/>
      <c r="R81" s="4"/>
      <c r="S81" s="4"/>
      <c r="T81" s="4"/>
      <c r="U81" s="4"/>
      <c r="V81" s="4"/>
      <c r="W81" s="4"/>
      <c r="X81" s="4"/>
      <c r="Y81" s="4"/>
      <c r="Z81" s="4"/>
    </row>
    <row r="82" ht="15.75" customHeight="1">
      <c r="A82" s="4"/>
      <c r="B82" s="42"/>
      <c r="C82" s="4"/>
      <c r="D82" s="4"/>
      <c r="E82" s="4"/>
      <c r="F82" s="43"/>
      <c r="G82" s="4"/>
      <c r="H82" s="4"/>
      <c r="I82" s="4"/>
      <c r="J82" s="4"/>
      <c r="K82" s="4"/>
      <c r="L82" s="4"/>
      <c r="M82" s="4"/>
      <c r="N82" s="4"/>
      <c r="O82" s="4"/>
      <c r="P82" s="4"/>
      <c r="Q82" s="4"/>
      <c r="R82" s="4"/>
      <c r="S82" s="4"/>
      <c r="T82" s="4"/>
      <c r="U82" s="4"/>
      <c r="V82" s="4"/>
      <c r="W82" s="4"/>
      <c r="X82" s="4"/>
      <c r="Y82" s="4"/>
      <c r="Z82" s="4"/>
    </row>
    <row r="83" ht="15.75" customHeight="1">
      <c r="A83" s="4"/>
      <c r="B83" s="42"/>
      <c r="C83" s="4"/>
      <c r="D83" s="4"/>
      <c r="E83" s="4"/>
      <c r="F83" s="43"/>
      <c r="G83" s="4"/>
      <c r="H83" s="4"/>
      <c r="I83" s="4"/>
      <c r="J83" s="4"/>
      <c r="K83" s="4"/>
      <c r="L83" s="4"/>
      <c r="M83" s="4"/>
      <c r="N83" s="4"/>
      <c r="O83" s="4"/>
      <c r="P83" s="4"/>
      <c r="Q83" s="4"/>
      <c r="R83" s="4"/>
      <c r="S83" s="4"/>
      <c r="T83" s="4"/>
      <c r="U83" s="4"/>
      <c r="V83" s="4"/>
      <c r="W83" s="4"/>
      <c r="X83" s="4"/>
      <c r="Y83" s="4"/>
      <c r="Z83" s="4"/>
    </row>
    <row r="84" ht="15.75" customHeight="1">
      <c r="A84" s="4"/>
      <c r="B84" s="42"/>
      <c r="C84" s="4"/>
      <c r="D84" s="4"/>
      <c r="E84" s="4"/>
      <c r="F84" s="43"/>
      <c r="G84" s="4"/>
      <c r="H84" s="4"/>
      <c r="I84" s="4"/>
      <c r="J84" s="4"/>
      <c r="K84" s="4"/>
      <c r="L84" s="4"/>
      <c r="M84" s="4"/>
      <c r="N84" s="4"/>
      <c r="O84" s="4"/>
      <c r="P84" s="4"/>
      <c r="Q84" s="4"/>
      <c r="R84" s="4"/>
      <c r="S84" s="4"/>
      <c r="T84" s="4"/>
      <c r="U84" s="4"/>
      <c r="V84" s="4"/>
      <c r="W84" s="4"/>
      <c r="X84" s="4"/>
      <c r="Y84" s="4"/>
      <c r="Z84" s="4"/>
    </row>
    <row r="85" ht="15.75" customHeight="1">
      <c r="A85" s="4"/>
      <c r="B85" s="42"/>
      <c r="C85" s="4"/>
      <c r="D85" s="4"/>
      <c r="E85" s="4"/>
      <c r="F85" s="43"/>
      <c r="G85" s="4"/>
      <c r="H85" s="4"/>
      <c r="I85" s="4"/>
      <c r="J85" s="4"/>
      <c r="K85" s="4"/>
      <c r="L85" s="4"/>
      <c r="M85" s="4"/>
      <c r="N85" s="4"/>
      <c r="O85" s="4"/>
      <c r="P85" s="4"/>
      <c r="Q85" s="4"/>
      <c r="R85" s="4"/>
      <c r="S85" s="4"/>
      <c r="T85" s="4"/>
      <c r="U85" s="4"/>
      <c r="V85" s="4"/>
      <c r="W85" s="4"/>
      <c r="X85" s="4"/>
      <c r="Y85" s="4"/>
      <c r="Z85" s="4"/>
    </row>
    <row r="86" ht="15.75" customHeight="1">
      <c r="A86" s="4"/>
      <c r="B86" s="42"/>
      <c r="C86" s="4"/>
      <c r="D86" s="4"/>
      <c r="E86" s="4"/>
      <c r="F86" s="43"/>
      <c r="G86" s="4"/>
      <c r="H86" s="4"/>
      <c r="I86" s="4"/>
      <c r="J86" s="4"/>
      <c r="K86" s="4"/>
      <c r="L86" s="4"/>
      <c r="M86" s="4"/>
      <c r="N86" s="4"/>
      <c r="O86" s="4"/>
      <c r="P86" s="4"/>
      <c r="Q86" s="4"/>
      <c r="R86" s="4"/>
      <c r="S86" s="4"/>
      <c r="T86" s="4"/>
      <c r="U86" s="4"/>
      <c r="V86" s="4"/>
      <c r="W86" s="4"/>
      <c r="X86" s="4"/>
      <c r="Y86" s="4"/>
      <c r="Z86" s="4"/>
    </row>
    <row r="87" ht="15.75" customHeight="1">
      <c r="A87" s="4"/>
      <c r="B87" s="42"/>
      <c r="C87" s="4"/>
      <c r="D87" s="4"/>
      <c r="E87" s="4"/>
      <c r="F87" s="43"/>
      <c r="G87" s="4"/>
      <c r="H87" s="4"/>
      <c r="I87" s="4"/>
      <c r="J87" s="4"/>
      <c r="K87" s="4"/>
      <c r="L87" s="4"/>
      <c r="M87" s="4"/>
      <c r="N87" s="4"/>
      <c r="O87" s="4"/>
      <c r="P87" s="4"/>
      <c r="Q87" s="4"/>
      <c r="R87" s="4"/>
      <c r="S87" s="4"/>
      <c r="T87" s="4"/>
      <c r="U87" s="4"/>
      <c r="V87" s="4"/>
      <c r="W87" s="4"/>
      <c r="X87" s="4"/>
      <c r="Y87" s="4"/>
      <c r="Z87" s="4"/>
    </row>
    <row r="88" ht="15.75" customHeight="1">
      <c r="A88" s="4"/>
      <c r="B88" s="42"/>
      <c r="C88" s="4"/>
      <c r="D88" s="4"/>
      <c r="E88" s="4"/>
      <c r="F88" s="43"/>
      <c r="G88" s="4"/>
      <c r="H88" s="4"/>
      <c r="I88" s="4"/>
      <c r="J88" s="4"/>
      <c r="K88" s="4"/>
      <c r="L88" s="4"/>
      <c r="M88" s="4"/>
      <c r="N88" s="4"/>
      <c r="O88" s="4"/>
      <c r="P88" s="4"/>
      <c r="Q88" s="4"/>
      <c r="R88" s="4"/>
      <c r="S88" s="4"/>
      <c r="T88" s="4"/>
      <c r="U88" s="4"/>
      <c r="V88" s="4"/>
      <c r="W88" s="4"/>
      <c r="X88" s="4"/>
      <c r="Y88" s="4"/>
      <c r="Z88" s="4"/>
    </row>
    <row r="89" ht="15.75" customHeight="1">
      <c r="A89" s="4"/>
      <c r="B89" s="42"/>
      <c r="C89" s="4"/>
      <c r="D89" s="4"/>
      <c r="E89" s="4"/>
      <c r="F89" s="43"/>
      <c r="G89" s="4"/>
      <c r="H89" s="4"/>
      <c r="I89" s="4"/>
      <c r="J89" s="4"/>
      <c r="K89" s="4"/>
      <c r="L89" s="4"/>
      <c r="M89" s="4"/>
      <c r="N89" s="4"/>
      <c r="O89" s="4"/>
      <c r="P89" s="4"/>
      <c r="Q89" s="4"/>
      <c r="R89" s="4"/>
      <c r="S89" s="4"/>
      <c r="T89" s="4"/>
      <c r="U89" s="4"/>
      <c r="V89" s="4"/>
      <c r="W89" s="4"/>
      <c r="X89" s="4"/>
      <c r="Y89" s="4"/>
      <c r="Z89" s="4"/>
    </row>
    <row r="90" ht="15.75" customHeight="1">
      <c r="A90" s="4"/>
      <c r="B90" s="42"/>
      <c r="C90" s="4"/>
      <c r="D90" s="4"/>
      <c r="E90" s="4"/>
      <c r="F90" s="43"/>
      <c r="G90" s="4"/>
      <c r="H90" s="4"/>
      <c r="I90" s="4"/>
      <c r="J90" s="4"/>
      <c r="K90" s="4"/>
      <c r="L90" s="4"/>
      <c r="M90" s="4"/>
      <c r="N90" s="4"/>
      <c r="O90" s="4"/>
      <c r="P90" s="4"/>
      <c r="Q90" s="4"/>
      <c r="R90" s="4"/>
      <c r="S90" s="4"/>
      <c r="T90" s="4"/>
      <c r="U90" s="4"/>
      <c r="V90" s="4"/>
      <c r="W90" s="4"/>
      <c r="X90" s="4"/>
      <c r="Y90" s="4"/>
      <c r="Z90" s="4"/>
    </row>
    <row r="91" ht="15.75" customHeight="1">
      <c r="A91" s="4"/>
      <c r="B91" s="42"/>
      <c r="C91" s="4"/>
      <c r="D91" s="4"/>
      <c r="E91" s="4"/>
      <c r="F91" s="43"/>
      <c r="G91" s="4"/>
      <c r="H91" s="4"/>
      <c r="I91" s="4"/>
      <c r="J91" s="4"/>
      <c r="K91" s="4"/>
      <c r="L91" s="4"/>
      <c r="M91" s="4"/>
      <c r="N91" s="4"/>
      <c r="O91" s="4"/>
      <c r="P91" s="4"/>
      <c r="Q91" s="4"/>
      <c r="R91" s="4"/>
      <c r="S91" s="4"/>
      <c r="T91" s="4"/>
      <c r="U91" s="4"/>
      <c r="V91" s="4"/>
      <c r="W91" s="4"/>
      <c r="X91" s="4"/>
      <c r="Y91" s="4"/>
      <c r="Z91" s="4"/>
    </row>
    <row r="92" ht="15.75" customHeight="1">
      <c r="A92" s="4"/>
      <c r="B92" s="42"/>
      <c r="C92" s="4"/>
      <c r="D92" s="4"/>
      <c r="E92" s="4"/>
      <c r="F92" s="43"/>
      <c r="G92" s="4"/>
      <c r="H92" s="4"/>
      <c r="I92" s="4"/>
      <c r="J92" s="4"/>
      <c r="K92" s="4"/>
      <c r="L92" s="4"/>
      <c r="M92" s="4"/>
      <c r="N92" s="4"/>
      <c r="O92" s="4"/>
      <c r="P92" s="4"/>
      <c r="Q92" s="4"/>
      <c r="R92" s="4"/>
      <c r="S92" s="4"/>
      <c r="T92" s="4"/>
      <c r="U92" s="4"/>
      <c r="V92" s="4"/>
      <c r="W92" s="4"/>
      <c r="X92" s="4"/>
      <c r="Y92" s="4"/>
      <c r="Z92" s="4"/>
    </row>
    <row r="93" ht="15.75" customHeight="1">
      <c r="A93" s="4"/>
      <c r="B93" s="42"/>
      <c r="C93" s="4"/>
      <c r="D93" s="4"/>
      <c r="E93" s="4"/>
      <c r="F93" s="43"/>
      <c r="G93" s="4"/>
      <c r="H93" s="4"/>
      <c r="I93" s="4"/>
      <c r="J93" s="4"/>
      <c r="K93" s="4"/>
      <c r="L93" s="4"/>
      <c r="M93" s="4"/>
      <c r="N93" s="4"/>
      <c r="O93" s="4"/>
      <c r="P93" s="4"/>
      <c r="Q93" s="4"/>
      <c r="R93" s="4"/>
      <c r="S93" s="4"/>
      <c r="T93" s="4"/>
      <c r="U93" s="4"/>
      <c r="V93" s="4"/>
      <c r="W93" s="4"/>
      <c r="X93" s="4"/>
      <c r="Y93" s="4"/>
      <c r="Z93" s="4"/>
    </row>
    <row r="94" ht="15.75" customHeight="1">
      <c r="A94" s="4"/>
      <c r="B94" s="42"/>
      <c r="C94" s="4"/>
      <c r="D94" s="4"/>
      <c r="E94" s="4"/>
      <c r="F94" s="43"/>
      <c r="G94" s="4"/>
      <c r="H94" s="4"/>
      <c r="I94" s="4"/>
      <c r="J94" s="4"/>
      <c r="K94" s="4"/>
      <c r="L94" s="4"/>
      <c r="M94" s="4"/>
      <c r="N94" s="4"/>
      <c r="O94" s="4"/>
      <c r="P94" s="4"/>
      <c r="Q94" s="4"/>
      <c r="R94" s="4"/>
      <c r="S94" s="4"/>
      <c r="T94" s="4"/>
      <c r="U94" s="4"/>
      <c r="V94" s="4"/>
      <c r="W94" s="4"/>
      <c r="X94" s="4"/>
      <c r="Y94" s="4"/>
      <c r="Z94" s="4"/>
    </row>
    <row r="95" ht="15.75" customHeight="1">
      <c r="A95" s="4"/>
      <c r="B95" s="42"/>
      <c r="C95" s="4"/>
      <c r="D95" s="4"/>
      <c r="E95" s="4"/>
      <c r="F95" s="43"/>
      <c r="G95" s="4"/>
      <c r="H95" s="4"/>
      <c r="I95" s="4"/>
      <c r="J95" s="4"/>
      <c r="K95" s="4"/>
      <c r="L95" s="4"/>
      <c r="M95" s="4"/>
      <c r="N95" s="4"/>
      <c r="O95" s="4"/>
      <c r="P95" s="4"/>
      <c r="Q95" s="4"/>
      <c r="R95" s="4"/>
      <c r="S95" s="4"/>
      <c r="T95" s="4"/>
      <c r="U95" s="4"/>
      <c r="V95" s="4"/>
      <c r="W95" s="4"/>
      <c r="X95" s="4"/>
      <c r="Y95" s="4"/>
      <c r="Z95" s="4"/>
    </row>
    <row r="96" ht="15.75" customHeight="1">
      <c r="A96" s="4"/>
      <c r="B96" s="42"/>
      <c r="C96" s="4"/>
      <c r="D96" s="4"/>
      <c r="E96" s="4"/>
      <c r="F96" s="43"/>
      <c r="G96" s="4"/>
      <c r="H96" s="4"/>
      <c r="I96" s="4"/>
      <c r="J96" s="4"/>
      <c r="K96" s="4"/>
      <c r="L96" s="4"/>
      <c r="M96" s="4"/>
      <c r="N96" s="4"/>
      <c r="O96" s="4"/>
      <c r="P96" s="4"/>
      <c r="Q96" s="4"/>
      <c r="R96" s="4"/>
      <c r="S96" s="4"/>
      <c r="T96" s="4"/>
      <c r="U96" s="4"/>
      <c r="V96" s="4"/>
      <c r="W96" s="4"/>
      <c r="X96" s="4"/>
      <c r="Y96" s="4"/>
      <c r="Z96" s="4"/>
    </row>
    <row r="97" ht="15.75" customHeight="1">
      <c r="A97" s="4"/>
      <c r="B97" s="42"/>
      <c r="C97" s="4"/>
      <c r="D97" s="4"/>
      <c r="E97" s="4"/>
      <c r="F97" s="43"/>
      <c r="G97" s="4"/>
      <c r="H97" s="4"/>
      <c r="I97" s="4"/>
      <c r="J97" s="4"/>
      <c r="K97" s="4"/>
      <c r="L97" s="4"/>
      <c r="M97" s="4"/>
      <c r="N97" s="4"/>
      <c r="O97" s="4"/>
      <c r="P97" s="4"/>
      <c r="Q97" s="4"/>
      <c r="R97" s="4"/>
      <c r="S97" s="4"/>
      <c r="T97" s="4"/>
      <c r="U97" s="4"/>
      <c r="V97" s="4"/>
      <c r="W97" s="4"/>
      <c r="X97" s="4"/>
      <c r="Y97" s="4"/>
      <c r="Z97" s="4"/>
    </row>
    <row r="98" ht="15.75" customHeight="1">
      <c r="A98" s="4"/>
      <c r="B98" s="42"/>
      <c r="C98" s="4"/>
      <c r="D98" s="4"/>
      <c r="E98" s="4"/>
      <c r="F98" s="43"/>
      <c r="G98" s="4"/>
      <c r="H98" s="4"/>
      <c r="I98" s="4"/>
      <c r="J98" s="4"/>
      <c r="K98" s="4"/>
      <c r="L98" s="4"/>
      <c r="M98" s="4"/>
      <c r="N98" s="4"/>
      <c r="O98" s="4"/>
      <c r="P98" s="4"/>
      <c r="Q98" s="4"/>
      <c r="R98" s="4"/>
      <c r="S98" s="4"/>
      <c r="T98" s="4"/>
      <c r="U98" s="4"/>
      <c r="V98" s="4"/>
      <c r="W98" s="4"/>
      <c r="X98" s="4"/>
      <c r="Y98" s="4"/>
      <c r="Z98" s="4"/>
    </row>
    <row r="99" ht="15.75" customHeight="1">
      <c r="A99" s="4"/>
      <c r="B99" s="42"/>
      <c r="C99" s="4"/>
      <c r="D99" s="4"/>
      <c r="E99" s="4"/>
      <c r="F99" s="43"/>
      <c r="G99" s="4"/>
      <c r="H99" s="4"/>
      <c r="I99" s="4"/>
      <c r="J99" s="4"/>
      <c r="K99" s="4"/>
      <c r="L99" s="4"/>
      <c r="M99" s="4"/>
      <c r="N99" s="4"/>
      <c r="O99" s="4"/>
      <c r="P99" s="4"/>
      <c r="Q99" s="4"/>
      <c r="R99" s="4"/>
      <c r="S99" s="4"/>
      <c r="T99" s="4"/>
      <c r="U99" s="4"/>
      <c r="V99" s="4"/>
      <c r="W99" s="4"/>
      <c r="X99" s="4"/>
      <c r="Y99" s="4"/>
      <c r="Z99" s="4"/>
    </row>
    <row r="100" ht="15.75" customHeight="1">
      <c r="A100" s="4"/>
      <c r="B100" s="42"/>
      <c r="C100" s="4"/>
      <c r="D100" s="4"/>
      <c r="E100" s="4"/>
      <c r="F100" s="43"/>
      <c r="G100" s="4"/>
      <c r="H100" s="4"/>
      <c r="I100" s="4"/>
      <c r="J100" s="4"/>
      <c r="K100" s="4"/>
      <c r="L100" s="4"/>
      <c r="M100" s="4"/>
      <c r="N100" s="4"/>
      <c r="O100" s="4"/>
      <c r="P100" s="4"/>
      <c r="Q100" s="4"/>
      <c r="R100" s="4"/>
      <c r="S100" s="4"/>
      <c r="T100" s="4"/>
      <c r="U100" s="4"/>
      <c r="V100" s="4"/>
      <c r="W100" s="4"/>
      <c r="X100" s="4"/>
      <c r="Y100" s="4"/>
      <c r="Z100" s="4"/>
    </row>
    <row r="101" ht="15.75" customHeight="1">
      <c r="A101" s="4"/>
      <c r="B101" s="42"/>
      <c r="C101" s="4"/>
      <c r="D101" s="4"/>
      <c r="E101" s="4"/>
      <c r="F101" s="43"/>
      <c r="G101" s="4"/>
      <c r="H101" s="4"/>
      <c r="I101" s="4"/>
      <c r="J101" s="4"/>
      <c r="K101" s="4"/>
      <c r="L101" s="4"/>
      <c r="M101" s="4"/>
      <c r="N101" s="4"/>
      <c r="O101" s="4"/>
      <c r="P101" s="4"/>
      <c r="Q101" s="4"/>
      <c r="R101" s="4"/>
      <c r="S101" s="4"/>
      <c r="T101" s="4"/>
      <c r="U101" s="4"/>
      <c r="V101" s="4"/>
      <c r="W101" s="4"/>
      <c r="X101" s="4"/>
      <c r="Y101" s="4"/>
      <c r="Z101" s="4"/>
    </row>
    <row r="102" ht="15.75" customHeight="1">
      <c r="A102" s="4"/>
      <c r="B102" s="42"/>
      <c r="C102" s="4"/>
      <c r="D102" s="4"/>
      <c r="E102" s="4"/>
      <c r="F102" s="43"/>
      <c r="G102" s="4"/>
      <c r="H102" s="4"/>
      <c r="I102" s="4"/>
      <c r="J102" s="4"/>
      <c r="K102" s="4"/>
      <c r="L102" s="4"/>
      <c r="M102" s="4"/>
      <c r="N102" s="4"/>
      <c r="O102" s="4"/>
      <c r="P102" s="4"/>
      <c r="Q102" s="4"/>
      <c r="R102" s="4"/>
      <c r="S102" s="4"/>
      <c r="T102" s="4"/>
      <c r="U102" s="4"/>
      <c r="V102" s="4"/>
      <c r="W102" s="4"/>
      <c r="X102" s="4"/>
      <c r="Y102" s="4"/>
      <c r="Z102" s="4"/>
    </row>
    <row r="103" ht="15.75" customHeight="1">
      <c r="A103" s="4"/>
      <c r="B103" s="42"/>
      <c r="C103" s="4"/>
      <c r="D103" s="4"/>
      <c r="E103" s="4"/>
      <c r="F103" s="43"/>
      <c r="G103" s="4"/>
      <c r="H103" s="4"/>
      <c r="I103" s="4"/>
      <c r="J103" s="4"/>
      <c r="K103" s="4"/>
      <c r="L103" s="4"/>
      <c r="M103" s="4"/>
      <c r="N103" s="4"/>
      <c r="O103" s="4"/>
      <c r="P103" s="4"/>
      <c r="Q103" s="4"/>
      <c r="R103" s="4"/>
      <c r="S103" s="4"/>
      <c r="T103" s="4"/>
      <c r="U103" s="4"/>
      <c r="V103" s="4"/>
      <c r="W103" s="4"/>
      <c r="X103" s="4"/>
      <c r="Y103" s="4"/>
      <c r="Z103" s="4"/>
    </row>
    <row r="104" ht="15.75" customHeight="1">
      <c r="A104" s="4"/>
      <c r="B104" s="42"/>
      <c r="C104" s="4"/>
      <c r="D104" s="4"/>
      <c r="E104" s="4"/>
      <c r="F104" s="43"/>
      <c r="G104" s="4"/>
      <c r="H104" s="4"/>
      <c r="I104" s="4"/>
      <c r="J104" s="4"/>
      <c r="K104" s="4"/>
      <c r="L104" s="4"/>
      <c r="M104" s="4"/>
      <c r="N104" s="4"/>
      <c r="O104" s="4"/>
      <c r="P104" s="4"/>
      <c r="Q104" s="4"/>
      <c r="R104" s="4"/>
      <c r="S104" s="4"/>
      <c r="T104" s="4"/>
      <c r="U104" s="4"/>
      <c r="V104" s="4"/>
      <c r="W104" s="4"/>
      <c r="X104" s="4"/>
      <c r="Y104" s="4"/>
      <c r="Z104" s="4"/>
    </row>
    <row r="105" ht="15.75" customHeight="1">
      <c r="A105" s="4"/>
      <c r="B105" s="42"/>
      <c r="C105" s="4"/>
      <c r="D105" s="4"/>
      <c r="E105" s="4"/>
      <c r="F105" s="43"/>
      <c r="G105" s="4"/>
      <c r="H105" s="4"/>
      <c r="I105" s="4"/>
      <c r="J105" s="4"/>
      <c r="K105" s="4"/>
      <c r="L105" s="4"/>
      <c r="M105" s="4"/>
      <c r="N105" s="4"/>
      <c r="O105" s="4"/>
      <c r="P105" s="4"/>
      <c r="Q105" s="4"/>
      <c r="R105" s="4"/>
      <c r="S105" s="4"/>
      <c r="T105" s="4"/>
      <c r="U105" s="4"/>
      <c r="V105" s="4"/>
      <c r="W105" s="4"/>
      <c r="X105" s="4"/>
      <c r="Y105" s="4"/>
      <c r="Z105" s="4"/>
    </row>
    <row r="106" ht="15.75" customHeight="1">
      <c r="A106" s="4"/>
      <c r="B106" s="42"/>
      <c r="C106" s="4"/>
      <c r="D106" s="4"/>
      <c r="E106" s="4"/>
      <c r="F106" s="43"/>
      <c r="G106" s="4"/>
      <c r="H106" s="4"/>
      <c r="I106" s="4"/>
      <c r="J106" s="4"/>
      <c r="K106" s="4"/>
      <c r="L106" s="4"/>
      <c r="M106" s="4"/>
      <c r="N106" s="4"/>
      <c r="O106" s="4"/>
      <c r="P106" s="4"/>
      <c r="Q106" s="4"/>
      <c r="R106" s="4"/>
      <c r="S106" s="4"/>
      <c r="T106" s="4"/>
      <c r="U106" s="4"/>
      <c r="V106" s="4"/>
      <c r="W106" s="4"/>
      <c r="X106" s="4"/>
      <c r="Y106" s="4"/>
      <c r="Z106" s="4"/>
    </row>
    <row r="107" ht="15.75" customHeight="1">
      <c r="A107" s="4"/>
      <c r="B107" s="42"/>
      <c r="C107" s="4"/>
      <c r="D107" s="4"/>
      <c r="E107" s="4"/>
      <c r="F107" s="43"/>
      <c r="G107" s="4"/>
      <c r="H107" s="4"/>
      <c r="I107" s="4"/>
      <c r="J107" s="4"/>
      <c r="K107" s="4"/>
      <c r="L107" s="4"/>
      <c r="M107" s="4"/>
      <c r="N107" s="4"/>
      <c r="O107" s="4"/>
      <c r="P107" s="4"/>
      <c r="Q107" s="4"/>
      <c r="R107" s="4"/>
      <c r="S107" s="4"/>
      <c r="T107" s="4"/>
      <c r="U107" s="4"/>
      <c r="V107" s="4"/>
      <c r="W107" s="4"/>
      <c r="X107" s="4"/>
      <c r="Y107" s="4"/>
      <c r="Z107" s="4"/>
    </row>
    <row r="108" ht="15.75" customHeight="1">
      <c r="A108" s="4"/>
      <c r="B108" s="42"/>
      <c r="C108" s="4"/>
      <c r="D108" s="4"/>
      <c r="E108" s="4"/>
      <c r="F108" s="43"/>
      <c r="G108" s="4"/>
      <c r="H108" s="4"/>
      <c r="I108" s="4"/>
      <c r="J108" s="4"/>
      <c r="K108" s="4"/>
      <c r="L108" s="4"/>
      <c r="M108" s="4"/>
      <c r="N108" s="4"/>
      <c r="O108" s="4"/>
      <c r="P108" s="4"/>
      <c r="Q108" s="4"/>
      <c r="R108" s="4"/>
      <c r="S108" s="4"/>
      <c r="T108" s="4"/>
      <c r="U108" s="4"/>
      <c r="V108" s="4"/>
      <c r="W108" s="4"/>
      <c r="X108" s="4"/>
      <c r="Y108" s="4"/>
      <c r="Z108" s="4"/>
    </row>
    <row r="109" ht="15.75" customHeight="1">
      <c r="A109" s="4"/>
      <c r="B109" s="42"/>
      <c r="C109" s="4"/>
      <c r="D109" s="4"/>
      <c r="E109" s="4"/>
      <c r="F109" s="43"/>
      <c r="G109" s="4"/>
      <c r="H109" s="4"/>
      <c r="I109" s="4"/>
      <c r="J109" s="4"/>
      <c r="K109" s="4"/>
      <c r="L109" s="4"/>
      <c r="M109" s="4"/>
      <c r="N109" s="4"/>
      <c r="O109" s="4"/>
      <c r="P109" s="4"/>
      <c r="Q109" s="4"/>
      <c r="R109" s="4"/>
      <c r="S109" s="4"/>
      <c r="T109" s="4"/>
      <c r="U109" s="4"/>
      <c r="V109" s="4"/>
      <c r="W109" s="4"/>
      <c r="X109" s="4"/>
      <c r="Y109" s="4"/>
      <c r="Z109" s="4"/>
    </row>
    <row r="110" ht="15.75" customHeight="1">
      <c r="A110" s="4"/>
      <c r="B110" s="42"/>
      <c r="C110" s="4"/>
      <c r="D110" s="4"/>
      <c r="E110" s="4"/>
      <c r="F110" s="43"/>
      <c r="G110" s="4"/>
      <c r="H110" s="4"/>
      <c r="I110" s="4"/>
      <c r="J110" s="4"/>
      <c r="K110" s="4"/>
      <c r="L110" s="4"/>
      <c r="M110" s="4"/>
      <c r="N110" s="4"/>
      <c r="O110" s="4"/>
      <c r="P110" s="4"/>
      <c r="Q110" s="4"/>
      <c r="R110" s="4"/>
      <c r="S110" s="4"/>
      <c r="T110" s="4"/>
      <c r="U110" s="4"/>
      <c r="V110" s="4"/>
      <c r="W110" s="4"/>
      <c r="X110" s="4"/>
      <c r="Y110" s="4"/>
      <c r="Z110" s="4"/>
    </row>
    <row r="111" ht="15.75" customHeight="1">
      <c r="A111" s="4"/>
      <c r="B111" s="42"/>
      <c r="C111" s="4"/>
      <c r="D111" s="4"/>
      <c r="E111" s="4"/>
      <c r="F111" s="43"/>
      <c r="G111" s="4"/>
      <c r="H111" s="4"/>
      <c r="I111" s="4"/>
      <c r="J111" s="4"/>
      <c r="K111" s="4"/>
      <c r="L111" s="4"/>
      <c r="M111" s="4"/>
      <c r="N111" s="4"/>
      <c r="O111" s="4"/>
      <c r="P111" s="4"/>
      <c r="Q111" s="4"/>
      <c r="R111" s="4"/>
      <c r="S111" s="4"/>
      <c r="T111" s="4"/>
      <c r="U111" s="4"/>
      <c r="V111" s="4"/>
      <c r="W111" s="4"/>
      <c r="X111" s="4"/>
      <c r="Y111" s="4"/>
      <c r="Z111" s="4"/>
    </row>
    <row r="112" ht="15.75" customHeight="1">
      <c r="A112" s="4"/>
      <c r="B112" s="42"/>
      <c r="C112" s="4"/>
      <c r="D112" s="4"/>
      <c r="E112" s="4"/>
      <c r="F112" s="43"/>
      <c r="G112" s="4"/>
      <c r="H112" s="4"/>
      <c r="I112" s="4"/>
      <c r="J112" s="4"/>
      <c r="K112" s="4"/>
      <c r="L112" s="4"/>
      <c r="M112" s="4"/>
      <c r="N112" s="4"/>
      <c r="O112" s="4"/>
      <c r="P112" s="4"/>
      <c r="Q112" s="4"/>
      <c r="R112" s="4"/>
      <c r="S112" s="4"/>
      <c r="T112" s="4"/>
      <c r="U112" s="4"/>
      <c r="V112" s="4"/>
      <c r="W112" s="4"/>
      <c r="X112" s="4"/>
      <c r="Y112" s="4"/>
      <c r="Z112" s="4"/>
    </row>
    <row r="113" ht="15.75" customHeight="1">
      <c r="A113" s="4"/>
      <c r="B113" s="42"/>
      <c r="C113" s="4"/>
      <c r="D113" s="4"/>
      <c r="E113" s="4"/>
      <c r="F113" s="43"/>
      <c r="G113" s="4"/>
      <c r="H113" s="4"/>
      <c r="I113" s="4"/>
      <c r="J113" s="4"/>
      <c r="K113" s="4"/>
      <c r="L113" s="4"/>
      <c r="M113" s="4"/>
      <c r="N113" s="4"/>
      <c r="O113" s="4"/>
      <c r="P113" s="4"/>
      <c r="Q113" s="4"/>
      <c r="R113" s="4"/>
      <c r="S113" s="4"/>
      <c r="T113" s="4"/>
      <c r="U113" s="4"/>
      <c r="V113" s="4"/>
      <c r="W113" s="4"/>
      <c r="X113" s="4"/>
      <c r="Y113" s="4"/>
      <c r="Z113" s="4"/>
    </row>
    <row r="114" ht="15.75" customHeight="1">
      <c r="A114" s="4"/>
      <c r="B114" s="42"/>
      <c r="C114" s="4"/>
      <c r="D114" s="4"/>
      <c r="E114" s="4"/>
      <c r="F114" s="43"/>
      <c r="G114" s="4"/>
      <c r="H114" s="4"/>
      <c r="I114" s="4"/>
      <c r="J114" s="4"/>
      <c r="K114" s="4"/>
      <c r="L114" s="4"/>
      <c r="M114" s="4"/>
      <c r="N114" s="4"/>
      <c r="O114" s="4"/>
      <c r="P114" s="4"/>
      <c r="Q114" s="4"/>
      <c r="R114" s="4"/>
      <c r="S114" s="4"/>
      <c r="T114" s="4"/>
      <c r="U114" s="4"/>
      <c r="V114" s="4"/>
      <c r="W114" s="4"/>
      <c r="X114" s="4"/>
      <c r="Y114" s="4"/>
      <c r="Z114" s="4"/>
    </row>
    <row r="115" ht="15.75" customHeight="1">
      <c r="A115" s="4"/>
      <c r="B115" s="42"/>
      <c r="C115" s="4"/>
      <c r="D115" s="4"/>
      <c r="E115" s="4"/>
      <c r="F115" s="43"/>
      <c r="G115" s="4"/>
      <c r="H115" s="4"/>
      <c r="I115" s="4"/>
      <c r="J115" s="4"/>
      <c r="K115" s="4"/>
      <c r="L115" s="4"/>
      <c r="M115" s="4"/>
      <c r="N115" s="4"/>
      <c r="O115" s="4"/>
      <c r="P115" s="4"/>
      <c r="Q115" s="4"/>
      <c r="R115" s="4"/>
      <c r="S115" s="4"/>
      <c r="T115" s="4"/>
      <c r="U115" s="4"/>
      <c r="V115" s="4"/>
      <c r="W115" s="4"/>
      <c r="X115" s="4"/>
      <c r="Y115" s="4"/>
      <c r="Z115" s="4"/>
    </row>
    <row r="116" ht="15.75" customHeight="1">
      <c r="A116" s="4"/>
      <c r="B116" s="42"/>
      <c r="C116" s="4"/>
      <c r="D116" s="4"/>
      <c r="E116" s="4"/>
      <c r="F116" s="43"/>
      <c r="G116" s="4"/>
      <c r="H116" s="4"/>
      <c r="I116" s="4"/>
      <c r="J116" s="4"/>
      <c r="K116" s="4"/>
      <c r="L116" s="4"/>
      <c r="M116" s="4"/>
      <c r="N116" s="4"/>
      <c r="O116" s="4"/>
      <c r="P116" s="4"/>
      <c r="Q116" s="4"/>
      <c r="R116" s="4"/>
      <c r="S116" s="4"/>
      <c r="T116" s="4"/>
      <c r="U116" s="4"/>
      <c r="V116" s="4"/>
      <c r="W116" s="4"/>
      <c r="X116" s="4"/>
      <c r="Y116" s="4"/>
      <c r="Z116" s="4"/>
    </row>
    <row r="117" ht="15.75" customHeight="1">
      <c r="A117" s="4"/>
      <c r="B117" s="42"/>
      <c r="C117" s="4"/>
      <c r="D117" s="4"/>
      <c r="E117" s="4"/>
      <c r="F117" s="43"/>
      <c r="G117" s="4"/>
      <c r="H117" s="4"/>
      <c r="I117" s="4"/>
      <c r="J117" s="4"/>
      <c r="K117" s="4"/>
      <c r="L117" s="4"/>
      <c r="M117" s="4"/>
      <c r="N117" s="4"/>
      <c r="O117" s="4"/>
      <c r="P117" s="4"/>
      <c r="Q117" s="4"/>
      <c r="R117" s="4"/>
      <c r="S117" s="4"/>
      <c r="T117" s="4"/>
      <c r="U117" s="4"/>
      <c r="V117" s="4"/>
      <c r="W117" s="4"/>
      <c r="X117" s="4"/>
      <c r="Y117" s="4"/>
      <c r="Z117" s="4"/>
    </row>
    <row r="118" ht="15.75" customHeight="1">
      <c r="A118" s="4"/>
      <c r="B118" s="42"/>
      <c r="C118" s="4"/>
      <c r="D118" s="4"/>
      <c r="E118" s="4"/>
      <c r="F118" s="43"/>
      <c r="G118" s="4"/>
      <c r="H118" s="4"/>
      <c r="I118" s="4"/>
      <c r="J118" s="4"/>
      <c r="K118" s="4"/>
      <c r="L118" s="4"/>
      <c r="M118" s="4"/>
      <c r="N118" s="4"/>
      <c r="O118" s="4"/>
      <c r="P118" s="4"/>
      <c r="Q118" s="4"/>
      <c r="R118" s="4"/>
      <c r="S118" s="4"/>
      <c r="T118" s="4"/>
      <c r="U118" s="4"/>
      <c r="V118" s="4"/>
      <c r="W118" s="4"/>
      <c r="X118" s="4"/>
      <c r="Y118" s="4"/>
      <c r="Z118" s="4"/>
    </row>
    <row r="119" ht="15.75" customHeight="1">
      <c r="A119" s="4"/>
      <c r="B119" s="42"/>
      <c r="C119" s="4"/>
      <c r="D119" s="4"/>
      <c r="E119" s="4"/>
      <c r="F119" s="43"/>
      <c r="G119" s="4"/>
      <c r="H119" s="4"/>
      <c r="I119" s="4"/>
      <c r="J119" s="4"/>
      <c r="K119" s="4"/>
      <c r="L119" s="4"/>
      <c r="M119" s="4"/>
      <c r="N119" s="4"/>
      <c r="O119" s="4"/>
      <c r="P119" s="4"/>
      <c r="Q119" s="4"/>
      <c r="R119" s="4"/>
      <c r="S119" s="4"/>
      <c r="T119" s="4"/>
      <c r="U119" s="4"/>
      <c r="V119" s="4"/>
      <c r="W119" s="4"/>
      <c r="X119" s="4"/>
      <c r="Y119" s="4"/>
      <c r="Z119" s="4"/>
    </row>
    <row r="120" ht="15.75" customHeight="1">
      <c r="A120" s="4"/>
      <c r="B120" s="42"/>
      <c r="C120" s="4"/>
      <c r="D120" s="4"/>
      <c r="E120" s="4"/>
      <c r="F120" s="43"/>
      <c r="G120" s="4"/>
      <c r="H120" s="4"/>
      <c r="I120" s="4"/>
      <c r="J120" s="4"/>
      <c r="K120" s="4"/>
      <c r="L120" s="4"/>
      <c r="M120" s="4"/>
      <c r="N120" s="4"/>
      <c r="O120" s="4"/>
      <c r="P120" s="4"/>
      <c r="Q120" s="4"/>
      <c r="R120" s="4"/>
      <c r="S120" s="4"/>
      <c r="T120" s="4"/>
      <c r="U120" s="4"/>
      <c r="V120" s="4"/>
      <c r="W120" s="4"/>
      <c r="X120" s="4"/>
      <c r="Y120" s="4"/>
      <c r="Z120" s="4"/>
    </row>
    <row r="121" ht="15.75" customHeight="1">
      <c r="A121" s="4"/>
      <c r="B121" s="42"/>
      <c r="C121" s="4"/>
      <c r="D121" s="4"/>
      <c r="E121" s="4"/>
      <c r="F121" s="43"/>
      <c r="G121" s="4"/>
      <c r="H121" s="4"/>
      <c r="I121" s="4"/>
      <c r="J121" s="4"/>
      <c r="K121" s="4"/>
      <c r="L121" s="4"/>
      <c r="M121" s="4"/>
      <c r="N121" s="4"/>
      <c r="O121" s="4"/>
      <c r="P121" s="4"/>
      <c r="Q121" s="4"/>
      <c r="R121" s="4"/>
      <c r="S121" s="4"/>
      <c r="T121" s="4"/>
      <c r="U121" s="4"/>
      <c r="V121" s="4"/>
      <c r="W121" s="4"/>
      <c r="X121" s="4"/>
      <c r="Y121" s="4"/>
      <c r="Z121" s="4"/>
    </row>
    <row r="122" ht="15.75" customHeight="1">
      <c r="A122" s="4"/>
      <c r="B122" s="42"/>
      <c r="C122" s="4"/>
      <c r="D122" s="4"/>
      <c r="E122" s="4"/>
      <c r="F122" s="43"/>
      <c r="G122" s="4"/>
      <c r="H122" s="4"/>
      <c r="I122" s="4"/>
      <c r="J122" s="4"/>
      <c r="K122" s="4"/>
      <c r="L122" s="4"/>
      <c r="M122" s="4"/>
      <c r="N122" s="4"/>
      <c r="O122" s="4"/>
      <c r="P122" s="4"/>
      <c r="Q122" s="4"/>
      <c r="R122" s="4"/>
      <c r="S122" s="4"/>
      <c r="T122" s="4"/>
      <c r="U122" s="4"/>
      <c r="V122" s="4"/>
      <c r="W122" s="4"/>
      <c r="X122" s="4"/>
      <c r="Y122" s="4"/>
      <c r="Z122" s="4"/>
    </row>
    <row r="123" ht="15.75" customHeight="1">
      <c r="A123" s="4"/>
      <c r="B123" s="42"/>
      <c r="C123" s="4"/>
      <c r="D123" s="4"/>
      <c r="E123" s="4"/>
      <c r="F123" s="43"/>
      <c r="G123" s="4"/>
      <c r="H123" s="4"/>
      <c r="I123" s="4"/>
      <c r="J123" s="4"/>
      <c r="K123" s="4"/>
      <c r="L123" s="4"/>
      <c r="M123" s="4"/>
      <c r="N123" s="4"/>
      <c r="O123" s="4"/>
      <c r="P123" s="4"/>
      <c r="Q123" s="4"/>
      <c r="R123" s="4"/>
      <c r="S123" s="4"/>
      <c r="T123" s="4"/>
      <c r="U123" s="4"/>
      <c r="V123" s="4"/>
      <c r="W123" s="4"/>
      <c r="X123" s="4"/>
      <c r="Y123" s="4"/>
      <c r="Z123" s="4"/>
    </row>
    <row r="124" ht="15.75" customHeight="1">
      <c r="A124" s="4"/>
      <c r="B124" s="42"/>
      <c r="C124" s="4"/>
      <c r="D124" s="4"/>
      <c r="E124" s="4"/>
      <c r="F124" s="43"/>
      <c r="G124" s="4"/>
      <c r="H124" s="4"/>
      <c r="I124" s="4"/>
      <c r="J124" s="4"/>
      <c r="K124" s="4"/>
      <c r="L124" s="4"/>
      <c r="M124" s="4"/>
      <c r="N124" s="4"/>
      <c r="O124" s="4"/>
      <c r="P124" s="4"/>
      <c r="Q124" s="4"/>
      <c r="R124" s="4"/>
      <c r="S124" s="4"/>
      <c r="T124" s="4"/>
      <c r="U124" s="4"/>
      <c r="V124" s="4"/>
      <c r="W124" s="4"/>
      <c r="X124" s="4"/>
      <c r="Y124" s="4"/>
      <c r="Z124" s="4"/>
    </row>
    <row r="125" ht="15.75" customHeight="1">
      <c r="A125" s="4"/>
      <c r="B125" s="42"/>
      <c r="C125" s="4"/>
      <c r="D125" s="4"/>
      <c r="E125" s="4"/>
      <c r="F125" s="43"/>
      <c r="G125" s="4"/>
      <c r="H125" s="4"/>
      <c r="I125" s="4"/>
      <c r="J125" s="4"/>
      <c r="K125" s="4"/>
      <c r="L125" s="4"/>
      <c r="M125" s="4"/>
      <c r="N125" s="4"/>
      <c r="O125" s="4"/>
      <c r="P125" s="4"/>
      <c r="Q125" s="4"/>
      <c r="R125" s="4"/>
      <c r="S125" s="4"/>
      <c r="T125" s="4"/>
      <c r="U125" s="4"/>
      <c r="V125" s="4"/>
      <c r="W125" s="4"/>
      <c r="X125" s="4"/>
      <c r="Y125" s="4"/>
      <c r="Z125" s="4"/>
    </row>
    <row r="126" ht="15.75" customHeight="1">
      <c r="A126" s="4"/>
      <c r="B126" s="42"/>
      <c r="C126" s="4"/>
      <c r="D126" s="4"/>
      <c r="E126" s="4"/>
      <c r="F126" s="43"/>
      <c r="G126" s="4"/>
      <c r="H126" s="4"/>
      <c r="I126" s="4"/>
      <c r="J126" s="4"/>
      <c r="K126" s="4"/>
      <c r="L126" s="4"/>
      <c r="M126" s="4"/>
      <c r="N126" s="4"/>
      <c r="O126" s="4"/>
      <c r="P126" s="4"/>
      <c r="Q126" s="4"/>
      <c r="R126" s="4"/>
      <c r="S126" s="4"/>
      <c r="T126" s="4"/>
      <c r="U126" s="4"/>
      <c r="V126" s="4"/>
      <c r="W126" s="4"/>
      <c r="X126" s="4"/>
      <c r="Y126" s="4"/>
      <c r="Z126" s="4"/>
    </row>
    <row r="127" ht="15.75" customHeight="1">
      <c r="A127" s="4"/>
      <c r="B127" s="42"/>
      <c r="C127" s="4"/>
      <c r="D127" s="4"/>
      <c r="E127" s="4"/>
      <c r="F127" s="43"/>
      <c r="G127" s="4"/>
      <c r="H127" s="4"/>
      <c r="I127" s="4"/>
      <c r="J127" s="4"/>
      <c r="K127" s="4"/>
      <c r="L127" s="4"/>
      <c r="M127" s="4"/>
      <c r="N127" s="4"/>
      <c r="O127" s="4"/>
      <c r="P127" s="4"/>
      <c r="Q127" s="4"/>
      <c r="R127" s="4"/>
      <c r="S127" s="4"/>
      <c r="T127" s="4"/>
      <c r="U127" s="4"/>
      <c r="V127" s="4"/>
      <c r="W127" s="4"/>
      <c r="X127" s="4"/>
      <c r="Y127" s="4"/>
      <c r="Z127" s="4"/>
    </row>
    <row r="128" ht="15.75" customHeight="1">
      <c r="A128" s="4"/>
      <c r="B128" s="42"/>
      <c r="C128" s="4"/>
      <c r="D128" s="4"/>
      <c r="E128" s="4"/>
      <c r="F128" s="43"/>
      <c r="G128" s="4"/>
      <c r="H128" s="4"/>
      <c r="I128" s="4"/>
      <c r="J128" s="4"/>
      <c r="K128" s="4"/>
      <c r="L128" s="4"/>
      <c r="M128" s="4"/>
      <c r="N128" s="4"/>
      <c r="O128" s="4"/>
      <c r="P128" s="4"/>
      <c r="Q128" s="4"/>
      <c r="R128" s="4"/>
      <c r="S128" s="4"/>
      <c r="T128" s="4"/>
      <c r="U128" s="4"/>
      <c r="V128" s="4"/>
      <c r="W128" s="4"/>
      <c r="X128" s="4"/>
      <c r="Y128" s="4"/>
      <c r="Z128" s="4"/>
    </row>
    <row r="129" ht="15.75" customHeight="1">
      <c r="A129" s="4"/>
      <c r="B129" s="42"/>
      <c r="C129" s="4"/>
      <c r="D129" s="4"/>
      <c r="E129" s="4"/>
      <c r="F129" s="43"/>
      <c r="G129" s="4"/>
      <c r="H129" s="4"/>
      <c r="I129" s="4"/>
      <c r="J129" s="4"/>
      <c r="K129" s="4"/>
      <c r="L129" s="4"/>
      <c r="M129" s="4"/>
      <c r="N129" s="4"/>
      <c r="O129" s="4"/>
      <c r="P129" s="4"/>
      <c r="Q129" s="4"/>
      <c r="R129" s="4"/>
      <c r="S129" s="4"/>
      <c r="T129" s="4"/>
      <c r="U129" s="4"/>
      <c r="V129" s="4"/>
      <c r="W129" s="4"/>
      <c r="X129" s="4"/>
      <c r="Y129" s="4"/>
      <c r="Z129" s="4"/>
    </row>
    <row r="130" ht="15.75" customHeight="1">
      <c r="A130" s="4"/>
      <c r="B130" s="42"/>
      <c r="C130" s="4"/>
      <c r="D130" s="4"/>
      <c r="E130" s="4"/>
      <c r="F130" s="43"/>
      <c r="G130" s="4"/>
      <c r="H130" s="4"/>
      <c r="I130" s="4"/>
      <c r="J130" s="4"/>
      <c r="K130" s="4"/>
      <c r="L130" s="4"/>
      <c r="M130" s="4"/>
      <c r="N130" s="4"/>
      <c r="O130" s="4"/>
      <c r="P130" s="4"/>
      <c r="Q130" s="4"/>
      <c r="R130" s="4"/>
      <c r="S130" s="4"/>
      <c r="T130" s="4"/>
      <c r="U130" s="4"/>
      <c r="V130" s="4"/>
      <c r="W130" s="4"/>
      <c r="X130" s="4"/>
      <c r="Y130" s="4"/>
      <c r="Z130" s="4"/>
    </row>
    <row r="131" ht="15.75" customHeight="1">
      <c r="A131" s="4"/>
      <c r="B131" s="42"/>
      <c r="C131" s="4"/>
      <c r="D131" s="4"/>
      <c r="E131" s="4"/>
      <c r="F131" s="43"/>
      <c r="G131" s="4"/>
      <c r="H131" s="4"/>
      <c r="I131" s="4"/>
      <c r="J131" s="4"/>
      <c r="K131" s="4"/>
      <c r="L131" s="4"/>
      <c r="M131" s="4"/>
      <c r="N131" s="4"/>
      <c r="O131" s="4"/>
      <c r="P131" s="4"/>
      <c r="Q131" s="4"/>
      <c r="R131" s="4"/>
      <c r="S131" s="4"/>
      <c r="T131" s="4"/>
      <c r="U131" s="4"/>
      <c r="V131" s="4"/>
      <c r="W131" s="4"/>
      <c r="X131" s="4"/>
      <c r="Y131" s="4"/>
      <c r="Z131" s="4"/>
    </row>
    <row r="132" ht="15.75" customHeight="1">
      <c r="A132" s="4"/>
      <c r="B132" s="42"/>
      <c r="C132" s="4"/>
      <c r="D132" s="4"/>
      <c r="E132" s="4"/>
      <c r="F132" s="43"/>
      <c r="G132" s="4"/>
      <c r="H132" s="4"/>
      <c r="I132" s="4"/>
      <c r="J132" s="4"/>
      <c r="K132" s="4"/>
      <c r="L132" s="4"/>
      <c r="M132" s="4"/>
      <c r="N132" s="4"/>
      <c r="O132" s="4"/>
      <c r="P132" s="4"/>
      <c r="Q132" s="4"/>
      <c r="R132" s="4"/>
      <c r="S132" s="4"/>
      <c r="T132" s="4"/>
      <c r="U132" s="4"/>
      <c r="V132" s="4"/>
      <c r="W132" s="4"/>
      <c r="X132" s="4"/>
      <c r="Y132" s="4"/>
      <c r="Z132" s="4"/>
    </row>
    <row r="133" ht="15.75" customHeight="1">
      <c r="A133" s="4"/>
      <c r="B133" s="42"/>
      <c r="C133" s="4"/>
      <c r="D133" s="4"/>
      <c r="E133" s="4"/>
      <c r="F133" s="43"/>
      <c r="G133" s="4"/>
      <c r="H133" s="4"/>
      <c r="I133" s="4"/>
      <c r="J133" s="4"/>
      <c r="K133" s="4"/>
      <c r="L133" s="4"/>
      <c r="M133" s="4"/>
      <c r="N133" s="4"/>
      <c r="O133" s="4"/>
      <c r="P133" s="4"/>
      <c r="Q133" s="4"/>
      <c r="R133" s="4"/>
      <c r="S133" s="4"/>
      <c r="T133" s="4"/>
      <c r="U133" s="4"/>
      <c r="V133" s="4"/>
      <c r="W133" s="4"/>
      <c r="X133" s="4"/>
      <c r="Y133" s="4"/>
      <c r="Z133" s="4"/>
    </row>
    <row r="134" ht="15.75" customHeight="1">
      <c r="A134" s="4"/>
      <c r="B134" s="42"/>
      <c r="C134" s="4"/>
      <c r="D134" s="4"/>
      <c r="E134" s="4"/>
      <c r="F134" s="43"/>
      <c r="G134" s="4"/>
      <c r="H134" s="4"/>
      <c r="I134" s="4"/>
      <c r="J134" s="4"/>
      <c r="K134" s="4"/>
      <c r="L134" s="4"/>
      <c r="M134" s="4"/>
      <c r="N134" s="4"/>
      <c r="O134" s="4"/>
      <c r="P134" s="4"/>
      <c r="Q134" s="4"/>
      <c r="R134" s="4"/>
      <c r="S134" s="4"/>
      <c r="T134" s="4"/>
      <c r="U134" s="4"/>
      <c r="V134" s="4"/>
      <c r="W134" s="4"/>
      <c r="X134" s="4"/>
      <c r="Y134" s="4"/>
      <c r="Z134" s="4"/>
    </row>
    <row r="135" ht="15.75" customHeight="1">
      <c r="A135" s="4"/>
      <c r="B135" s="42"/>
      <c r="C135" s="4"/>
      <c r="D135" s="4"/>
      <c r="E135" s="4"/>
      <c r="F135" s="43"/>
      <c r="G135" s="4"/>
      <c r="H135" s="4"/>
      <c r="I135" s="4"/>
      <c r="J135" s="4"/>
      <c r="K135" s="4"/>
      <c r="L135" s="4"/>
      <c r="M135" s="4"/>
      <c r="N135" s="4"/>
      <c r="O135" s="4"/>
      <c r="P135" s="4"/>
      <c r="Q135" s="4"/>
      <c r="R135" s="4"/>
      <c r="S135" s="4"/>
      <c r="T135" s="4"/>
      <c r="U135" s="4"/>
      <c r="V135" s="4"/>
      <c r="W135" s="4"/>
      <c r="X135" s="4"/>
      <c r="Y135" s="4"/>
      <c r="Z135" s="4"/>
    </row>
    <row r="136" ht="15.75" customHeight="1">
      <c r="A136" s="4"/>
      <c r="B136" s="42"/>
      <c r="C136" s="4"/>
      <c r="D136" s="4"/>
      <c r="E136" s="4"/>
      <c r="F136" s="43"/>
      <c r="G136" s="4"/>
      <c r="H136" s="4"/>
      <c r="I136" s="4"/>
      <c r="J136" s="4"/>
      <c r="K136" s="4"/>
      <c r="L136" s="4"/>
      <c r="M136" s="4"/>
      <c r="N136" s="4"/>
      <c r="O136" s="4"/>
      <c r="P136" s="4"/>
      <c r="Q136" s="4"/>
      <c r="R136" s="4"/>
      <c r="S136" s="4"/>
      <c r="T136" s="4"/>
      <c r="U136" s="4"/>
      <c r="V136" s="4"/>
      <c r="W136" s="4"/>
      <c r="X136" s="4"/>
      <c r="Y136" s="4"/>
      <c r="Z136" s="4"/>
    </row>
    <row r="137" ht="15.75" customHeight="1">
      <c r="A137" s="4"/>
      <c r="B137" s="42"/>
      <c r="C137" s="4"/>
      <c r="D137" s="4"/>
      <c r="E137" s="4"/>
      <c r="F137" s="43"/>
      <c r="G137" s="4"/>
      <c r="H137" s="4"/>
      <c r="I137" s="4"/>
      <c r="J137" s="4"/>
      <c r="K137" s="4"/>
      <c r="L137" s="4"/>
      <c r="M137" s="4"/>
      <c r="N137" s="4"/>
      <c r="O137" s="4"/>
      <c r="P137" s="4"/>
      <c r="Q137" s="4"/>
      <c r="R137" s="4"/>
      <c r="S137" s="4"/>
      <c r="T137" s="4"/>
      <c r="U137" s="4"/>
      <c r="V137" s="4"/>
      <c r="W137" s="4"/>
      <c r="X137" s="4"/>
      <c r="Y137" s="4"/>
      <c r="Z137" s="4"/>
    </row>
    <row r="138" ht="15.75" customHeight="1">
      <c r="A138" s="4"/>
      <c r="B138" s="42"/>
      <c r="C138" s="4"/>
      <c r="D138" s="4"/>
      <c r="E138" s="4"/>
      <c r="F138" s="43"/>
      <c r="G138" s="4"/>
      <c r="H138" s="4"/>
      <c r="I138" s="4"/>
      <c r="J138" s="4"/>
      <c r="K138" s="4"/>
      <c r="L138" s="4"/>
      <c r="M138" s="4"/>
      <c r="N138" s="4"/>
      <c r="O138" s="4"/>
      <c r="P138" s="4"/>
      <c r="Q138" s="4"/>
      <c r="R138" s="4"/>
      <c r="S138" s="4"/>
      <c r="T138" s="4"/>
      <c r="U138" s="4"/>
      <c r="V138" s="4"/>
      <c r="W138" s="4"/>
      <c r="X138" s="4"/>
      <c r="Y138" s="4"/>
      <c r="Z138" s="4"/>
    </row>
    <row r="139" ht="15.75" customHeight="1">
      <c r="A139" s="4"/>
      <c r="B139" s="42"/>
      <c r="C139" s="4"/>
      <c r="D139" s="4"/>
      <c r="E139" s="4"/>
      <c r="F139" s="43"/>
      <c r="G139" s="4"/>
      <c r="H139" s="4"/>
      <c r="I139" s="4"/>
      <c r="J139" s="4"/>
      <c r="K139" s="4"/>
      <c r="L139" s="4"/>
      <c r="M139" s="4"/>
      <c r="N139" s="4"/>
      <c r="O139" s="4"/>
      <c r="P139" s="4"/>
      <c r="Q139" s="4"/>
      <c r="R139" s="4"/>
      <c r="S139" s="4"/>
      <c r="T139" s="4"/>
      <c r="U139" s="4"/>
      <c r="V139" s="4"/>
      <c r="W139" s="4"/>
      <c r="X139" s="4"/>
      <c r="Y139" s="4"/>
      <c r="Z139" s="4"/>
    </row>
    <row r="140" ht="15.75" customHeight="1">
      <c r="A140" s="4"/>
      <c r="B140" s="42"/>
      <c r="C140" s="4"/>
      <c r="D140" s="4"/>
      <c r="E140" s="4"/>
      <c r="F140" s="43"/>
      <c r="G140" s="4"/>
      <c r="H140" s="4"/>
      <c r="I140" s="4"/>
      <c r="J140" s="4"/>
      <c r="K140" s="4"/>
      <c r="L140" s="4"/>
      <c r="M140" s="4"/>
      <c r="N140" s="4"/>
      <c r="O140" s="4"/>
      <c r="P140" s="4"/>
      <c r="Q140" s="4"/>
      <c r="R140" s="4"/>
      <c r="S140" s="4"/>
      <c r="T140" s="4"/>
      <c r="U140" s="4"/>
      <c r="V140" s="4"/>
      <c r="W140" s="4"/>
      <c r="X140" s="4"/>
      <c r="Y140" s="4"/>
      <c r="Z140" s="4"/>
    </row>
    <row r="141" ht="15.75" customHeight="1">
      <c r="A141" s="4"/>
      <c r="B141" s="42"/>
      <c r="C141" s="4"/>
      <c r="D141" s="4"/>
      <c r="E141" s="4"/>
      <c r="F141" s="43"/>
      <c r="G141" s="4"/>
      <c r="H141" s="4"/>
      <c r="I141" s="4"/>
      <c r="J141" s="4"/>
      <c r="K141" s="4"/>
      <c r="L141" s="4"/>
      <c r="M141" s="4"/>
      <c r="N141" s="4"/>
      <c r="O141" s="4"/>
      <c r="P141" s="4"/>
      <c r="Q141" s="4"/>
      <c r="R141" s="4"/>
      <c r="S141" s="4"/>
      <c r="T141" s="4"/>
      <c r="U141" s="4"/>
      <c r="V141" s="4"/>
      <c r="W141" s="4"/>
      <c r="X141" s="4"/>
      <c r="Y141" s="4"/>
      <c r="Z141" s="4"/>
    </row>
    <row r="142" ht="15.75" customHeight="1">
      <c r="A142" s="4"/>
      <c r="B142" s="42"/>
      <c r="C142" s="4"/>
      <c r="D142" s="4"/>
      <c r="E142" s="4"/>
      <c r="F142" s="43"/>
      <c r="G142" s="4"/>
      <c r="H142" s="4"/>
      <c r="I142" s="4"/>
      <c r="J142" s="4"/>
      <c r="K142" s="4"/>
      <c r="L142" s="4"/>
      <c r="M142" s="4"/>
      <c r="N142" s="4"/>
      <c r="O142" s="4"/>
      <c r="P142" s="4"/>
      <c r="Q142" s="4"/>
      <c r="R142" s="4"/>
      <c r="S142" s="4"/>
      <c r="T142" s="4"/>
      <c r="U142" s="4"/>
      <c r="V142" s="4"/>
      <c r="W142" s="4"/>
      <c r="X142" s="4"/>
      <c r="Y142" s="4"/>
      <c r="Z142" s="4"/>
    </row>
    <row r="143" ht="15.75" customHeight="1">
      <c r="A143" s="4"/>
      <c r="B143" s="42"/>
      <c r="C143" s="4"/>
      <c r="D143" s="4"/>
      <c r="E143" s="4"/>
      <c r="F143" s="43"/>
      <c r="G143" s="4"/>
      <c r="H143" s="4"/>
      <c r="I143" s="4"/>
      <c r="J143" s="4"/>
      <c r="K143" s="4"/>
      <c r="L143" s="4"/>
      <c r="M143" s="4"/>
      <c r="N143" s="4"/>
      <c r="O143" s="4"/>
      <c r="P143" s="4"/>
      <c r="Q143" s="4"/>
      <c r="R143" s="4"/>
      <c r="S143" s="4"/>
      <c r="T143" s="4"/>
      <c r="U143" s="4"/>
      <c r="V143" s="4"/>
      <c r="W143" s="4"/>
      <c r="X143" s="4"/>
      <c r="Y143" s="4"/>
      <c r="Z143" s="4"/>
    </row>
    <row r="144" ht="15.75" customHeight="1">
      <c r="A144" s="4"/>
      <c r="B144" s="42"/>
      <c r="C144" s="4"/>
      <c r="D144" s="4"/>
      <c r="E144" s="4"/>
      <c r="F144" s="43"/>
      <c r="G144" s="4"/>
      <c r="H144" s="4"/>
      <c r="I144" s="4"/>
      <c r="J144" s="4"/>
      <c r="K144" s="4"/>
      <c r="L144" s="4"/>
      <c r="M144" s="4"/>
      <c r="N144" s="4"/>
      <c r="O144" s="4"/>
      <c r="P144" s="4"/>
      <c r="Q144" s="4"/>
      <c r="R144" s="4"/>
      <c r="S144" s="4"/>
      <c r="T144" s="4"/>
      <c r="U144" s="4"/>
      <c r="V144" s="4"/>
      <c r="W144" s="4"/>
      <c r="X144" s="4"/>
      <c r="Y144" s="4"/>
      <c r="Z144" s="4"/>
    </row>
    <row r="145" ht="15.75" customHeight="1">
      <c r="A145" s="4"/>
      <c r="B145" s="42"/>
      <c r="C145" s="4"/>
      <c r="D145" s="4"/>
      <c r="E145" s="4"/>
      <c r="F145" s="43"/>
      <c r="G145" s="4"/>
      <c r="H145" s="4"/>
      <c r="I145" s="4"/>
      <c r="J145" s="4"/>
      <c r="K145" s="4"/>
      <c r="L145" s="4"/>
      <c r="M145" s="4"/>
      <c r="N145" s="4"/>
      <c r="O145" s="4"/>
      <c r="P145" s="4"/>
      <c r="Q145" s="4"/>
      <c r="R145" s="4"/>
      <c r="S145" s="4"/>
      <c r="T145" s="4"/>
      <c r="U145" s="4"/>
      <c r="V145" s="4"/>
      <c r="W145" s="4"/>
      <c r="X145" s="4"/>
      <c r="Y145" s="4"/>
      <c r="Z145" s="4"/>
    </row>
    <row r="146" ht="15.75" customHeight="1">
      <c r="A146" s="4"/>
      <c r="B146" s="42"/>
      <c r="C146" s="4"/>
      <c r="D146" s="4"/>
      <c r="E146" s="4"/>
      <c r="F146" s="43"/>
      <c r="G146" s="4"/>
      <c r="H146" s="4"/>
      <c r="I146" s="4"/>
      <c r="J146" s="4"/>
      <c r="K146" s="4"/>
      <c r="L146" s="4"/>
      <c r="M146" s="4"/>
      <c r="N146" s="4"/>
      <c r="O146" s="4"/>
      <c r="P146" s="4"/>
      <c r="Q146" s="4"/>
      <c r="R146" s="4"/>
      <c r="S146" s="4"/>
      <c r="T146" s="4"/>
      <c r="U146" s="4"/>
      <c r="V146" s="4"/>
      <c r="W146" s="4"/>
      <c r="X146" s="4"/>
      <c r="Y146" s="4"/>
      <c r="Z146" s="4"/>
    </row>
    <row r="147" ht="15.75" customHeight="1">
      <c r="A147" s="4"/>
      <c r="B147" s="42"/>
      <c r="C147" s="4"/>
      <c r="D147" s="4"/>
      <c r="E147" s="4"/>
      <c r="F147" s="43"/>
      <c r="G147" s="4"/>
      <c r="H147" s="4"/>
      <c r="I147" s="4"/>
      <c r="J147" s="4"/>
      <c r="K147" s="4"/>
      <c r="L147" s="4"/>
      <c r="M147" s="4"/>
      <c r="N147" s="4"/>
      <c r="O147" s="4"/>
      <c r="P147" s="4"/>
      <c r="Q147" s="4"/>
      <c r="R147" s="4"/>
      <c r="S147" s="4"/>
      <c r="T147" s="4"/>
      <c r="U147" s="4"/>
      <c r="V147" s="4"/>
      <c r="W147" s="4"/>
      <c r="X147" s="4"/>
      <c r="Y147" s="4"/>
      <c r="Z147" s="4"/>
    </row>
    <row r="148" ht="15.75" customHeight="1">
      <c r="A148" s="4"/>
      <c r="B148" s="42"/>
      <c r="C148" s="4"/>
      <c r="D148" s="4"/>
      <c r="E148" s="4"/>
      <c r="F148" s="43"/>
      <c r="G148" s="4"/>
      <c r="H148" s="4"/>
      <c r="I148" s="4"/>
      <c r="J148" s="4"/>
      <c r="K148" s="4"/>
      <c r="L148" s="4"/>
      <c r="M148" s="4"/>
      <c r="N148" s="4"/>
      <c r="O148" s="4"/>
      <c r="P148" s="4"/>
      <c r="Q148" s="4"/>
      <c r="R148" s="4"/>
      <c r="S148" s="4"/>
      <c r="T148" s="4"/>
      <c r="U148" s="4"/>
      <c r="V148" s="4"/>
      <c r="W148" s="4"/>
      <c r="X148" s="4"/>
      <c r="Y148" s="4"/>
      <c r="Z148" s="4"/>
    </row>
    <row r="149" ht="15.75" customHeight="1">
      <c r="A149" s="4"/>
      <c r="B149" s="42"/>
      <c r="C149" s="4"/>
      <c r="D149" s="4"/>
      <c r="E149" s="4"/>
      <c r="F149" s="43"/>
      <c r="G149" s="4"/>
      <c r="H149" s="4"/>
      <c r="I149" s="4"/>
      <c r="J149" s="4"/>
      <c r="K149" s="4"/>
      <c r="L149" s="4"/>
      <c r="M149" s="4"/>
      <c r="N149" s="4"/>
      <c r="O149" s="4"/>
      <c r="P149" s="4"/>
      <c r="Q149" s="4"/>
      <c r="R149" s="4"/>
      <c r="S149" s="4"/>
      <c r="T149" s="4"/>
      <c r="U149" s="4"/>
      <c r="V149" s="4"/>
      <c r="W149" s="4"/>
      <c r="X149" s="4"/>
      <c r="Y149" s="4"/>
      <c r="Z149" s="4"/>
    </row>
    <row r="150" ht="15.75" customHeight="1">
      <c r="A150" s="4"/>
      <c r="B150" s="42"/>
      <c r="C150" s="4"/>
      <c r="D150" s="4"/>
      <c r="E150" s="4"/>
      <c r="F150" s="43"/>
      <c r="G150" s="4"/>
      <c r="H150" s="4"/>
      <c r="I150" s="4"/>
      <c r="J150" s="4"/>
      <c r="K150" s="4"/>
      <c r="L150" s="4"/>
      <c r="M150" s="4"/>
      <c r="N150" s="4"/>
      <c r="O150" s="4"/>
      <c r="P150" s="4"/>
      <c r="Q150" s="4"/>
      <c r="R150" s="4"/>
      <c r="S150" s="4"/>
      <c r="T150" s="4"/>
      <c r="U150" s="4"/>
      <c r="V150" s="4"/>
      <c r="W150" s="4"/>
      <c r="X150" s="4"/>
      <c r="Y150" s="4"/>
      <c r="Z150" s="4"/>
    </row>
    <row r="151" ht="15.75" customHeight="1">
      <c r="A151" s="4"/>
      <c r="B151" s="42"/>
      <c r="C151" s="4"/>
      <c r="D151" s="4"/>
      <c r="E151" s="4"/>
      <c r="F151" s="43"/>
      <c r="G151" s="4"/>
      <c r="H151" s="4"/>
      <c r="I151" s="4"/>
      <c r="J151" s="4"/>
      <c r="K151" s="4"/>
      <c r="L151" s="4"/>
      <c r="M151" s="4"/>
      <c r="N151" s="4"/>
      <c r="O151" s="4"/>
      <c r="P151" s="4"/>
      <c r="Q151" s="4"/>
      <c r="R151" s="4"/>
      <c r="S151" s="4"/>
      <c r="T151" s="4"/>
      <c r="U151" s="4"/>
      <c r="V151" s="4"/>
      <c r="W151" s="4"/>
      <c r="X151" s="4"/>
      <c r="Y151" s="4"/>
      <c r="Z151" s="4"/>
    </row>
    <row r="152" ht="15.75" customHeight="1">
      <c r="A152" s="4"/>
      <c r="B152" s="42"/>
      <c r="C152" s="4"/>
      <c r="D152" s="4"/>
      <c r="E152" s="4"/>
      <c r="F152" s="43"/>
      <c r="G152" s="4"/>
      <c r="H152" s="4"/>
      <c r="I152" s="4"/>
      <c r="J152" s="4"/>
      <c r="K152" s="4"/>
      <c r="L152" s="4"/>
      <c r="M152" s="4"/>
      <c r="N152" s="4"/>
      <c r="O152" s="4"/>
      <c r="P152" s="4"/>
      <c r="Q152" s="4"/>
      <c r="R152" s="4"/>
      <c r="S152" s="4"/>
      <c r="T152" s="4"/>
      <c r="U152" s="4"/>
      <c r="V152" s="4"/>
      <c r="W152" s="4"/>
      <c r="X152" s="4"/>
      <c r="Y152" s="4"/>
      <c r="Z152" s="4"/>
    </row>
    <row r="153" ht="15.75" customHeight="1">
      <c r="A153" s="4"/>
      <c r="B153" s="42"/>
      <c r="C153" s="4"/>
      <c r="D153" s="4"/>
      <c r="E153" s="4"/>
      <c r="F153" s="43"/>
      <c r="G153" s="4"/>
      <c r="H153" s="4"/>
      <c r="I153" s="4"/>
      <c r="J153" s="4"/>
      <c r="K153" s="4"/>
      <c r="L153" s="4"/>
      <c r="M153" s="4"/>
      <c r="N153" s="4"/>
      <c r="O153" s="4"/>
      <c r="P153" s="4"/>
      <c r="Q153" s="4"/>
      <c r="R153" s="4"/>
      <c r="S153" s="4"/>
      <c r="T153" s="4"/>
      <c r="U153" s="4"/>
      <c r="V153" s="4"/>
      <c r="W153" s="4"/>
      <c r="X153" s="4"/>
      <c r="Y153" s="4"/>
      <c r="Z153" s="4"/>
    </row>
    <row r="154" ht="15.75" customHeight="1">
      <c r="A154" s="4"/>
      <c r="B154" s="42"/>
      <c r="C154" s="4"/>
      <c r="D154" s="4"/>
      <c r="E154" s="4"/>
      <c r="F154" s="43"/>
      <c r="G154" s="4"/>
      <c r="H154" s="4"/>
      <c r="I154" s="4"/>
      <c r="J154" s="4"/>
      <c r="K154" s="4"/>
      <c r="L154" s="4"/>
      <c r="M154" s="4"/>
      <c r="N154" s="4"/>
      <c r="O154" s="4"/>
      <c r="P154" s="4"/>
      <c r="Q154" s="4"/>
      <c r="R154" s="4"/>
      <c r="S154" s="4"/>
      <c r="T154" s="4"/>
      <c r="U154" s="4"/>
      <c r="V154" s="4"/>
      <c r="W154" s="4"/>
      <c r="X154" s="4"/>
      <c r="Y154" s="4"/>
      <c r="Z154" s="4"/>
    </row>
    <row r="155" ht="15.75" customHeight="1">
      <c r="A155" s="4"/>
      <c r="B155" s="42"/>
      <c r="C155" s="4"/>
      <c r="D155" s="4"/>
      <c r="E155" s="4"/>
      <c r="F155" s="43"/>
      <c r="G155" s="4"/>
      <c r="H155" s="4"/>
      <c r="I155" s="4"/>
      <c r="J155" s="4"/>
      <c r="K155" s="4"/>
      <c r="L155" s="4"/>
      <c r="M155" s="4"/>
      <c r="N155" s="4"/>
      <c r="O155" s="4"/>
      <c r="P155" s="4"/>
      <c r="Q155" s="4"/>
      <c r="R155" s="4"/>
      <c r="S155" s="4"/>
      <c r="T155" s="4"/>
      <c r="U155" s="4"/>
      <c r="V155" s="4"/>
      <c r="W155" s="4"/>
      <c r="X155" s="4"/>
      <c r="Y155" s="4"/>
      <c r="Z155" s="4"/>
    </row>
    <row r="156" ht="15.75" customHeight="1">
      <c r="A156" s="4"/>
      <c r="B156" s="42"/>
      <c r="C156" s="4"/>
      <c r="D156" s="4"/>
      <c r="E156" s="4"/>
      <c r="F156" s="43"/>
      <c r="G156" s="4"/>
      <c r="H156" s="4"/>
      <c r="I156" s="4"/>
      <c r="J156" s="4"/>
      <c r="K156" s="4"/>
      <c r="L156" s="4"/>
      <c r="M156" s="4"/>
      <c r="N156" s="4"/>
      <c r="O156" s="4"/>
      <c r="P156" s="4"/>
      <c r="Q156" s="4"/>
      <c r="R156" s="4"/>
      <c r="S156" s="4"/>
      <c r="T156" s="4"/>
      <c r="U156" s="4"/>
      <c r="V156" s="4"/>
      <c r="W156" s="4"/>
      <c r="X156" s="4"/>
      <c r="Y156" s="4"/>
      <c r="Z156" s="4"/>
    </row>
    <row r="157" ht="15.75" customHeight="1">
      <c r="A157" s="4"/>
      <c r="B157" s="42"/>
      <c r="C157" s="4"/>
      <c r="D157" s="4"/>
      <c r="E157" s="4"/>
      <c r="F157" s="43"/>
      <c r="G157" s="4"/>
      <c r="H157" s="4"/>
      <c r="I157" s="4"/>
      <c r="J157" s="4"/>
      <c r="K157" s="4"/>
      <c r="L157" s="4"/>
      <c r="M157" s="4"/>
      <c r="N157" s="4"/>
      <c r="O157" s="4"/>
      <c r="P157" s="4"/>
      <c r="Q157" s="4"/>
      <c r="R157" s="4"/>
      <c r="S157" s="4"/>
      <c r="T157" s="4"/>
      <c r="U157" s="4"/>
      <c r="V157" s="4"/>
      <c r="W157" s="4"/>
      <c r="X157" s="4"/>
      <c r="Y157" s="4"/>
      <c r="Z157" s="4"/>
    </row>
    <row r="158" ht="15.75" customHeight="1">
      <c r="A158" s="4"/>
      <c r="B158" s="42"/>
      <c r="C158" s="4"/>
      <c r="D158" s="4"/>
      <c r="E158" s="4"/>
      <c r="F158" s="43"/>
      <c r="G158" s="4"/>
      <c r="H158" s="4"/>
      <c r="I158" s="4"/>
      <c r="J158" s="4"/>
      <c r="K158" s="4"/>
      <c r="L158" s="4"/>
      <c r="M158" s="4"/>
      <c r="N158" s="4"/>
      <c r="O158" s="4"/>
      <c r="P158" s="4"/>
      <c r="Q158" s="4"/>
      <c r="R158" s="4"/>
      <c r="S158" s="4"/>
      <c r="T158" s="4"/>
      <c r="U158" s="4"/>
      <c r="V158" s="4"/>
      <c r="W158" s="4"/>
      <c r="X158" s="4"/>
      <c r="Y158" s="4"/>
      <c r="Z158" s="4"/>
    </row>
    <row r="159" ht="15.75" customHeight="1">
      <c r="A159" s="4"/>
      <c r="B159" s="42"/>
      <c r="C159" s="4"/>
      <c r="D159" s="4"/>
      <c r="E159" s="4"/>
      <c r="F159" s="43"/>
      <c r="G159" s="4"/>
      <c r="H159" s="4"/>
      <c r="I159" s="4"/>
      <c r="J159" s="4"/>
      <c r="K159" s="4"/>
      <c r="L159" s="4"/>
      <c r="M159" s="4"/>
      <c r="N159" s="4"/>
      <c r="O159" s="4"/>
      <c r="P159" s="4"/>
      <c r="Q159" s="4"/>
      <c r="R159" s="4"/>
      <c r="S159" s="4"/>
      <c r="T159" s="4"/>
      <c r="U159" s="4"/>
      <c r="V159" s="4"/>
      <c r="W159" s="4"/>
      <c r="X159" s="4"/>
      <c r="Y159" s="4"/>
      <c r="Z159" s="4"/>
    </row>
    <row r="160" ht="15.75" customHeight="1">
      <c r="A160" s="4"/>
      <c r="B160" s="42"/>
      <c r="C160" s="4"/>
      <c r="D160" s="4"/>
      <c r="E160" s="4"/>
      <c r="F160" s="43"/>
      <c r="G160" s="4"/>
      <c r="H160" s="4"/>
      <c r="I160" s="4"/>
      <c r="J160" s="4"/>
      <c r="K160" s="4"/>
      <c r="L160" s="4"/>
      <c r="M160" s="4"/>
      <c r="N160" s="4"/>
      <c r="O160" s="4"/>
      <c r="P160" s="4"/>
      <c r="Q160" s="4"/>
      <c r="R160" s="4"/>
      <c r="S160" s="4"/>
      <c r="T160" s="4"/>
      <c r="U160" s="4"/>
      <c r="V160" s="4"/>
      <c r="W160" s="4"/>
      <c r="X160" s="4"/>
      <c r="Y160" s="4"/>
      <c r="Z160" s="4"/>
    </row>
    <row r="161" ht="15.75" customHeight="1">
      <c r="A161" s="4"/>
      <c r="B161" s="42"/>
      <c r="C161" s="4"/>
      <c r="D161" s="4"/>
      <c r="E161" s="4"/>
      <c r="F161" s="43"/>
      <c r="G161" s="4"/>
      <c r="H161" s="4"/>
      <c r="I161" s="4"/>
      <c r="J161" s="4"/>
      <c r="K161" s="4"/>
      <c r="L161" s="4"/>
      <c r="M161" s="4"/>
      <c r="N161" s="4"/>
      <c r="O161" s="4"/>
      <c r="P161" s="4"/>
      <c r="Q161" s="4"/>
      <c r="R161" s="4"/>
      <c r="S161" s="4"/>
      <c r="T161" s="4"/>
      <c r="U161" s="4"/>
      <c r="V161" s="4"/>
      <c r="W161" s="4"/>
      <c r="X161" s="4"/>
      <c r="Y161" s="4"/>
      <c r="Z161" s="4"/>
    </row>
    <row r="162" ht="15.75" customHeight="1">
      <c r="A162" s="4"/>
      <c r="B162" s="42"/>
      <c r="C162" s="4"/>
      <c r="D162" s="4"/>
      <c r="E162" s="4"/>
      <c r="F162" s="43"/>
      <c r="G162" s="4"/>
      <c r="H162" s="4"/>
      <c r="I162" s="4"/>
      <c r="J162" s="4"/>
      <c r="K162" s="4"/>
      <c r="L162" s="4"/>
      <c r="M162" s="4"/>
      <c r="N162" s="4"/>
      <c r="O162" s="4"/>
      <c r="P162" s="4"/>
      <c r="Q162" s="4"/>
      <c r="R162" s="4"/>
      <c r="S162" s="4"/>
      <c r="T162" s="4"/>
      <c r="U162" s="4"/>
      <c r="V162" s="4"/>
      <c r="W162" s="4"/>
      <c r="X162" s="4"/>
      <c r="Y162" s="4"/>
      <c r="Z162" s="4"/>
    </row>
    <row r="163" ht="15.75" customHeight="1">
      <c r="A163" s="4"/>
      <c r="B163" s="42"/>
      <c r="C163" s="4"/>
      <c r="D163" s="4"/>
      <c r="E163" s="4"/>
      <c r="F163" s="43"/>
      <c r="G163" s="4"/>
      <c r="H163" s="4"/>
      <c r="I163" s="4"/>
      <c r="J163" s="4"/>
      <c r="K163" s="4"/>
      <c r="L163" s="4"/>
      <c r="M163" s="4"/>
      <c r="N163" s="4"/>
      <c r="O163" s="4"/>
      <c r="P163" s="4"/>
      <c r="Q163" s="4"/>
      <c r="R163" s="4"/>
      <c r="S163" s="4"/>
      <c r="T163" s="4"/>
      <c r="U163" s="4"/>
      <c r="V163" s="4"/>
      <c r="W163" s="4"/>
      <c r="X163" s="4"/>
      <c r="Y163" s="4"/>
      <c r="Z163" s="4"/>
    </row>
    <row r="164" ht="15.75" customHeight="1">
      <c r="A164" s="4"/>
      <c r="B164" s="42"/>
      <c r="C164" s="4"/>
      <c r="D164" s="4"/>
      <c r="E164" s="4"/>
      <c r="F164" s="43"/>
      <c r="G164" s="4"/>
      <c r="H164" s="4"/>
      <c r="I164" s="4"/>
      <c r="J164" s="4"/>
      <c r="K164" s="4"/>
      <c r="L164" s="4"/>
      <c r="M164" s="4"/>
      <c r="N164" s="4"/>
      <c r="O164" s="4"/>
      <c r="P164" s="4"/>
      <c r="Q164" s="4"/>
      <c r="R164" s="4"/>
      <c r="S164" s="4"/>
      <c r="T164" s="4"/>
      <c r="U164" s="4"/>
      <c r="V164" s="4"/>
      <c r="W164" s="4"/>
      <c r="X164" s="4"/>
      <c r="Y164" s="4"/>
      <c r="Z164" s="4"/>
    </row>
    <row r="165" ht="15.75" customHeight="1">
      <c r="A165" s="4"/>
      <c r="B165" s="42"/>
      <c r="C165" s="4"/>
      <c r="D165" s="4"/>
      <c r="E165" s="4"/>
      <c r="F165" s="43"/>
      <c r="G165" s="4"/>
      <c r="H165" s="4"/>
      <c r="I165" s="4"/>
      <c r="J165" s="4"/>
      <c r="K165" s="4"/>
      <c r="L165" s="4"/>
      <c r="M165" s="4"/>
      <c r="N165" s="4"/>
      <c r="O165" s="4"/>
      <c r="P165" s="4"/>
      <c r="Q165" s="4"/>
      <c r="R165" s="4"/>
      <c r="S165" s="4"/>
      <c r="T165" s="4"/>
      <c r="U165" s="4"/>
      <c r="V165" s="4"/>
      <c r="W165" s="4"/>
      <c r="X165" s="4"/>
      <c r="Y165" s="4"/>
      <c r="Z165" s="4"/>
    </row>
    <row r="166" ht="15.75" customHeight="1">
      <c r="A166" s="4"/>
      <c r="B166" s="42"/>
      <c r="C166" s="4"/>
      <c r="D166" s="4"/>
      <c r="E166" s="4"/>
      <c r="F166" s="43"/>
      <c r="G166" s="4"/>
      <c r="H166" s="4"/>
      <c r="I166" s="4"/>
      <c r="J166" s="4"/>
      <c r="K166" s="4"/>
      <c r="L166" s="4"/>
      <c r="M166" s="4"/>
      <c r="N166" s="4"/>
      <c r="O166" s="4"/>
      <c r="P166" s="4"/>
      <c r="Q166" s="4"/>
      <c r="R166" s="4"/>
      <c r="S166" s="4"/>
      <c r="T166" s="4"/>
      <c r="U166" s="4"/>
      <c r="V166" s="4"/>
      <c r="W166" s="4"/>
      <c r="X166" s="4"/>
      <c r="Y166" s="4"/>
      <c r="Z166" s="4"/>
    </row>
    <row r="167" ht="15.75" customHeight="1">
      <c r="A167" s="4"/>
      <c r="B167" s="42"/>
      <c r="C167" s="4"/>
      <c r="D167" s="4"/>
      <c r="E167" s="4"/>
      <c r="F167" s="43"/>
      <c r="G167" s="4"/>
      <c r="H167" s="4"/>
      <c r="I167" s="4"/>
      <c r="J167" s="4"/>
      <c r="K167" s="4"/>
      <c r="L167" s="4"/>
      <c r="M167" s="4"/>
      <c r="N167" s="4"/>
      <c r="O167" s="4"/>
      <c r="P167" s="4"/>
      <c r="Q167" s="4"/>
      <c r="R167" s="4"/>
      <c r="S167" s="4"/>
      <c r="T167" s="4"/>
      <c r="U167" s="4"/>
      <c r="V167" s="4"/>
      <c r="W167" s="4"/>
      <c r="X167" s="4"/>
      <c r="Y167" s="4"/>
      <c r="Z167" s="4"/>
    </row>
    <row r="168" ht="15.75" customHeight="1">
      <c r="A168" s="4"/>
      <c r="B168" s="42"/>
      <c r="C168" s="4"/>
      <c r="D168" s="4"/>
      <c r="E168" s="4"/>
      <c r="F168" s="43"/>
      <c r="G168" s="4"/>
      <c r="H168" s="4"/>
      <c r="I168" s="4"/>
      <c r="J168" s="4"/>
      <c r="K168" s="4"/>
      <c r="L168" s="4"/>
      <c r="M168" s="4"/>
      <c r="N168" s="4"/>
      <c r="O168" s="4"/>
      <c r="P168" s="4"/>
      <c r="Q168" s="4"/>
      <c r="R168" s="4"/>
      <c r="S168" s="4"/>
      <c r="T168" s="4"/>
      <c r="U168" s="4"/>
      <c r="V168" s="4"/>
      <c r="W168" s="4"/>
      <c r="X168" s="4"/>
      <c r="Y168" s="4"/>
      <c r="Z168" s="4"/>
    </row>
    <row r="169" ht="15.75" customHeight="1">
      <c r="A169" s="4"/>
      <c r="B169" s="42"/>
      <c r="C169" s="4"/>
      <c r="D169" s="4"/>
      <c r="E169" s="4"/>
      <c r="F169" s="43"/>
      <c r="G169" s="4"/>
      <c r="H169" s="4"/>
      <c r="I169" s="4"/>
      <c r="J169" s="4"/>
      <c r="K169" s="4"/>
      <c r="L169" s="4"/>
      <c r="M169" s="4"/>
      <c r="N169" s="4"/>
      <c r="O169" s="4"/>
      <c r="P169" s="4"/>
      <c r="Q169" s="4"/>
      <c r="R169" s="4"/>
      <c r="S169" s="4"/>
      <c r="T169" s="4"/>
      <c r="U169" s="4"/>
      <c r="V169" s="4"/>
      <c r="W169" s="4"/>
      <c r="X169" s="4"/>
      <c r="Y169" s="4"/>
      <c r="Z169" s="4"/>
    </row>
    <row r="170" ht="15.75" customHeight="1">
      <c r="A170" s="4"/>
      <c r="B170" s="42"/>
      <c r="C170" s="4"/>
      <c r="D170" s="4"/>
      <c r="E170" s="4"/>
      <c r="F170" s="43"/>
      <c r="G170" s="4"/>
      <c r="H170" s="4"/>
      <c r="I170" s="4"/>
      <c r="J170" s="4"/>
      <c r="K170" s="4"/>
      <c r="L170" s="4"/>
      <c r="M170" s="4"/>
      <c r="N170" s="4"/>
      <c r="O170" s="4"/>
      <c r="P170" s="4"/>
      <c r="Q170" s="4"/>
      <c r="R170" s="4"/>
      <c r="S170" s="4"/>
      <c r="T170" s="4"/>
      <c r="U170" s="4"/>
      <c r="V170" s="4"/>
      <c r="W170" s="4"/>
      <c r="X170" s="4"/>
      <c r="Y170" s="4"/>
      <c r="Z170" s="4"/>
    </row>
    <row r="171" ht="15.75" customHeight="1">
      <c r="A171" s="4"/>
      <c r="B171" s="42"/>
      <c r="C171" s="4"/>
      <c r="D171" s="4"/>
      <c r="E171" s="4"/>
      <c r="F171" s="43"/>
      <c r="G171" s="4"/>
      <c r="H171" s="4"/>
      <c r="I171" s="4"/>
      <c r="J171" s="4"/>
      <c r="K171" s="4"/>
      <c r="L171" s="4"/>
      <c r="M171" s="4"/>
      <c r="N171" s="4"/>
      <c r="O171" s="4"/>
      <c r="P171" s="4"/>
      <c r="Q171" s="4"/>
      <c r="R171" s="4"/>
      <c r="S171" s="4"/>
      <c r="T171" s="4"/>
      <c r="U171" s="4"/>
      <c r="V171" s="4"/>
      <c r="W171" s="4"/>
      <c r="X171" s="4"/>
      <c r="Y171" s="4"/>
      <c r="Z171" s="4"/>
    </row>
    <row r="172" ht="15.75" customHeight="1">
      <c r="A172" s="4"/>
      <c r="B172" s="42"/>
      <c r="C172" s="4"/>
      <c r="D172" s="4"/>
      <c r="E172" s="4"/>
      <c r="F172" s="43"/>
      <c r="G172" s="4"/>
      <c r="H172" s="4"/>
      <c r="I172" s="4"/>
      <c r="J172" s="4"/>
      <c r="K172" s="4"/>
      <c r="L172" s="4"/>
      <c r="M172" s="4"/>
      <c r="N172" s="4"/>
      <c r="O172" s="4"/>
      <c r="P172" s="4"/>
      <c r="Q172" s="4"/>
      <c r="R172" s="4"/>
      <c r="S172" s="4"/>
      <c r="T172" s="4"/>
      <c r="U172" s="4"/>
      <c r="V172" s="4"/>
      <c r="W172" s="4"/>
      <c r="X172" s="4"/>
      <c r="Y172" s="4"/>
      <c r="Z172" s="4"/>
    </row>
    <row r="173" ht="15.75" customHeight="1">
      <c r="A173" s="4"/>
      <c r="B173" s="42"/>
      <c r="C173" s="4"/>
      <c r="D173" s="4"/>
      <c r="E173" s="4"/>
      <c r="F173" s="43"/>
      <c r="G173" s="4"/>
      <c r="H173" s="4"/>
      <c r="I173" s="4"/>
      <c r="J173" s="4"/>
      <c r="K173" s="4"/>
      <c r="L173" s="4"/>
      <c r="M173" s="4"/>
      <c r="N173" s="4"/>
      <c r="O173" s="4"/>
      <c r="P173" s="4"/>
      <c r="Q173" s="4"/>
      <c r="R173" s="4"/>
      <c r="S173" s="4"/>
      <c r="T173" s="4"/>
      <c r="U173" s="4"/>
      <c r="V173" s="4"/>
      <c r="W173" s="4"/>
      <c r="X173" s="4"/>
      <c r="Y173" s="4"/>
      <c r="Z173" s="4"/>
    </row>
    <row r="174" ht="15.75" customHeight="1">
      <c r="A174" s="4"/>
      <c r="B174" s="42"/>
      <c r="C174" s="4"/>
      <c r="D174" s="4"/>
      <c r="E174" s="4"/>
      <c r="F174" s="43"/>
      <c r="G174" s="4"/>
      <c r="H174" s="4"/>
      <c r="I174" s="4"/>
      <c r="J174" s="4"/>
      <c r="K174" s="4"/>
      <c r="L174" s="4"/>
      <c r="M174" s="4"/>
      <c r="N174" s="4"/>
      <c r="O174" s="4"/>
      <c r="P174" s="4"/>
      <c r="Q174" s="4"/>
      <c r="R174" s="4"/>
      <c r="S174" s="4"/>
      <c r="T174" s="4"/>
      <c r="U174" s="4"/>
      <c r="V174" s="4"/>
      <c r="W174" s="4"/>
      <c r="X174" s="4"/>
      <c r="Y174" s="4"/>
      <c r="Z174" s="4"/>
    </row>
    <row r="175" ht="15.75" customHeight="1">
      <c r="A175" s="4"/>
      <c r="B175" s="42"/>
      <c r="C175" s="4"/>
      <c r="D175" s="4"/>
      <c r="E175" s="4"/>
      <c r="F175" s="43"/>
      <c r="G175" s="4"/>
      <c r="H175" s="4"/>
      <c r="I175" s="4"/>
      <c r="J175" s="4"/>
      <c r="K175" s="4"/>
      <c r="L175" s="4"/>
      <c r="M175" s="4"/>
      <c r="N175" s="4"/>
      <c r="O175" s="4"/>
      <c r="P175" s="4"/>
      <c r="Q175" s="4"/>
      <c r="R175" s="4"/>
      <c r="S175" s="4"/>
      <c r="T175" s="4"/>
      <c r="U175" s="4"/>
      <c r="V175" s="4"/>
      <c r="W175" s="4"/>
      <c r="X175" s="4"/>
      <c r="Y175" s="4"/>
      <c r="Z175" s="4"/>
    </row>
    <row r="176" ht="15.75" customHeight="1">
      <c r="A176" s="4"/>
      <c r="B176" s="42"/>
      <c r="C176" s="4"/>
      <c r="D176" s="4"/>
      <c r="E176" s="4"/>
      <c r="F176" s="43"/>
      <c r="G176" s="4"/>
      <c r="H176" s="4"/>
      <c r="I176" s="4"/>
      <c r="J176" s="4"/>
      <c r="K176" s="4"/>
      <c r="L176" s="4"/>
      <c r="M176" s="4"/>
      <c r="N176" s="4"/>
      <c r="O176" s="4"/>
      <c r="P176" s="4"/>
      <c r="Q176" s="4"/>
      <c r="R176" s="4"/>
      <c r="S176" s="4"/>
      <c r="T176" s="4"/>
      <c r="U176" s="4"/>
      <c r="V176" s="4"/>
      <c r="W176" s="4"/>
      <c r="X176" s="4"/>
      <c r="Y176" s="4"/>
      <c r="Z176" s="4"/>
    </row>
    <row r="177" ht="15.75" customHeight="1">
      <c r="A177" s="4"/>
      <c r="B177" s="42"/>
      <c r="C177" s="4"/>
      <c r="D177" s="4"/>
      <c r="E177" s="4"/>
      <c r="F177" s="43"/>
      <c r="G177" s="4"/>
      <c r="H177" s="4"/>
      <c r="I177" s="4"/>
      <c r="J177" s="4"/>
      <c r="K177" s="4"/>
      <c r="L177" s="4"/>
      <c r="M177" s="4"/>
      <c r="N177" s="4"/>
      <c r="O177" s="4"/>
      <c r="P177" s="4"/>
      <c r="Q177" s="4"/>
      <c r="R177" s="4"/>
      <c r="S177" s="4"/>
      <c r="T177" s="4"/>
      <c r="U177" s="4"/>
      <c r="V177" s="4"/>
      <c r="W177" s="4"/>
      <c r="X177" s="4"/>
      <c r="Y177" s="4"/>
      <c r="Z177" s="4"/>
    </row>
    <row r="178" ht="15.75" customHeight="1">
      <c r="A178" s="4"/>
      <c r="B178" s="42"/>
      <c r="C178" s="4"/>
      <c r="D178" s="4"/>
      <c r="E178" s="4"/>
      <c r="F178" s="43"/>
      <c r="G178" s="4"/>
      <c r="H178" s="4"/>
      <c r="I178" s="4"/>
      <c r="J178" s="4"/>
      <c r="K178" s="4"/>
      <c r="L178" s="4"/>
      <c r="M178" s="4"/>
      <c r="N178" s="4"/>
      <c r="O178" s="4"/>
      <c r="P178" s="4"/>
      <c r="Q178" s="4"/>
      <c r="R178" s="4"/>
      <c r="S178" s="4"/>
      <c r="T178" s="4"/>
      <c r="U178" s="4"/>
      <c r="V178" s="4"/>
      <c r="W178" s="4"/>
      <c r="X178" s="4"/>
      <c r="Y178" s="4"/>
      <c r="Z178" s="4"/>
    </row>
    <row r="179" ht="15.75" customHeight="1">
      <c r="A179" s="4"/>
      <c r="B179" s="42"/>
      <c r="C179" s="4"/>
      <c r="D179" s="4"/>
      <c r="E179" s="4"/>
      <c r="F179" s="43"/>
      <c r="G179" s="4"/>
      <c r="H179" s="4"/>
      <c r="I179" s="4"/>
      <c r="J179" s="4"/>
      <c r="K179" s="4"/>
      <c r="L179" s="4"/>
      <c r="M179" s="4"/>
      <c r="N179" s="4"/>
      <c r="O179" s="4"/>
      <c r="P179" s="4"/>
      <c r="Q179" s="4"/>
      <c r="R179" s="4"/>
      <c r="S179" s="4"/>
      <c r="T179" s="4"/>
      <c r="U179" s="4"/>
      <c r="V179" s="4"/>
      <c r="W179" s="4"/>
      <c r="X179" s="4"/>
      <c r="Y179" s="4"/>
      <c r="Z179" s="4"/>
    </row>
    <row r="180" ht="15.75" customHeight="1">
      <c r="A180" s="4"/>
      <c r="B180" s="42"/>
      <c r="C180" s="4"/>
      <c r="D180" s="4"/>
      <c r="E180" s="4"/>
      <c r="F180" s="43"/>
      <c r="G180" s="4"/>
      <c r="H180" s="4"/>
      <c r="I180" s="4"/>
      <c r="J180" s="4"/>
      <c r="K180" s="4"/>
      <c r="L180" s="4"/>
      <c r="M180" s="4"/>
      <c r="N180" s="4"/>
      <c r="O180" s="4"/>
      <c r="P180" s="4"/>
      <c r="Q180" s="4"/>
      <c r="R180" s="4"/>
      <c r="S180" s="4"/>
      <c r="T180" s="4"/>
      <c r="U180" s="4"/>
      <c r="V180" s="4"/>
      <c r="W180" s="4"/>
      <c r="X180" s="4"/>
      <c r="Y180" s="4"/>
      <c r="Z180" s="4"/>
    </row>
    <row r="181" ht="15.75" customHeight="1">
      <c r="A181" s="4"/>
      <c r="B181" s="42"/>
      <c r="C181" s="4"/>
      <c r="D181" s="4"/>
      <c r="E181" s="4"/>
      <c r="F181" s="43"/>
      <c r="G181" s="4"/>
      <c r="H181" s="4"/>
      <c r="I181" s="4"/>
      <c r="J181" s="4"/>
      <c r="K181" s="4"/>
      <c r="L181" s="4"/>
      <c r="M181" s="4"/>
      <c r="N181" s="4"/>
      <c r="O181" s="4"/>
      <c r="P181" s="4"/>
      <c r="Q181" s="4"/>
      <c r="R181" s="4"/>
      <c r="S181" s="4"/>
      <c r="T181" s="4"/>
      <c r="U181" s="4"/>
      <c r="V181" s="4"/>
      <c r="W181" s="4"/>
      <c r="X181" s="4"/>
      <c r="Y181" s="4"/>
      <c r="Z181" s="4"/>
    </row>
    <row r="182" ht="15.75" customHeight="1">
      <c r="A182" s="4"/>
      <c r="B182" s="42"/>
      <c r="C182" s="4"/>
      <c r="D182" s="4"/>
      <c r="E182" s="4"/>
      <c r="F182" s="43"/>
      <c r="G182" s="4"/>
      <c r="H182" s="4"/>
      <c r="I182" s="4"/>
      <c r="J182" s="4"/>
      <c r="K182" s="4"/>
      <c r="L182" s="4"/>
      <c r="M182" s="4"/>
      <c r="N182" s="4"/>
      <c r="O182" s="4"/>
      <c r="P182" s="4"/>
      <c r="Q182" s="4"/>
      <c r="R182" s="4"/>
      <c r="S182" s="4"/>
      <c r="T182" s="4"/>
      <c r="U182" s="4"/>
      <c r="V182" s="4"/>
      <c r="W182" s="4"/>
      <c r="X182" s="4"/>
      <c r="Y182" s="4"/>
      <c r="Z182" s="4"/>
    </row>
    <row r="183" ht="15.75" customHeight="1">
      <c r="A183" s="4"/>
      <c r="B183" s="42"/>
      <c r="C183" s="4"/>
      <c r="D183" s="4"/>
      <c r="E183" s="4"/>
      <c r="F183" s="43"/>
      <c r="G183" s="4"/>
      <c r="H183" s="4"/>
      <c r="I183" s="4"/>
      <c r="J183" s="4"/>
      <c r="K183" s="4"/>
      <c r="L183" s="4"/>
      <c r="M183" s="4"/>
      <c r="N183" s="4"/>
      <c r="O183" s="4"/>
      <c r="P183" s="4"/>
      <c r="Q183" s="4"/>
      <c r="R183" s="4"/>
      <c r="S183" s="4"/>
      <c r="T183" s="4"/>
      <c r="U183" s="4"/>
      <c r="V183" s="4"/>
      <c r="W183" s="4"/>
      <c r="X183" s="4"/>
      <c r="Y183" s="4"/>
      <c r="Z183" s="4"/>
    </row>
    <row r="184" ht="15.75" customHeight="1">
      <c r="A184" s="4"/>
      <c r="B184" s="42"/>
      <c r="C184" s="4"/>
      <c r="D184" s="4"/>
      <c r="E184" s="4"/>
      <c r="F184" s="43"/>
      <c r="G184" s="4"/>
      <c r="H184" s="4"/>
      <c r="I184" s="4"/>
      <c r="J184" s="4"/>
      <c r="K184" s="4"/>
      <c r="L184" s="4"/>
      <c r="M184" s="4"/>
      <c r="N184" s="4"/>
      <c r="O184" s="4"/>
      <c r="P184" s="4"/>
      <c r="Q184" s="4"/>
      <c r="R184" s="4"/>
      <c r="S184" s="4"/>
      <c r="T184" s="4"/>
      <c r="U184" s="4"/>
      <c r="V184" s="4"/>
      <c r="W184" s="4"/>
      <c r="X184" s="4"/>
      <c r="Y184" s="4"/>
      <c r="Z184" s="4"/>
    </row>
    <row r="185" ht="15.75" customHeight="1">
      <c r="A185" s="4"/>
      <c r="B185" s="42"/>
      <c r="C185" s="4"/>
      <c r="D185" s="4"/>
      <c r="E185" s="4"/>
      <c r="F185" s="43"/>
      <c r="G185" s="4"/>
      <c r="H185" s="4"/>
      <c r="I185" s="4"/>
      <c r="J185" s="4"/>
      <c r="K185" s="4"/>
      <c r="L185" s="4"/>
      <c r="M185" s="4"/>
      <c r="N185" s="4"/>
      <c r="O185" s="4"/>
      <c r="P185" s="4"/>
      <c r="Q185" s="4"/>
      <c r="R185" s="4"/>
      <c r="S185" s="4"/>
      <c r="T185" s="4"/>
      <c r="U185" s="4"/>
      <c r="V185" s="4"/>
      <c r="W185" s="4"/>
      <c r="X185" s="4"/>
      <c r="Y185" s="4"/>
      <c r="Z185" s="4"/>
    </row>
    <row r="186" ht="15.75" customHeight="1">
      <c r="A186" s="4"/>
      <c r="B186" s="42"/>
      <c r="C186" s="4"/>
      <c r="D186" s="4"/>
      <c r="E186" s="4"/>
      <c r="F186" s="43"/>
      <c r="G186" s="4"/>
      <c r="H186" s="4"/>
      <c r="I186" s="4"/>
      <c r="J186" s="4"/>
      <c r="K186" s="4"/>
      <c r="L186" s="4"/>
      <c r="M186" s="4"/>
      <c r="N186" s="4"/>
      <c r="O186" s="4"/>
      <c r="P186" s="4"/>
      <c r="Q186" s="4"/>
      <c r="R186" s="4"/>
      <c r="S186" s="4"/>
      <c r="T186" s="4"/>
      <c r="U186" s="4"/>
      <c r="V186" s="4"/>
      <c r="W186" s="4"/>
      <c r="X186" s="4"/>
      <c r="Y186" s="4"/>
      <c r="Z186" s="4"/>
    </row>
    <row r="187" ht="15.75" customHeight="1">
      <c r="A187" s="4"/>
      <c r="B187" s="42"/>
      <c r="C187" s="4"/>
      <c r="D187" s="4"/>
      <c r="E187" s="4"/>
      <c r="F187" s="43"/>
      <c r="G187" s="4"/>
      <c r="H187" s="4"/>
      <c r="I187" s="4"/>
      <c r="J187" s="4"/>
      <c r="K187" s="4"/>
      <c r="L187" s="4"/>
      <c r="M187" s="4"/>
      <c r="N187" s="4"/>
      <c r="O187" s="4"/>
      <c r="P187" s="4"/>
      <c r="Q187" s="4"/>
      <c r="R187" s="4"/>
      <c r="S187" s="4"/>
      <c r="T187" s="4"/>
      <c r="U187" s="4"/>
      <c r="V187" s="4"/>
      <c r="W187" s="4"/>
      <c r="X187" s="4"/>
      <c r="Y187" s="4"/>
      <c r="Z187" s="4"/>
    </row>
    <row r="188" ht="15.75" customHeight="1">
      <c r="A188" s="4"/>
      <c r="B188" s="42"/>
      <c r="C188" s="4"/>
      <c r="D188" s="4"/>
      <c r="E188" s="4"/>
      <c r="F188" s="43"/>
      <c r="G188" s="4"/>
      <c r="H188" s="4"/>
      <c r="I188" s="4"/>
      <c r="J188" s="4"/>
      <c r="K188" s="4"/>
      <c r="L188" s="4"/>
      <c r="M188" s="4"/>
      <c r="N188" s="4"/>
      <c r="O188" s="4"/>
      <c r="P188" s="4"/>
      <c r="Q188" s="4"/>
      <c r="R188" s="4"/>
      <c r="S188" s="4"/>
      <c r="T188" s="4"/>
      <c r="U188" s="4"/>
      <c r="V188" s="4"/>
      <c r="W188" s="4"/>
      <c r="X188" s="4"/>
      <c r="Y188" s="4"/>
      <c r="Z188" s="4"/>
    </row>
    <row r="189" ht="15.75" customHeight="1">
      <c r="A189" s="4"/>
      <c r="B189" s="42"/>
      <c r="C189" s="4"/>
      <c r="D189" s="4"/>
      <c r="E189" s="4"/>
      <c r="F189" s="43"/>
      <c r="G189" s="4"/>
      <c r="H189" s="4"/>
      <c r="I189" s="4"/>
      <c r="J189" s="4"/>
      <c r="K189" s="4"/>
      <c r="L189" s="4"/>
      <c r="M189" s="4"/>
      <c r="N189" s="4"/>
      <c r="O189" s="4"/>
      <c r="P189" s="4"/>
      <c r="Q189" s="4"/>
      <c r="R189" s="4"/>
      <c r="S189" s="4"/>
      <c r="T189" s="4"/>
      <c r="U189" s="4"/>
      <c r="V189" s="4"/>
      <c r="W189" s="4"/>
      <c r="X189" s="4"/>
      <c r="Y189" s="4"/>
      <c r="Z189" s="4"/>
    </row>
    <row r="190" ht="15.75" customHeight="1">
      <c r="A190" s="4"/>
      <c r="B190" s="42"/>
      <c r="C190" s="4"/>
      <c r="D190" s="4"/>
      <c r="E190" s="4"/>
      <c r="F190" s="43"/>
      <c r="G190" s="4"/>
      <c r="H190" s="4"/>
      <c r="I190" s="4"/>
      <c r="J190" s="4"/>
      <c r="K190" s="4"/>
      <c r="L190" s="4"/>
      <c r="M190" s="4"/>
      <c r="N190" s="4"/>
      <c r="O190" s="4"/>
      <c r="P190" s="4"/>
      <c r="Q190" s="4"/>
      <c r="R190" s="4"/>
      <c r="S190" s="4"/>
      <c r="T190" s="4"/>
      <c r="U190" s="4"/>
      <c r="V190" s="4"/>
      <c r="W190" s="4"/>
      <c r="X190" s="4"/>
      <c r="Y190" s="4"/>
      <c r="Z190" s="4"/>
    </row>
    <row r="191" ht="15.75" customHeight="1">
      <c r="A191" s="4"/>
      <c r="B191" s="42"/>
      <c r="C191" s="4"/>
      <c r="D191" s="4"/>
      <c r="E191" s="4"/>
      <c r="F191" s="43"/>
      <c r="G191" s="4"/>
      <c r="H191" s="4"/>
      <c r="I191" s="4"/>
      <c r="J191" s="4"/>
      <c r="K191" s="4"/>
      <c r="L191" s="4"/>
      <c r="M191" s="4"/>
      <c r="N191" s="4"/>
      <c r="O191" s="4"/>
      <c r="P191" s="4"/>
      <c r="Q191" s="4"/>
      <c r="R191" s="4"/>
      <c r="S191" s="4"/>
      <c r="T191" s="4"/>
      <c r="U191" s="4"/>
      <c r="V191" s="4"/>
      <c r="W191" s="4"/>
      <c r="X191" s="4"/>
      <c r="Y191" s="4"/>
      <c r="Z191" s="4"/>
    </row>
    <row r="192" ht="15.75" customHeight="1">
      <c r="A192" s="4"/>
      <c r="B192" s="42"/>
      <c r="C192" s="4"/>
      <c r="D192" s="4"/>
      <c r="E192" s="4"/>
      <c r="F192" s="43"/>
      <c r="G192" s="4"/>
      <c r="H192" s="4"/>
      <c r="I192" s="4"/>
      <c r="J192" s="4"/>
      <c r="K192" s="4"/>
      <c r="L192" s="4"/>
      <c r="M192" s="4"/>
      <c r="N192" s="4"/>
      <c r="O192" s="4"/>
      <c r="P192" s="4"/>
      <c r="Q192" s="4"/>
      <c r="R192" s="4"/>
      <c r="S192" s="4"/>
      <c r="T192" s="4"/>
      <c r="U192" s="4"/>
      <c r="V192" s="4"/>
      <c r="W192" s="4"/>
      <c r="X192" s="4"/>
      <c r="Y192" s="4"/>
      <c r="Z192" s="4"/>
    </row>
    <row r="193" ht="15.75" customHeight="1">
      <c r="A193" s="4"/>
      <c r="B193" s="42"/>
      <c r="C193" s="4"/>
      <c r="D193" s="4"/>
      <c r="E193" s="4"/>
      <c r="F193" s="43"/>
      <c r="G193" s="4"/>
      <c r="H193" s="4"/>
      <c r="I193" s="4"/>
      <c r="J193" s="4"/>
      <c r="K193" s="4"/>
      <c r="L193" s="4"/>
      <c r="M193" s="4"/>
      <c r="N193" s="4"/>
      <c r="O193" s="4"/>
      <c r="P193" s="4"/>
      <c r="Q193" s="4"/>
      <c r="R193" s="4"/>
      <c r="S193" s="4"/>
      <c r="T193" s="4"/>
      <c r="U193" s="4"/>
      <c r="V193" s="4"/>
      <c r="W193" s="4"/>
      <c r="X193" s="4"/>
      <c r="Y193" s="4"/>
      <c r="Z193" s="4"/>
    </row>
    <row r="194" ht="15.75" customHeight="1">
      <c r="A194" s="4"/>
      <c r="B194" s="42"/>
      <c r="C194" s="4"/>
      <c r="D194" s="4"/>
      <c r="E194" s="4"/>
      <c r="F194" s="43"/>
      <c r="G194" s="4"/>
      <c r="H194" s="4"/>
      <c r="I194" s="4"/>
      <c r="J194" s="4"/>
      <c r="K194" s="4"/>
      <c r="L194" s="4"/>
      <c r="M194" s="4"/>
      <c r="N194" s="4"/>
      <c r="O194" s="4"/>
      <c r="P194" s="4"/>
      <c r="Q194" s="4"/>
      <c r="R194" s="4"/>
      <c r="S194" s="4"/>
      <c r="T194" s="4"/>
      <c r="U194" s="4"/>
      <c r="V194" s="4"/>
      <c r="W194" s="4"/>
      <c r="X194" s="4"/>
      <c r="Y194" s="4"/>
      <c r="Z194" s="4"/>
    </row>
    <row r="195" ht="15.75" customHeight="1">
      <c r="A195" s="4"/>
      <c r="B195" s="42"/>
      <c r="C195" s="4"/>
      <c r="D195" s="4"/>
      <c r="E195" s="4"/>
      <c r="F195" s="43"/>
      <c r="G195" s="4"/>
      <c r="H195" s="4"/>
      <c r="I195" s="4"/>
      <c r="J195" s="4"/>
      <c r="K195" s="4"/>
      <c r="L195" s="4"/>
      <c r="M195" s="4"/>
      <c r="N195" s="4"/>
      <c r="O195" s="4"/>
      <c r="P195" s="4"/>
      <c r="Q195" s="4"/>
      <c r="R195" s="4"/>
      <c r="S195" s="4"/>
      <c r="T195" s="4"/>
      <c r="U195" s="4"/>
      <c r="V195" s="4"/>
      <c r="W195" s="4"/>
      <c r="X195" s="4"/>
      <c r="Y195" s="4"/>
      <c r="Z195" s="4"/>
    </row>
    <row r="196" ht="15.75" customHeight="1">
      <c r="A196" s="4"/>
      <c r="B196" s="42"/>
      <c r="C196" s="4"/>
      <c r="D196" s="4"/>
      <c r="E196" s="4"/>
      <c r="F196" s="43"/>
      <c r="G196" s="4"/>
      <c r="H196" s="4"/>
      <c r="I196" s="4"/>
      <c r="J196" s="4"/>
      <c r="K196" s="4"/>
      <c r="L196" s="4"/>
      <c r="M196" s="4"/>
      <c r="N196" s="4"/>
      <c r="O196" s="4"/>
      <c r="P196" s="4"/>
      <c r="Q196" s="4"/>
      <c r="R196" s="4"/>
      <c r="S196" s="4"/>
      <c r="T196" s="4"/>
      <c r="U196" s="4"/>
      <c r="V196" s="4"/>
      <c r="W196" s="4"/>
      <c r="X196" s="4"/>
      <c r="Y196" s="4"/>
      <c r="Z196" s="4"/>
    </row>
    <row r="197" ht="15.75" customHeight="1">
      <c r="A197" s="4"/>
      <c r="B197" s="42"/>
      <c r="C197" s="4"/>
      <c r="D197" s="4"/>
      <c r="E197" s="4"/>
      <c r="F197" s="43"/>
      <c r="G197" s="4"/>
      <c r="H197" s="4"/>
      <c r="I197" s="4"/>
      <c r="J197" s="4"/>
      <c r="K197" s="4"/>
      <c r="L197" s="4"/>
      <c r="M197" s="4"/>
      <c r="N197" s="4"/>
      <c r="O197" s="4"/>
      <c r="P197" s="4"/>
      <c r="Q197" s="4"/>
      <c r="R197" s="4"/>
      <c r="S197" s="4"/>
      <c r="T197" s="4"/>
      <c r="U197" s="4"/>
      <c r="V197" s="4"/>
      <c r="W197" s="4"/>
      <c r="X197" s="4"/>
      <c r="Y197" s="4"/>
      <c r="Z197" s="4"/>
    </row>
    <row r="198" ht="15.75" customHeight="1">
      <c r="A198" s="4"/>
      <c r="B198" s="42"/>
      <c r="C198" s="4"/>
      <c r="D198" s="4"/>
      <c r="E198" s="4"/>
      <c r="F198" s="43"/>
      <c r="G198" s="4"/>
      <c r="H198" s="4"/>
      <c r="I198" s="4"/>
      <c r="J198" s="4"/>
      <c r="K198" s="4"/>
      <c r="L198" s="4"/>
      <c r="M198" s="4"/>
      <c r="N198" s="4"/>
      <c r="O198" s="4"/>
      <c r="P198" s="4"/>
      <c r="Q198" s="4"/>
      <c r="R198" s="4"/>
      <c r="S198" s="4"/>
      <c r="T198" s="4"/>
      <c r="U198" s="4"/>
      <c r="V198" s="4"/>
      <c r="W198" s="4"/>
      <c r="X198" s="4"/>
      <c r="Y198" s="4"/>
      <c r="Z198" s="4"/>
    </row>
    <row r="199" ht="15.75" customHeight="1">
      <c r="A199" s="4"/>
      <c r="B199" s="42"/>
      <c r="C199" s="4"/>
      <c r="D199" s="4"/>
      <c r="E199" s="4"/>
      <c r="F199" s="43"/>
      <c r="G199" s="4"/>
      <c r="H199" s="4"/>
      <c r="I199" s="4"/>
      <c r="J199" s="4"/>
      <c r="K199" s="4"/>
      <c r="L199" s="4"/>
      <c r="M199" s="4"/>
      <c r="N199" s="4"/>
      <c r="O199" s="4"/>
      <c r="P199" s="4"/>
      <c r="Q199" s="4"/>
      <c r="R199" s="4"/>
      <c r="S199" s="4"/>
      <c r="T199" s="4"/>
      <c r="U199" s="4"/>
      <c r="V199" s="4"/>
      <c r="W199" s="4"/>
      <c r="X199" s="4"/>
      <c r="Y199" s="4"/>
      <c r="Z199" s="4"/>
    </row>
    <row r="200" ht="15.75" customHeight="1">
      <c r="A200" s="4"/>
      <c r="B200" s="42"/>
      <c r="C200" s="4"/>
      <c r="D200" s="4"/>
      <c r="E200" s="4"/>
      <c r="F200" s="43"/>
      <c r="G200" s="4"/>
      <c r="H200" s="4"/>
      <c r="I200" s="4"/>
      <c r="J200" s="4"/>
      <c r="K200" s="4"/>
      <c r="L200" s="4"/>
      <c r="M200" s="4"/>
      <c r="N200" s="4"/>
      <c r="O200" s="4"/>
      <c r="P200" s="4"/>
      <c r="Q200" s="4"/>
      <c r="R200" s="4"/>
      <c r="S200" s="4"/>
      <c r="T200" s="4"/>
      <c r="U200" s="4"/>
      <c r="V200" s="4"/>
      <c r="W200" s="4"/>
      <c r="X200" s="4"/>
      <c r="Y200" s="4"/>
      <c r="Z200" s="4"/>
    </row>
    <row r="201" ht="15.75" customHeight="1">
      <c r="A201" s="4"/>
      <c r="B201" s="42"/>
      <c r="C201" s="4"/>
      <c r="D201" s="4"/>
      <c r="E201" s="4"/>
      <c r="F201" s="43"/>
      <c r="G201" s="4"/>
      <c r="H201" s="4"/>
      <c r="I201" s="4"/>
      <c r="J201" s="4"/>
      <c r="K201" s="4"/>
      <c r="L201" s="4"/>
      <c r="M201" s="4"/>
      <c r="N201" s="4"/>
      <c r="O201" s="4"/>
      <c r="P201" s="4"/>
      <c r="Q201" s="4"/>
      <c r="R201" s="4"/>
      <c r="S201" s="4"/>
      <c r="T201" s="4"/>
      <c r="U201" s="4"/>
      <c r="V201" s="4"/>
      <c r="W201" s="4"/>
      <c r="X201" s="4"/>
      <c r="Y201" s="4"/>
      <c r="Z201" s="4"/>
    </row>
    <row r="202" ht="15.75" customHeight="1">
      <c r="A202" s="4"/>
      <c r="B202" s="42"/>
      <c r="C202" s="4"/>
      <c r="D202" s="4"/>
      <c r="E202" s="4"/>
      <c r="F202" s="43"/>
      <c r="G202" s="4"/>
      <c r="H202" s="4"/>
      <c r="I202" s="4"/>
      <c r="J202" s="4"/>
      <c r="K202" s="4"/>
      <c r="L202" s="4"/>
      <c r="M202" s="4"/>
      <c r="N202" s="4"/>
      <c r="O202" s="4"/>
      <c r="P202" s="4"/>
      <c r="Q202" s="4"/>
      <c r="R202" s="4"/>
      <c r="S202" s="4"/>
      <c r="T202" s="4"/>
      <c r="U202" s="4"/>
      <c r="V202" s="4"/>
      <c r="W202" s="4"/>
      <c r="X202" s="4"/>
      <c r="Y202" s="4"/>
      <c r="Z202" s="4"/>
    </row>
    <row r="203" ht="15.75" customHeight="1">
      <c r="A203" s="4"/>
      <c r="B203" s="42"/>
      <c r="C203" s="4"/>
      <c r="D203" s="4"/>
      <c r="E203" s="4"/>
      <c r="F203" s="43"/>
      <c r="G203" s="4"/>
      <c r="H203" s="4"/>
      <c r="I203" s="4"/>
      <c r="J203" s="4"/>
      <c r="K203" s="4"/>
      <c r="L203" s="4"/>
      <c r="M203" s="4"/>
      <c r="N203" s="4"/>
      <c r="O203" s="4"/>
      <c r="P203" s="4"/>
      <c r="Q203" s="4"/>
      <c r="R203" s="4"/>
      <c r="S203" s="4"/>
      <c r="T203" s="4"/>
      <c r="U203" s="4"/>
      <c r="V203" s="4"/>
      <c r="W203" s="4"/>
      <c r="X203" s="4"/>
      <c r="Y203" s="4"/>
      <c r="Z203" s="4"/>
    </row>
    <row r="204" ht="15.75" customHeight="1">
      <c r="A204" s="4"/>
      <c r="B204" s="42"/>
      <c r="C204" s="4"/>
      <c r="D204" s="4"/>
      <c r="E204" s="4"/>
      <c r="F204" s="43"/>
      <c r="G204" s="4"/>
      <c r="H204" s="4"/>
      <c r="I204" s="4"/>
      <c r="J204" s="4"/>
      <c r="K204" s="4"/>
      <c r="L204" s="4"/>
      <c r="M204" s="4"/>
      <c r="N204" s="4"/>
      <c r="O204" s="4"/>
      <c r="P204" s="4"/>
      <c r="Q204" s="4"/>
      <c r="R204" s="4"/>
      <c r="S204" s="4"/>
      <c r="T204" s="4"/>
      <c r="U204" s="4"/>
      <c r="V204" s="4"/>
      <c r="W204" s="4"/>
      <c r="X204" s="4"/>
      <c r="Y204" s="4"/>
      <c r="Z204" s="4"/>
    </row>
    <row r="205" ht="15.75" customHeight="1">
      <c r="A205" s="4"/>
      <c r="B205" s="42"/>
      <c r="C205" s="4"/>
      <c r="D205" s="4"/>
      <c r="E205" s="4"/>
      <c r="F205" s="43"/>
      <c r="G205" s="4"/>
      <c r="H205" s="4"/>
      <c r="I205" s="4"/>
      <c r="J205" s="4"/>
      <c r="K205" s="4"/>
      <c r="L205" s="4"/>
      <c r="M205" s="4"/>
      <c r="N205" s="4"/>
      <c r="O205" s="4"/>
      <c r="P205" s="4"/>
      <c r="Q205" s="4"/>
      <c r="R205" s="4"/>
      <c r="S205" s="4"/>
      <c r="T205" s="4"/>
      <c r="U205" s="4"/>
      <c r="V205" s="4"/>
      <c r="W205" s="4"/>
      <c r="X205" s="4"/>
      <c r="Y205" s="4"/>
      <c r="Z205" s="4"/>
    </row>
    <row r="206" ht="15.75" customHeight="1">
      <c r="A206" s="4"/>
      <c r="B206" s="42"/>
      <c r="C206" s="4"/>
      <c r="D206" s="4"/>
      <c r="E206" s="4"/>
      <c r="F206" s="43"/>
      <c r="G206" s="4"/>
      <c r="H206" s="4"/>
      <c r="I206" s="4"/>
      <c r="J206" s="4"/>
      <c r="K206" s="4"/>
      <c r="L206" s="4"/>
      <c r="M206" s="4"/>
      <c r="N206" s="4"/>
      <c r="O206" s="4"/>
      <c r="P206" s="4"/>
      <c r="Q206" s="4"/>
      <c r="R206" s="4"/>
      <c r="S206" s="4"/>
      <c r="T206" s="4"/>
      <c r="U206" s="4"/>
      <c r="V206" s="4"/>
      <c r="W206" s="4"/>
      <c r="X206" s="4"/>
      <c r="Y206" s="4"/>
      <c r="Z206" s="4"/>
    </row>
    <row r="207" ht="15.75" customHeight="1">
      <c r="A207" s="4"/>
      <c r="B207" s="42"/>
      <c r="C207" s="4"/>
      <c r="D207" s="4"/>
      <c r="E207" s="4"/>
      <c r="F207" s="43"/>
      <c r="G207" s="4"/>
      <c r="H207" s="4"/>
      <c r="I207" s="4"/>
      <c r="J207" s="4"/>
      <c r="K207" s="4"/>
      <c r="L207" s="4"/>
      <c r="M207" s="4"/>
      <c r="N207" s="4"/>
      <c r="O207" s="4"/>
      <c r="P207" s="4"/>
      <c r="Q207" s="4"/>
      <c r="R207" s="4"/>
      <c r="S207" s="4"/>
      <c r="T207" s="4"/>
      <c r="U207" s="4"/>
      <c r="V207" s="4"/>
      <c r="W207" s="4"/>
      <c r="X207" s="4"/>
      <c r="Y207" s="4"/>
      <c r="Z207" s="4"/>
    </row>
    <row r="208" ht="15.75" customHeight="1">
      <c r="A208" s="4"/>
      <c r="B208" s="42"/>
      <c r="C208" s="4"/>
      <c r="D208" s="4"/>
      <c r="E208" s="4"/>
      <c r="F208" s="43"/>
      <c r="G208" s="4"/>
      <c r="H208" s="4"/>
      <c r="I208" s="4"/>
      <c r="J208" s="4"/>
      <c r="K208" s="4"/>
      <c r="L208" s="4"/>
      <c r="M208" s="4"/>
      <c r="N208" s="4"/>
      <c r="O208" s="4"/>
      <c r="P208" s="4"/>
      <c r="Q208" s="4"/>
      <c r="R208" s="4"/>
      <c r="S208" s="4"/>
      <c r="T208" s="4"/>
      <c r="U208" s="4"/>
      <c r="V208" s="4"/>
      <c r="W208" s="4"/>
      <c r="X208" s="4"/>
      <c r="Y208" s="4"/>
      <c r="Z208" s="4"/>
    </row>
    <row r="209" ht="15.75" customHeight="1">
      <c r="A209" s="4"/>
      <c r="B209" s="42"/>
      <c r="C209" s="4"/>
      <c r="D209" s="4"/>
      <c r="E209" s="4"/>
      <c r="F209" s="43"/>
      <c r="G209" s="4"/>
      <c r="H209" s="4"/>
      <c r="I209" s="4"/>
      <c r="J209" s="4"/>
      <c r="K209" s="4"/>
      <c r="L209" s="4"/>
      <c r="M209" s="4"/>
      <c r="N209" s="4"/>
      <c r="O209" s="4"/>
      <c r="P209" s="4"/>
      <c r="Q209" s="4"/>
      <c r="R209" s="4"/>
      <c r="S209" s="4"/>
      <c r="T209" s="4"/>
      <c r="U209" s="4"/>
      <c r="V209" s="4"/>
      <c r="W209" s="4"/>
      <c r="X209" s="4"/>
      <c r="Y209" s="4"/>
      <c r="Z209" s="4"/>
    </row>
    <row r="210" ht="15.75" customHeight="1">
      <c r="A210" s="4"/>
      <c r="B210" s="42"/>
      <c r="C210" s="4"/>
      <c r="D210" s="4"/>
      <c r="E210" s="4"/>
      <c r="F210" s="43"/>
      <c r="G210" s="4"/>
      <c r="H210" s="4"/>
      <c r="I210" s="4"/>
      <c r="J210" s="4"/>
      <c r="K210" s="4"/>
      <c r="L210" s="4"/>
      <c r="M210" s="4"/>
      <c r="N210" s="4"/>
      <c r="O210" s="4"/>
      <c r="P210" s="4"/>
      <c r="Q210" s="4"/>
      <c r="R210" s="4"/>
      <c r="S210" s="4"/>
      <c r="T210" s="4"/>
      <c r="U210" s="4"/>
      <c r="V210" s="4"/>
      <c r="W210" s="4"/>
      <c r="X210" s="4"/>
      <c r="Y210" s="4"/>
      <c r="Z210" s="4"/>
    </row>
    <row r="211" ht="15.75" customHeight="1">
      <c r="A211" s="4"/>
      <c r="B211" s="42"/>
      <c r="C211" s="4"/>
      <c r="D211" s="4"/>
      <c r="E211" s="4"/>
      <c r="F211" s="43"/>
      <c r="G211" s="4"/>
      <c r="H211" s="4"/>
      <c r="I211" s="4"/>
      <c r="J211" s="4"/>
      <c r="K211" s="4"/>
      <c r="L211" s="4"/>
      <c r="M211" s="4"/>
      <c r="N211" s="4"/>
      <c r="O211" s="4"/>
      <c r="P211" s="4"/>
      <c r="Q211" s="4"/>
      <c r="R211" s="4"/>
      <c r="S211" s="4"/>
      <c r="T211" s="4"/>
      <c r="U211" s="4"/>
      <c r="V211" s="4"/>
      <c r="W211" s="4"/>
      <c r="X211" s="4"/>
      <c r="Y211" s="4"/>
      <c r="Z211" s="4"/>
    </row>
    <row r="212" ht="15.75" customHeight="1">
      <c r="A212" s="4"/>
      <c r="B212" s="42"/>
      <c r="C212" s="4"/>
      <c r="D212" s="4"/>
      <c r="E212" s="4"/>
      <c r="F212" s="43"/>
      <c r="G212" s="4"/>
      <c r="H212" s="4"/>
      <c r="I212" s="4"/>
      <c r="J212" s="4"/>
      <c r="K212" s="4"/>
      <c r="L212" s="4"/>
      <c r="M212" s="4"/>
      <c r="N212" s="4"/>
      <c r="O212" s="4"/>
      <c r="P212" s="4"/>
      <c r="Q212" s="4"/>
      <c r="R212" s="4"/>
      <c r="S212" s="4"/>
      <c r="T212" s="4"/>
      <c r="U212" s="4"/>
      <c r="V212" s="4"/>
      <c r="W212" s="4"/>
      <c r="X212" s="4"/>
      <c r="Y212" s="4"/>
      <c r="Z212" s="4"/>
    </row>
    <row r="213" ht="15.75" customHeight="1">
      <c r="A213" s="4"/>
      <c r="B213" s="42"/>
      <c r="C213" s="4"/>
      <c r="D213" s="4"/>
      <c r="E213" s="4"/>
      <c r="F213" s="43"/>
      <c r="G213" s="4"/>
      <c r="H213" s="4"/>
      <c r="I213" s="4"/>
      <c r="J213" s="4"/>
      <c r="K213" s="4"/>
      <c r="L213" s="4"/>
      <c r="M213" s="4"/>
      <c r="N213" s="4"/>
      <c r="O213" s="4"/>
      <c r="P213" s="4"/>
      <c r="Q213" s="4"/>
      <c r="R213" s="4"/>
      <c r="S213" s="4"/>
      <c r="T213" s="4"/>
      <c r="U213" s="4"/>
      <c r="V213" s="4"/>
      <c r="W213" s="4"/>
      <c r="X213" s="4"/>
      <c r="Y213" s="4"/>
      <c r="Z213" s="4"/>
    </row>
    <row r="214" ht="15.75" customHeight="1">
      <c r="A214" s="4"/>
      <c r="B214" s="42"/>
      <c r="C214" s="4"/>
      <c r="D214" s="4"/>
      <c r="E214" s="4"/>
      <c r="F214" s="43"/>
      <c r="G214" s="4"/>
      <c r="H214" s="4"/>
      <c r="I214" s="4"/>
      <c r="J214" s="4"/>
      <c r="K214" s="4"/>
      <c r="L214" s="4"/>
      <c r="M214" s="4"/>
      <c r="N214" s="4"/>
      <c r="O214" s="4"/>
      <c r="P214" s="4"/>
      <c r="Q214" s="4"/>
      <c r="R214" s="4"/>
      <c r="S214" s="4"/>
      <c r="T214" s="4"/>
      <c r="U214" s="4"/>
      <c r="V214" s="4"/>
      <c r="W214" s="4"/>
      <c r="X214" s="4"/>
      <c r="Y214" s="4"/>
      <c r="Z214" s="4"/>
    </row>
    <row r="215" ht="15.75" customHeight="1">
      <c r="A215" s="4"/>
      <c r="B215" s="42"/>
      <c r="C215" s="4"/>
      <c r="D215" s="4"/>
      <c r="E215" s="4"/>
      <c r="F215" s="43"/>
      <c r="G215" s="4"/>
      <c r="H215" s="4"/>
      <c r="I215" s="4"/>
      <c r="J215" s="4"/>
      <c r="K215" s="4"/>
      <c r="L215" s="4"/>
      <c r="M215" s="4"/>
      <c r="N215" s="4"/>
      <c r="O215" s="4"/>
      <c r="P215" s="4"/>
      <c r="Q215" s="4"/>
      <c r="R215" s="4"/>
      <c r="S215" s="4"/>
      <c r="T215" s="4"/>
      <c r="U215" s="4"/>
      <c r="V215" s="4"/>
      <c r="W215" s="4"/>
      <c r="X215" s="4"/>
      <c r="Y215" s="4"/>
      <c r="Z215" s="4"/>
    </row>
    <row r="216" ht="15.75" customHeight="1">
      <c r="A216" s="4"/>
      <c r="B216" s="42"/>
      <c r="C216" s="4"/>
      <c r="D216" s="4"/>
      <c r="E216" s="4"/>
      <c r="F216" s="43"/>
      <c r="G216" s="4"/>
      <c r="H216" s="4"/>
      <c r="I216" s="4"/>
      <c r="J216" s="4"/>
      <c r="K216" s="4"/>
      <c r="L216" s="4"/>
      <c r="M216" s="4"/>
      <c r="N216" s="4"/>
      <c r="O216" s="4"/>
      <c r="P216" s="4"/>
      <c r="Q216" s="4"/>
      <c r="R216" s="4"/>
      <c r="S216" s="4"/>
      <c r="T216" s="4"/>
      <c r="U216" s="4"/>
      <c r="V216" s="4"/>
      <c r="W216" s="4"/>
      <c r="X216" s="4"/>
      <c r="Y216" s="4"/>
      <c r="Z216" s="4"/>
    </row>
    <row r="217" ht="15.75" customHeight="1">
      <c r="A217" s="4"/>
      <c r="B217" s="42"/>
      <c r="C217" s="4"/>
      <c r="D217" s="4"/>
      <c r="E217" s="4"/>
      <c r="F217" s="43"/>
      <c r="G217" s="4"/>
      <c r="H217" s="4"/>
      <c r="I217" s="4"/>
      <c r="J217" s="4"/>
      <c r="K217" s="4"/>
      <c r="L217" s="4"/>
      <c r="M217" s="4"/>
      <c r="N217" s="4"/>
      <c r="O217" s="4"/>
      <c r="P217" s="4"/>
      <c r="Q217" s="4"/>
      <c r="R217" s="4"/>
      <c r="S217" s="4"/>
      <c r="T217" s="4"/>
      <c r="U217" s="4"/>
      <c r="V217" s="4"/>
      <c r="W217" s="4"/>
      <c r="X217" s="4"/>
      <c r="Y217" s="4"/>
      <c r="Z217" s="4"/>
    </row>
    <row r="218" ht="15.75" customHeight="1">
      <c r="A218" s="4"/>
      <c r="B218" s="42"/>
      <c r="C218" s="4"/>
      <c r="D218" s="4"/>
      <c r="E218" s="4"/>
      <c r="F218" s="43"/>
      <c r="G218" s="4"/>
      <c r="H218" s="4"/>
      <c r="I218" s="4"/>
      <c r="J218" s="4"/>
      <c r="K218" s="4"/>
      <c r="L218" s="4"/>
      <c r="M218" s="4"/>
      <c r="N218" s="4"/>
      <c r="O218" s="4"/>
      <c r="P218" s="4"/>
      <c r="Q218" s="4"/>
      <c r="R218" s="4"/>
      <c r="S218" s="4"/>
      <c r="T218" s="4"/>
      <c r="U218" s="4"/>
      <c r="V218" s="4"/>
      <c r="W218" s="4"/>
      <c r="X218" s="4"/>
      <c r="Y218" s="4"/>
      <c r="Z218" s="4"/>
    </row>
    <row r="219" ht="15.75" customHeight="1">
      <c r="A219" s="4"/>
      <c r="B219" s="42"/>
      <c r="C219" s="4"/>
      <c r="D219" s="4"/>
      <c r="E219" s="4"/>
      <c r="F219" s="43"/>
      <c r="G219" s="4"/>
      <c r="H219" s="4"/>
      <c r="I219" s="4"/>
      <c r="J219" s="4"/>
      <c r="K219" s="4"/>
      <c r="L219" s="4"/>
      <c r="M219" s="4"/>
      <c r="N219" s="4"/>
      <c r="O219" s="4"/>
      <c r="P219" s="4"/>
      <c r="Q219" s="4"/>
      <c r="R219" s="4"/>
      <c r="S219" s="4"/>
      <c r="T219" s="4"/>
      <c r="U219" s="4"/>
      <c r="V219" s="4"/>
      <c r="W219" s="4"/>
      <c r="X219" s="4"/>
      <c r="Y219" s="4"/>
      <c r="Z219" s="4"/>
    </row>
    <row r="220" ht="15.75" customHeight="1">
      <c r="A220" s="4"/>
      <c r="B220" s="42"/>
      <c r="C220" s="4"/>
      <c r="D220" s="4"/>
      <c r="E220" s="4"/>
      <c r="F220" s="43"/>
      <c r="G220" s="4"/>
      <c r="H220" s="4"/>
      <c r="I220" s="4"/>
      <c r="J220" s="4"/>
      <c r="K220" s="4"/>
      <c r="L220" s="4"/>
      <c r="M220" s="4"/>
      <c r="N220" s="4"/>
      <c r="O220" s="4"/>
      <c r="P220" s="4"/>
      <c r="Q220" s="4"/>
      <c r="R220" s="4"/>
      <c r="S220" s="4"/>
      <c r="T220" s="4"/>
      <c r="U220" s="4"/>
      <c r="V220" s="4"/>
      <c r="W220" s="4"/>
      <c r="X220" s="4"/>
      <c r="Y220" s="4"/>
      <c r="Z220" s="4"/>
    </row>
    <row r="221" ht="15.75" customHeight="1">
      <c r="A221" s="4"/>
      <c r="B221" s="42"/>
      <c r="C221" s="4"/>
      <c r="D221" s="4"/>
      <c r="E221" s="4"/>
      <c r="F221" s="43"/>
      <c r="G221" s="4"/>
      <c r="H221" s="4"/>
      <c r="I221" s="4"/>
      <c r="J221" s="4"/>
      <c r="K221" s="4"/>
      <c r="L221" s="4"/>
      <c r="M221" s="4"/>
      <c r="N221" s="4"/>
      <c r="O221" s="4"/>
      <c r="P221" s="4"/>
      <c r="Q221" s="4"/>
      <c r="R221" s="4"/>
      <c r="S221" s="4"/>
      <c r="T221" s="4"/>
      <c r="U221" s="4"/>
      <c r="V221" s="4"/>
      <c r="W221" s="4"/>
      <c r="X221" s="4"/>
      <c r="Y221" s="4"/>
      <c r="Z221" s="4"/>
    </row>
    <row r="222" ht="15.75" customHeight="1">
      <c r="A222" s="4"/>
      <c r="B222" s="42"/>
      <c r="C222" s="4"/>
      <c r="D222" s="4"/>
      <c r="E222" s="4"/>
      <c r="F222" s="43"/>
      <c r="G222" s="4"/>
      <c r="H222" s="4"/>
      <c r="I222" s="4"/>
      <c r="J222" s="4"/>
      <c r="K222" s="4"/>
      <c r="L222" s="4"/>
      <c r="M222" s="4"/>
      <c r="N222" s="4"/>
      <c r="O222" s="4"/>
      <c r="P222" s="4"/>
      <c r="Q222" s="4"/>
      <c r="R222" s="4"/>
      <c r="S222" s="4"/>
      <c r="T222" s="4"/>
      <c r="U222" s="4"/>
      <c r="V222" s="4"/>
      <c r="W222" s="4"/>
      <c r="X222" s="4"/>
      <c r="Y222" s="4"/>
      <c r="Z222" s="4"/>
    </row>
    <row r="223" ht="15.75" customHeight="1">
      <c r="A223" s="4"/>
      <c r="B223" s="42"/>
      <c r="C223" s="4"/>
      <c r="D223" s="4"/>
      <c r="E223" s="4"/>
      <c r="F223" s="43"/>
      <c r="G223" s="4"/>
      <c r="H223" s="4"/>
      <c r="I223" s="4"/>
      <c r="J223" s="4"/>
      <c r="K223" s="4"/>
      <c r="L223" s="4"/>
      <c r="M223" s="4"/>
      <c r="N223" s="4"/>
      <c r="O223" s="4"/>
      <c r="P223" s="4"/>
      <c r="Q223" s="4"/>
      <c r="R223" s="4"/>
      <c r="S223" s="4"/>
      <c r="T223" s="4"/>
      <c r="U223" s="4"/>
      <c r="V223" s="4"/>
      <c r="W223" s="4"/>
      <c r="X223" s="4"/>
      <c r="Y223" s="4"/>
      <c r="Z223" s="4"/>
    </row>
    <row r="224" ht="15.75" customHeight="1">
      <c r="A224" s="4"/>
      <c r="B224" s="42"/>
      <c r="C224" s="4"/>
      <c r="D224" s="4"/>
      <c r="E224" s="4"/>
      <c r="F224" s="43"/>
      <c r="G224" s="4"/>
      <c r="H224" s="4"/>
      <c r="I224" s="4"/>
      <c r="J224" s="4"/>
      <c r="K224" s="4"/>
      <c r="L224" s="4"/>
      <c r="M224" s="4"/>
      <c r="N224" s="4"/>
      <c r="O224" s="4"/>
      <c r="P224" s="4"/>
      <c r="Q224" s="4"/>
      <c r="R224" s="4"/>
      <c r="S224" s="4"/>
      <c r="T224" s="4"/>
      <c r="U224" s="4"/>
      <c r="V224" s="4"/>
      <c r="W224" s="4"/>
      <c r="X224" s="4"/>
      <c r="Y224" s="4"/>
      <c r="Z224" s="4"/>
    </row>
    <row r="225" ht="15.75" customHeight="1">
      <c r="A225" s="4"/>
      <c r="B225" s="42"/>
      <c r="C225" s="4"/>
      <c r="D225" s="4"/>
      <c r="E225" s="4"/>
      <c r="F225" s="43"/>
      <c r="G225" s="4"/>
      <c r="H225" s="4"/>
      <c r="I225" s="4"/>
      <c r="J225" s="4"/>
      <c r="K225" s="4"/>
      <c r="L225" s="4"/>
      <c r="M225" s="4"/>
      <c r="N225" s="4"/>
      <c r="O225" s="4"/>
      <c r="P225" s="4"/>
      <c r="Q225" s="4"/>
      <c r="R225" s="4"/>
      <c r="S225" s="4"/>
      <c r="T225" s="4"/>
      <c r="U225" s="4"/>
      <c r="V225" s="4"/>
      <c r="W225" s="4"/>
      <c r="X225" s="4"/>
      <c r="Y225" s="4"/>
      <c r="Z225" s="4"/>
    </row>
    <row r="226" ht="15.75" customHeight="1">
      <c r="A226" s="4"/>
      <c r="B226" s="42"/>
      <c r="C226" s="4"/>
      <c r="D226" s="4"/>
      <c r="E226" s="4"/>
      <c r="F226" s="43"/>
      <c r="G226" s="4"/>
      <c r="H226" s="4"/>
      <c r="I226" s="4"/>
      <c r="J226" s="4"/>
      <c r="K226" s="4"/>
      <c r="L226" s="4"/>
      <c r="M226" s="4"/>
      <c r="N226" s="4"/>
      <c r="O226" s="4"/>
      <c r="P226" s="4"/>
      <c r="Q226" s="4"/>
      <c r="R226" s="4"/>
      <c r="S226" s="4"/>
      <c r="T226" s="4"/>
      <c r="U226" s="4"/>
      <c r="V226" s="4"/>
      <c r="W226" s="4"/>
      <c r="X226" s="4"/>
      <c r="Y226" s="4"/>
      <c r="Z226" s="4"/>
    </row>
    <row r="227" ht="15.75" customHeight="1">
      <c r="A227" s="4"/>
      <c r="B227" s="42"/>
      <c r="C227" s="4"/>
      <c r="D227" s="4"/>
      <c r="E227" s="4"/>
      <c r="F227" s="43"/>
      <c r="G227" s="4"/>
      <c r="H227" s="4"/>
      <c r="I227" s="4"/>
      <c r="J227" s="4"/>
      <c r="K227" s="4"/>
      <c r="L227" s="4"/>
      <c r="M227" s="4"/>
      <c r="N227" s="4"/>
      <c r="O227" s="4"/>
      <c r="P227" s="4"/>
      <c r="Q227" s="4"/>
      <c r="R227" s="4"/>
      <c r="S227" s="4"/>
      <c r="T227" s="4"/>
      <c r="U227" s="4"/>
      <c r="V227" s="4"/>
      <c r="W227" s="4"/>
      <c r="X227" s="4"/>
      <c r="Y227" s="4"/>
      <c r="Z227" s="4"/>
    </row>
    <row r="228" ht="15.75" customHeight="1">
      <c r="A228" s="4"/>
      <c r="B228" s="42"/>
      <c r="C228" s="4"/>
      <c r="D228" s="4"/>
      <c r="E228" s="4"/>
      <c r="F228" s="43"/>
      <c r="G228" s="4"/>
      <c r="H228" s="4"/>
      <c r="I228" s="4"/>
      <c r="J228" s="4"/>
      <c r="K228" s="4"/>
      <c r="L228" s="4"/>
      <c r="M228" s="4"/>
      <c r="N228" s="4"/>
      <c r="O228" s="4"/>
      <c r="P228" s="4"/>
      <c r="Q228" s="4"/>
      <c r="R228" s="4"/>
      <c r="S228" s="4"/>
      <c r="T228" s="4"/>
      <c r="U228" s="4"/>
      <c r="V228" s="4"/>
      <c r="W228" s="4"/>
      <c r="X228" s="4"/>
      <c r="Y228" s="4"/>
      <c r="Z228" s="4"/>
    </row>
    <row r="229" ht="15.75" customHeight="1">
      <c r="A229" s="4"/>
      <c r="B229" s="42"/>
      <c r="C229" s="4"/>
      <c r="D229" s="4"/>
      <c r="E229" s="4"/>
      <c r="F229" s="43"/>
      <c r="G229" s="4"/>
      <c r="H229" s="4"/>
      <c r="I229" s="4"/>
      <c r="J229" s="4"/>
      <c r="K229" s="4"/>
      <c r="L229" s="4"/>
      <c r="M229" s="4"/>
      <c r="N229" s="4"/>
      <c r="O229" s="4"/>
      <c r="P229" s="4"/>
      <c r="Q229" s="4"/>
      <c r="R229" s="4"/>
      <c r="S229" s="4"/>
      <c r="T229" s="4"/>
      <c r="U229" s="4"/>
      <c r="V229" s="4"/>
      <c r="W229" s="4"/>
      <c r="X229" s="4"/>
      <c r="Y229" s="4"/>
      <c r="Z229" s="4"/>
    </row>
    <row r="230" ht="15.75" customHeight="1">
      <c r="A230" s="4"/>
      <c r="B230" s="42"/>
      <c r="C230" s="4"/>
      <c r="D230" s="4"/>
      <c r="E230" s="4"/>
      <c r="F230" s="43"/>
      <c r="G230" s="4"/>
      <c r="H230" s="4"/>
      <c r="I230" s="4"/>
      <c r="J230" s="4"/>
      <c r="K230" s="4"/>
      <c r="L230" s="4"/>
      <c r="M230" s="4"/>
      <c r="N230" s="4"/>
      <c r="O230" s="4"/>
      <c r="P230" s="4"/>
      <c r="Q230" s="4"/>
      <c r="R230" s="4"/>
      <c r="S230" s="4"/>
      <c r="T230" s="4"/>
      <c r="U230" s="4"/>
      <c r="V230" s="4"/>
      <c r="W230" s="4"/>
      <c r="X230" s="4"/>
      <c r="Y230" s="4"/>
      <c r="Z230" s="4"/>
    </row>
    <row r="231" ht="15.75" customHeight="1">
      <c r="A231" s="4"/>
      <c r="B231" s="42"/>
      <c r="C231" s="4"/>
      <c r="D231" s="4"/>
      <c r="E231" s="4"/>
      <c r="F231" s="43"/>
      <c r="G231" s="4"/>
      <c r="H231" s="4"/>
      <c r="I231" s="4"/>
      <c r="J231" s="4"/>
      <c r="K231" s="4"/>
      <c r="L231" s="4"/>
      <c r="M231" s="4"/>
      <c r="N231" s="4"/>
      <c r="O231" s="4"/>
      <c r="P231" s="4"/>
      <c r="Q231" s="4"/>
      <c r="R231" s="4"/>
      <c r="S231" s="4"/>
      <c r="T231" s="4"/>
      <c r="U231" s="4"/>
      <c r="V231" s="4"/>
      <c r="W231" s="4"/>
      <c r="X231" s="4"/>
      <c r="Y231" s="4"/>
      <c r="Z231" s="4"/>
    </row>
    <row r="232" ht="15.75" customHeight="1">
      <c r="A232" s="4"/>
      <c r="B232" s="42"/>
      <c r="C232" s="4"/>
      <c r="D232" s="4"/>
      <c r="E232" s="4"/>
      <c r="F232" s="43"/>
      <c r="G232" s="4"/>
      <c r="H232" s="4"/>
      <c r="I232" s="4"/>
      <c r="J232" s="4"/>
      <c r="K232" s="4"/>
      <c r="L232" s="4"/>
      <c r="M232" s="4"/>
      <c r="N232" s="4"/>
      <c r="O232" s="4"/>
      <c r="P232" s="4"/>
      <c r="Q232" s="4"/>
      <c r="R232" s="4"/>
      <c r="S232" s="4"/>
      <c r="T232" s="4"/>
      <c r="U232" s="4"/>
      <c r="V232" s="4"/>
      <c r="W232" s="4"/>
      <c r="X232" s="4"/>
      <c r="Y232" s="4"/>
      <c r="Z232" s="4"/>
    </row>
    <row r="233" ht="15.75" customHeight="1">
      <c r="A233" s="4"/>
      <c r="B233" s="42"/>
      <c r="C233" s="4"/>
      <c r="D233" s="4"/>
      <c r="E233" s="4"/>
      <c r="F233" s="43"/>
      <c r="G233" s="4"/>
      <c r="H233" s="4"/>
      <c r="I233" s="4"/>
      <c r="J233" s="4"/>
      <c r="K233" s="4"/>
      <c r="L233" s="4"/>
      <c r="M233" s="4"/>
      <c r="N233" s="4"/>
      <c r="O233" s="4"/>
      <c r="P233" s="4"/>
      <c r="Q233" s="4"/>
      <c r="R233" s="4"/>
      <c r="S233" s="4"/>
      <c r="T233" s="4"/>
      <c r="U233" s="4"/>
      <c r="V233" s="4"/>
      <c r="W233" s="4"/>
      <c r="X233" s="4"/>
      <c r="Y233" s="4"/>
      <c r="Z233" s="4"/>
    </row>
    <row r="234" ht="15.75" customHeight="1">
      <c r="A234" s="4"/>
      <c r="B234" s="42"/>
      <c r="C234" s="4"/>
      <c r="D234" s="4"/>
      <c r="E234" s="4"/>
      <c r="F234" s="43"/>
      <c r="G234" s="4"/>
      <c r="H234" s="4"/>
      <c r="I234" s="4"/>
      <c r="J234" s="4"/>
      <c r="K234" s="4"/>
      <c r="L234" s="4"/>
      <c r="M234" s="4"/>
      <c r="N234" s="4"/>
      <c r="O234" s="4"/>
      <c r="P234" s="4"/>
      <c r="Q234" s="4"/>
      <c r="R234" s="4"/>
      <c r="S234" s="4"/>
      <c r="T234" s="4"/>
      <c r="U234" s="4"/>
      <c r="V234" s="4"/>
      <c r="W234" s="4"/>
      <c r="X234" s="4"/>
      <c r="Y234" s="4"/>
      <c r="Z234" s="4"/>
    </row>
    <row r="235" ht="15.75" customHeight="1">
      <c r="A235" s="4"/>
      <c r="B235" s="42"/>
      <c r="C235" s="4"/>
      <c r="D235" s="4"/>
      <c r="E235" s="4"/>
      <c r="F235" s="43"/>
      <c r="G235" s="4"/>
      <c r="H235" s="4"/>
      <c r="I235" s="4"/>
      <c r="J235" s="4"/>
      <c r="K235" s="4"/>
      <c r="L235" s="4"/>
      <c r="M235" s="4"/>
      <c r="N235" s="4"/>
      <c r="O235" s="4"/>
      <c r="P235" s="4"/>
      <c r="Q235" s="4"/>
      <c r="R235" s="4"/>
      <c r="S235" s="4"/>
      <c r="T235" s="4"/>
      <c r="U235" s="4"/>
      <c r="V235" s="4"/>
      <c r="W235" s="4"/>
      <c r="X235" s="4"/>
      <c r="Y235" s="4"/>
      <c r="Z235" s="4"/>
    </row>
    <row r="236" ht="15.75" customHeight="1">
      <c r="A236" s="4"/>
      <c r="B236" s="42"/>
      <c r="C236" s="4"/>
      <c r="D236" s="4"/>
      <c r="E236" s="4"/>
      <c r="F236" s="43"/>
      <c r="G236" s="4"/>
      <c r="H236" s="4"/>
      <c r="I236" s="4"/>
      <c r="J236" s="4"/>
      <c r="K236" s="4"/>
      <c r="L236" s="4"/>
      <c r="M236" s="4"/>
      <c r="N236" s="4"/>
      <c r="O236" s="4"/>
      <c r="P236" s="4"/>
      <c r="Q236" s="4"/>
      <c r="R236" s="4"/>
      <c r="S236" s="4"/>
      <c r="T236" s="4"/>
      <c r="U236" s="4"/>
      <c r="V236" s="4"/>
      <c r="W236" s="4"/>
      <c r="X236" s="4"/>
      <c r="Y236" s="4"/>
      <c r="Z236" s="4"/>
    </row>
    <row r="237" ht="15.75" customHeight="1">
      <c r="A237" s="4"/>
      <c r="B237" s="42"/>
      <c r="C237" s="4"/>
      <c r="D237" s="4"/>
      <c r="E237" s="4"/>
      <c r="F237" s="43"/>
      <c r="G237" s="4"/>
      <c r="H237" s="4"/>
      <c r="I237" s="4"/>
      <c r="J237" s="4"/>
      <c r="K237" s="4"/>
      <c r="L237" s="4"/>
      <c r="M237" s="4"/>
      <c r="N237" s="4"/>
      <c r="O237" s="4"/>
      <c r="P237" s="4"/>
      <c r="Q237" s="4"/>
      <c r="R237" s="4"/>
      <c r="S237" s="4"/>
      <c r="T237" s="4"/>
      <c r="U237" s="4"/>
      <c r="V237" s="4"/>
      <c r="W237" s="4"/>
      <c r="X237" s="4"/>
      <c r="Y237" s="4"/>
      <c r="Z237" s="4"/>
    </row>
    <row r="238" ht="15.75" customHeight="1">
      <c r="A238" s="4"/>
      <c r="B238" s="42"/>
      <c r="C238" s="4"/>
      <c r="D238" s="4"/>
      <c r="E238" s="4"/>
      <c r="F238" s="43"/>
      <c r="G238" s="4"/>
      <c r="H238" s="4"/>
      <c r="I238" s="4"/>
      <c r="J238" s="4"/>
      <c r="K238" s="4"/>
      <c r="L238" s="4"/>
      <c r="M238" s="4"/>
      <c r="N238" s="4"/>
      <c r="O238" s="4"/>
      <c r="P238" s="4"/>
      <c r="Q238" s="4"/>
      <c r="R238" s="4"/>
      <c r="S238" s="4"/>
      <c r="T238" s="4"/>
      <c r="U238" s="4"/>
      <c r="V238" s="4"/>
      <c r="W238" s="4"/>
      <c r="X238" s="4"/>
      <c r="Y238" s="4"/>
      <c r="Z238" s="4"/>
    </row>
    <row r="239" ht="15.75" customHeight="1">
      <c r="A239" s="4"/>
      <c r="B239" s="42"/>
      <c r="C239" s="4"/>
      <c r="D239" s="4"/>
      <c r="E239" s="4"/>
      <c r="F239" s="43"/>
      <c r="G239" s="4"/>
      <c r="H239" s="4"/>
      <c r="I239" s="4"/>
      <c r="J239" s="4"/>
      <c r="K239" s="4"/>
      <c r="L239" s="4"/>
      <c r="M239" s="4"/>
      <c r="N239" s="4"/>
      <c r="O239" s="4"/>
      <c r="P239" s="4"/>
      <c r="Q239" s="4"/>
      <c r="R239" s="4"/>
      <c r="S239" s="4"/>
      <c r="T239" s="4"/>
      <c r="U239" s="4"/>
      <c r="V239" s="4"/>
      <c r="W239" s="4"/>
      <c r="X239" s="4"/>
      <c r="Y239" s="4"/>
      <c r="Z239" s="4"/>
    </row>
    <row r="240" ht="15.75" customHeight="1">
      <c r="A240" s="4"/>
      <c r="B240" s="42"/>
      <c r="C240" s="4"/>
      <c r="D240" s="4"/>
      <c r="E240" s="4"/>
      <c r="F240" s="43"/>
      <c r="G240" s="4"/>
      <c r="H240" s="4"/>
      <c r="I240" s="4"/>
      <c r="J240" s="4"/>
      <c r="K240" s="4"/>
      <c r="L240" s="4"/>
      <c r="M240" s="4"/>
      <c r="N240" s="4"/>
      <c r="O240" s="4"/>
      <c r="P240" s="4"/>
      <c r="Q240" s="4"/>
      <c r="R240" s="4"/>
      <c r="S240" s="4"/>
      <c r="T240" s="4"/>
      <c r="U240" s="4"/>
      <c r="V240" s="4"/>
      <c r="W240" s="4"/>
      <c r="X240" s="4"/>
      <c r="Y240" s="4"/>
      <c r="Z240" s="4"/>
    </row>
    <row r="241" ht="15.75" customHeight="1">
      <c r="A241" s="4"/>
      <c r="B241" s="42"/>
      <c r="C241" s="4"/>
      <c r="D241" s="4"/>
      <c r="E241" s="4"/>
      <c r="F241" s="43"/>
      <c r="G241" s="4"/>
      <c r="H241" s="4"/>
      <c r="I241" s="4"/>
      <c r="J241" s="4"/>
      <c r="K241" s="4"/>
      <c r="L241" s="4"/>
      <c r="M241" s="4"/>
      <c r="N241" s="4"/>
      <c r="O241" s="4"/>
      <c r="P241" s="4"/>
      <c r="Q241" s="4"/>
      <c r="R241" s="4"/>
      <c r="S241" s="4"/>
      <c r="T241" s="4"/>
      <c r="U241" s="4"/>
      <c r="V241" s="4"/>
      <c r="W241" s="4"/>
      <c r="X241" s="4"/>
      <c r="Y241" s="4"/>
      <c r="Z241" s="4"/>
    </row>
    <row r="242" ht="15.75" customHeight="1">
      <c r="A242" s="4"/>
      <c r="B242" s="42"/>
      <c r="C242" s="4"/>
      <c r="D242" s="4"/>
      <c r="E242" s="4"/>
      <c r="F242" s="43"/>
      <c r="G242" s="4"/>
      <c r="H242" s="4"/>
      <c r="I242" s="4"/>
      <c r="J242" s="4"/>
      <c r="K242" s="4"/>
      <c r="L242" s="4"/>
      <c r="M242" s="4"/>
      <c r="N242" s="4"/>
      <c r="O242" s="4"/>
      <c r="P242" s="4"/>
      <c r="Q242" s="4"/>
      <c r="R242" s="4"/>
      <c r="S242" s="4"/>
      <c r="T242" s="4"/>
      <c r="U242" s="4"/>
      <c r="V242" s="4"/>
      <c r="W242" s="4"/>
      <c r="X242" s="4"/>
      <c r="Y242" s="4"/>
      <c r="Z242" s="4"/>
    </row>
    <row r="243" ht="15.75" customHeight="1">
      <c r="A243" s="4"/>
      <c r="B243" s="42"/>
      <c r="C243" s="4"/>
      <c r="D243" s="4"/>
      <c r="E243" s="4"/>
      <c r="F243" s="43"/>
      <c r="G243" s="4"/>
      <c r="H243" s="4"/>
      <c r="I243" s="4"/>
      <c r="J243" s="4"/>
      <c r="K243" s="4"/>
      <c r="L243" s="4"/>
      <c r="M243" s="4"/>
      <c r="N243" s="4"/>
      <c r="O243" s="4"/>
      <c r="P243" s="4"/>
      <c r="Q243" s="4"/>
      <c r="R243" s="4"/>
      <c r="S243" s="4"/>
      <c r="T243" s="4"/>
      <c r="U243" s="4"/>
      <c r="V243" s="4"/>
      <c r="W243" s="4"/>
      <c r="X243" s="4"/>
      <c r="Y243" s="4"/>
      <c r="Z243" s="4"/>
    </row>
    <row r="244" ht="15.75" customHeight="1">
      <c r="A244" s="4"/>
      <c r="B244" s="42"/>
      <c r="C244" s="4"/>
      <c r="D244" s="4"/>
      <c r="E244" s="4"/>
      <c r="F244" s="43"/>
      <c r="G244" s="4"/>
      <c r="H244" s="4"/>
      <c r="I244" s="4"/>
      <c r="J244" s="4"/>
      <c r="K244" s="4"/>
      <c r="L244" s="4"/>
      <c r="M244" s="4"/>
      <c r="N244" s="4"/>
      <c r="O244" s="4"/>
      <c r="P244" s="4"/>
      <c r="Q244" s="4"/>
      <c r="R244" s="4"/>
      <c r="S244" s="4"/>
      <c r="T244" s="4"/>
      <c r="U244" s="4"/>
      <c r="V244" s="4"/>
      <c r="W244" s="4"/>
      <c r="X244" s="4"/>
      <c r="Y244" s="4"/>
      <c r="Z244" s="4"/>
    </row>
    <row r="245" ht="15.75" customHeight="1">
      <c r="A245" s="4"/>
      <c r="B245" s="42"/>
      <c r="C245" s="4"/>
      <c r="D245" s="4"/>
      <c r="E245" s="4"/>
      <c r="F245" s="43"/>
      <c r="G245" s="4"/>
      <c r="H245" s="4"/>
      <c r="I245" s="4"/>
      <c r="J245" s="4"/>
      <c r="K245" s="4"/>
      <c r="L245" s="4"/>
      <c r="M245" s="4"/>
      <c r="N245" s="4"/>
      <c r="O245" s="4"/>
      <c r="P245" s="4"/>
      <c r="Q245" s="4"/>
      <c r="R245" s="4"/>
      <c r="S245" s="4"/>
      <c r="T245" s="4"/>
      <c r="U245" s="4"/>
      <c r="V245" s="4"/>
      <c r="W245" s="4"/>
      <c r="X245" s="4"/>
      <c r="Y245" s="4"/>
      <c r="Z245" s="4"/>
    </row>
    <row r="246" ht="15.75" customHeight="1">
      <c r="A246" s="4"/>
      <c r="B246" s="42"/>
      <c r="C246" s="4"/>
      <c r="D246" s="4"/>
      <c r="E246" s="4"/>
      <c r="F246" s="43"/>
      <c r="G246" s="4"/>
      <c r="H246" s="4"/>
      <c r="I246" s="4"/>
      <c r="J246" s="4"/>
      <c r="K246" s="4"/>
      <c r="L246" s="4"/>
      <c r="M246" s="4"/>
      <c r="N246" s="4"/>
      <c r="O246" s="4"/>
      <c r="P246" s="4"/>
      <c r="Q246" s="4"/>
      <c r="R246" s="4"/>
      <c r="S246" s="4"/>
      <c r="T246" s="4"/>
      <c r="U246" s="4"/>
      <c r="V246" s="4"/>
      <c r="W246" s="4"/>
      <c r="X246" s="4"/>
      <c r="Y246" s="4"/>
      <c r="Z246" s="4"/>
    </row>
    <row r="247" ht="15.75" customHeight="1">
      <c r="A247" s="4"/>
      <c r="B247" s="44"/>
      <c r="C247" s="4"/>
      <c r="D247" s="4"/>
      <c r="E247" s="4"/>
      <c r="F247" s="43"/>
      <c r="G247" s="4"/>
      <c r="H247" s="4"/>
      <c r="I247" s="4"/>
      <c r="J247" s="4"/>
      <c r="K247" s="4"/>
      <c r="L247" s="4"/>
      <c r="M247" s="4"/>
      <c r="N247" s="4"/>
      <c r="O247" s="4"/>
      <c r="P247" s="4"/>
      <c r="Q247" s="4"/>
      <c r="R247" s="4"/>
      <c r="S247" s="4"/>
      <c r="T247" s="4"/>
      <c r="U247" s="4"/>
      <c r="V247" s="4"/>
      <c r="W247" s="4"/>
      <c r="X247" s="4"/>
      <c r="Y247" s="4"/>
      <c r="Z247" s="4"/>
    </row>
    <row r="248" ht="15.75" customHeight="1">
      <c r="A248" s="4"/>
      <c r="B248" s="44"/>
      <c r="C248" s="4"/>
      <c r="D248" s="4"/>
      <c r="E248" s="4"/>
      <c r="F248" s="43"/>
      <c r="G248" s="4"/>
      <c r="H248" s="4"/>
      <c r="I248" s="4"/>
      <c r="J248" s="4"/>
      <c r="K248" s="4"/>
      <c r="L248" s="4"/>
      <c r="M248" s="4"/>
      <c r="N248" s="4"/>
      <c r="O248" s="4"/>
      <c r="P248" s="4"/>
      <c r="Q248" s="4"/>
      <c r="R248" s="4"/>
      <c r="S248" s="4"/>
      <c r="T248" s="4"/>
      <c r="U248" s="4"/>
      <c r="V248" s="4"/>
      <c r="W248" s="4"/>
      <c r="X248" s="4"/>
      <c r="Y248" s="4"/>
      <c r="Z248" s="4"/>
    </row>
    <row r="249" ht="15.75" customHeight="1">
      <c r="A249" s="4"/>
      <c r="B249" s="44"/>
      <c r="C249" s="4"/>
      <c r="D249" s="4"/>
      <c r="E249" s="4"/>
      <c r="F249" s="43"/>
      <c r="G249" s="4"/>
      <c r="H249" s="4"/>
      <c r="I249" s="4"/>
      <c r="J249" s="4"/>
      <c r="K249" s="4"/>
      <c r="L249" s="4"/>
      <c r="M249" s="4"/>
      <c r="N249" s="4"/>
      <c r="O249" s="4"/>
      <c r="P249" s="4"/>
      <c r="Q249" s="4"/>
      <c r="R249" s="4"/>
      <c r="S249" s="4"/>
      <c r="T249" s="4"/>
      <c r="U249" s="4"/>
      <c r="V249" s="4"/>
      <c r="W249" s="4"/>
      <c r="X249" s="4"/>
      <c r="Y249" s="4"/>
      <c r="Z249" s="4"/>
    </row>
    <row r="250" ht="15.75" customHeight="1">
      <c r="A250" s="4"/>
      <c r="B250" s="44"/>
      <c r="C250" s="4"/>
      <c r="D250" s="4"/>
      <c r="E250" s="4"/>
      <c r="F250" s="43"/>
      <c r="G250" s="4"/>
      <c r="H250" s="4"/>
      <c r="I250" s="4"/>
      <c r="J250" s="4"/>
      <c r="K250" s="4"/>
      <c r="L250" s="4"/>
      <c r="M250" s="4"/>
      <c r="N250" s="4"/>
      <c r="O250" s="4"/>
      <c r="P250" s="4"/>
      <c r="Q250" s="4"/>
      <c r="R250" s="4"/>
      <c r="S250" s="4"/>
      <c r="T250" s="4"/>
      <c r="U250" s="4"/>
      <c r="V250" s="4"/>
      <c r="W250" s="4"/>
      <c r="X250" s="4"/>
      <c r="Y250" s="4"/>
      <c r="Z250" s="4"/>
    </row>
    <row r="251" ht="15.75" customHeight="1">
      <c r="A251" s="45"/>
      <c r="B251" s="45"/>
      <c r="C251" s="45"/>
      <c r="D251" s="45"/>
      <c r="E251" s="45"/>
      <c r="F251" s="45"/>
      <c r="G251" s="45"/>
    </row>
    <row r="252" ht="15.75" customHeight="1">
      <c r="A252" s="45"/>
      <c r="B252" s="45"/>
      <c r="C252" s="45"/>
      <c r="D252" s="45"/>
      <c r="E252" s="45"/>
      <c r="F252" s="45"/>
      <c r="G252" s="45"/>
    </row>
    <row r="253" ht="15.75" customHeight="1">
      <c r="A253" s="45"/>
      <c r="B253" s="45"/>
      <c r="C253" s="45"/>
      <c r="D253" s="45"/>
      <c r="E253" s="45"/>
      <c r="F253" s="45"/>
      <c r="G253" s="45"/>
    </row>
    <row r="254" ht="15.75" customHeight="1">
      <c r="A254" s="45"/>
      <c r="B254" s="45"/>
      <c r="C254" s="45"/>
      <c r="D254" s="45"/>
      <c r="E254" s="45"/>
      <c r="F254" s="45"/>
      <c r="G254" s="45"/>
    </row>
    <row r="255" ht="15.75" customHeight="1">
      <c r="A255" s="45"/>
      <c r="B255" s="45"/>
      <c r="C255" s="45"/>
      <c r="D255" s="45"/>
      <c r="E255" s="45"/>
      <c r="F255" s="45"/>
      <c r="G255" s="45"/>
    </row>
    <row r="256" ht="15.75" customHeight="1">
      <c r="A256" s="45"/>
      <c r="B256" s="45"/>
      <c r="C256" s="45"/>
      <c r="D256" s="45"/>
      <c r="E256" s="45"/>
      <c r="F256" s="45"/>
      <c r="G256" s="45"/>
    </row>
    <row r="257" ht="15.75" customHeight="1">
      <c r="A257" s="45"/>
      <c r="B257" s="45"/>
      <c r="C257" s="45"/>
      <c r="D257" s="45"/>
      <c r="E257" s="45"/>
      <c r="F257" s="45"/>
      <c r="G257" s="45"/>
    </row>
    <row r="258" ht="15.75" customHeight="1">
      <c r="A258" s="45"/>
      <c r="B258" s="45"/>
      <c r="C258" s="45"/>
      <c r="D258" s="45"/>
      <c r="E258" s="45"/>
      <c r="F258" s="45"/>
      <c r="G258" s="45"/>
    </row>
    <row r="259" ht="15.75" customHeight="1">
      <c r="A259" s="45"/>
      <c r="B259" s="45"/>
      <c r="C259" s="45"/>
      <c r="D259" s="45"/>
      <c r="E259" s="45"/>
      <c r="F259" s="45"/>
      <c r="G259" s="45"/>
    </row>
    <row r="260" ht="15.75" customHeight="1">
      <c r="A260" s="45"/>
      <c r="B260" s="45"/>
      <c r="C260" s="45"/>
      <c r="D260" s="45"/>
      <c r="E260" s="45"/>
      <c r="F260" s="45"/>
      <c r="G260" s="45"/>
    </row>
    <row r="261" ht="15.75" customHeight="1">
      <c r="A261" s="45"/>
      <c r="B261" s="45"/>
      <c r="C261" s="45"/>
      <c r="D261" s="45"/>
      <c r="E261" s="45"/>
      <c r="F261" s="45"/>
      <c r="G261" s="45"/>
    </row>
    <row r="262" ht="15.75" customHeight="1">
      <c r="A262" s="45"/>
      <c r="B262" s="45"/>
      <c r="C262" s="45"/>
      <c r="D262" s="45"/>
      <c r="E262" s="45"/>
      <c r="F262" s="45"/>
      <c r="G262" s="45"/>
    </row>
    <row r="263" ht="15.75" customHeight="1">
      <c r="A263" s="45"/>
      <c r="B263" s="45"/>
      <c r="C263" s="45"/>
      <c r="D263" s="45"/>
      <c r="E263" s="45"/>
      <c r="F263" s="45"/>
      <c r="G263" s="45"/>
    </row>
    <row r="264" ht="15.75" customHeight="1">
      <c r="A264" s="45"/>
      <c r="B264" s="45"/>
      <c r="C264" s="45"/>
      <c r="D264" s="45"/>
      <c r="E264" s="45"/>
      <c r="F264" s="45"/>
      <c r="G264" s="45"/>
    </row>
    <row r="265" ht="15.75" customHeight="1">
      <c r="A265" s="45"/>
      <c r="B265" s="45"/>
      <c r="C265" s="45"/>
      <c r="D265" s="45"/>
      <c r="E265" s="45"/>
      <c r="F265" s="45"/>
      <c r="G265" s="45"/>
    </row>
    <row r="266" ht="15.75" customHeight="1">
      <c r="A266" s="45"/>
      <c r="B266" s="45"/>
      <c r="C266" s="45"/>
      <c r="D266" s="45"/>
      <c r="E266" s="45"/>
      <c r="F266" s="45"/>
      <c r="G266" s="45"/>
    </row>
    <row r="267" ht="15.75" customHeight="1">
      <c r="A267" s="45"/>
      <c r="B267" s="45"/>
      <c r="C267" s="45"/>
      <c r="D267" s="45"/>
      <c r="E267" s="45"/>
      <c r="F267" s="45"/>
      <c r="G267" s="45"/>
    </row>
    <row r="268" ht="15.75" customHeight="1">
      <c r="A268" s="45"/>
      <c r="B268" s="45"/>
      <c r="C268" s="45"/>
      <c r="D268" s="45"/>
      <c r="E268" s="45"/>
      <c r="F268" s="45"/>
      <c r="G268" s="45"/>
    </row>
    <row r="269" ht="15.75" customHeight="1">
      <c r="A269" s="45"/>
      <c r="B269" s="45"/>
      <c r="C269" s="45"/>
      <c r="D269" s="45"/>
      <c r="E269" s="45"/>
      <c r="F269" s="45"/>
      <c r="G269" s="45"/>
    </row>
    <row r="270" ht="15.75" customHeight="1">
      <c r="A270" s="45"/>
      <c r="B270" s="45"/>
      <c r="C270" s="45"/>
      <c r="D270" s="45"/>
      <c r="E270" s="45"/>
      <c r="F270" s="45"/>
      <c r="G270" s="45"/>
    </row>
    <row r="271" ht="15.75" customHeight="1">
      <c r="A271" s="45"/>
      <c r="B271" s="45"/>
      <c r="C271" s="45"/>
      <c r="D271" s="45"/>
      <c r="E271" s="45"/>
      <c r="F271" s="45"/>
      <c r="G271" s="45"/>
    </row>
    <row r="272" ht="15.75" customHeight="1">
      <c r="A272" s="45"/>
      <c r="B272" s="45"/>
      <c r="C272" s="45"/>
      <c r="D272" s="45"/>
      <c r="E272" s="45"/>
      <c r="F272" s="45"/>
      <c r="G272" s="45"/>
    </row>
    <row r="273" ht="15.75" customHeight="1">
      <c r="A273" s="45"/>
      <c r="B273" s="45"/>
      <c r="C273" s="45"/>
      <c r="D273" s="45"/>
      <c r="E273" s="45"/>
      <c r="F273" s="45"/>
      <c r="G273" s="45"/>
    </row>
    <row r="274" ht="15.75" customHeight="1">
      <c r="A274" s="45"/>
      <c r="B274" s="45"/>
      <c r="C274" s="45"/>
      <c r="D274" s="45"/>
      <c r="E274" s="45"/>
      <c r="F274" s="45"/>
      <c r="G274" s="45"/>
    </row>
    <row r="275" ht="15.75" customHeight="1">
      <c r="A275" s="45"/>
      <c r="B275" s="45"/>
      <c r="C275" s="45"/>
      <c r="D275" s="45"/>
      <c r="E275" s="45"/>
      <c r="F275" s="45"/>
      <c r="G275" s="45"/>
    </row>
    <row r="276" ht="15.75" customHeight="1">
      <c r="A276" s="45"/>
      <c r="B276" s="45"/>
      <c r="C276" s="45"/>
      <c r="D276" s="45"/>
      <c r="E276" s="45"/>
      <c r="F276" s="45"/>
      <c r="G276" s="45"/>
    </row>
    <row r="277" ht="15.75" customHeight="1">
      <c r="A277" s="45"/>
      <c r="B277" s="45"/>
      <c r="C277" s="45"/>
      <c r="D277" s="45"/>
      <c r="E277" s="45"/>
      <c r="F277" s="45"/>
      <c r="G277" s="45"/>
    </row>
    <row r="278" ht="15.75" customHeight="1">
      <c r="A278" s="45"/>
      <c r="B278" s="45"/>
      <c r="C278" s="45"/>
      <c r="D278" s="45"/>
      <c r="E278" s="45"/>
      <c r="F278" s="45"/>
      <c r="G278" s="45"/>
    </row>
    <row r="279" ht="15.75" customHeight="1">
      <c r="A279" s="45"/>
      <c r="B279" s="45"/>
      <c r="C279" s="45"/>
      <c r="D279" s="45"/>
      <c r="E279" s="45"/>
      <c r="F279" s="45"/>
      <c r="G279" s="45"/>
    </row>
    <row r="280" ht="15.75" customHeight="1">
      <c r="A280" s="45"/>
      <c r="B280" s="45"/>
      <c r="C280" s="45"/>
      <c r="D280" s="45"/>
      <c r="E280" s="45"/>
      <c r="F280" s="45"/>
      <c r="G280" s="45"/>
    </row>
    <row r="281" ht="15.75" customHeight="1">
      <c r="A281" s="45"/>
      <c r="B281" s="45"/>
      <c r="C281" s="45"/>
      <c r="D281" s="45"/>
      <c r="E281" s="45"/>
      <c r="F281" s="45"/>
      <c r="G281" s="45"/>
    </row>
    <row r="282" ht="15.75" customHeight="1">
      <c r="A282" s="45"/>
      <c r="B282" s="45"/>
      <c r="C282" s="45"/>
      <c r="D282" s="45"/>
      <c r="E282" s="45"/>
      <c r="F282" s="45"/>
      <c r="G282" s="45"/>
    </row>
    <row r="283" ht="15.75" customHeight="1">
      <c r="A283" s="45"/>
      <c r="B283" s="45"/>
      <c r="C283" s="45"/>
      <c r="D283" s="45"/>
      <c r="E283" s="45"/>
      <c r="F283" s="45"/>
      <c r="G283" s="45"/>
    </row>
    <row r="284" ht="15.75" customHeight="1">
      <c r="A284" s="45"/>
      <c r="B284" s="45"/>
      <c r="C284" s="45"/>
      <c r="D284" s="45"/>
      <c r="E284" s="45"/>
      <c r="F284" s="45"/>
      <c r="G284" s="45"/>
    </row>
    <row r="285" ht="15.75" customHeight="1">
      <c r="A285" s="45"/>
      <c r="B285" s="45"/>
      <c r="C285" s="45"/>
      <c r="D285" s="45"/>
      <c r="E285" s="45"/>
      <c r="F285" s="45"/>
      <c r="G285" s="45"/>
    </row>
    <row r="286" ht="15.75" customHeight="1">
      <c r="A286" s="45"/>
      <c r="B286" s="45"/>
      <c r="C286" s="45"/>
      <c r="D286" s="45"/>
      <c r="E286" s="45"/>
      <c r="F286" s="45"/>
      <c r="G286" s="45"/>
    </row>
    <row r="287" ht="15.75" customHeight="1">
      <c r="A287" s="45"/>
      <c r="B287" s="45"/>
      <c r="C287" s="45"/>
      <c r="D287" s="45"/>
      <c r="E287" s="45"/>
      <c r="F287" s="45"/>
      <c r="G287" s="45"/>
    </row>
    <row r="288" ht="15.75" customHeight="1">
      <c r="A288" s="45"/>
      <c r="B288" s="45"/>
      <c r="C288" s="45"/>
      <c r="D288" s="45"/>
      <c r="E288" s="45"/>
      <c r="F288" s="45"/>
      <c r="G288" s="45"/>
    </row>
    <row r="289" ht="15.75" customHeight="1">
      <c r="A289" s="45"/>
      <c r="B289" s="45"/>
      <c r="C289" s="45"/>
      <c r="D289" s="45"/>
      <c r="E289" s="45"/>
      <c r="F289" s="45"/>
      <c r="G289" s="45"/>
    </row>
    <row r="290" ht="15.75" customHeight="1">
      <c r="A290" s="45"/>
      <c r="B290" s="45"/>
      <c r="C290" s="45"/>
      <c r="D290" s="45"/>
      <c r="E290" s="45"/>
      <c r="F290" s="45"/>
      <c r="G290" s="45"/>
    </row>
    <row r="291" ht="15.75" customHeight="1">
      <c r="A291" s="45"/>
      <c r="B291" s="45"/>
      <c r="C291" s="45"/>
      <c r="D291" s="45"/>
      <c r="E291" s="45"/>
      <c r="F291" s="45"/>
      <c r="G291" s="45"/>
    </row>
    <row r="292" ht="15.75" customHeight="1">
      <c r="A292" s="45"/>
      <c r="B292" s="45"/>
      <c r="C292" s="45"/>
      <c r="D292" s="45"/>
      <c r="E292" s="45"/>
      <c r="F292" s="45"/>
      <c r="G292" s="45"/>
    </row>
    <row r="293" ht="15.75" customHeight="1">
      <c r="A293" s="45"/>
      <c r="B293" s="45"/>
      <c r="C293" s="45"/>
      <c r="D293" s="45"/>
      <c r="E293" s="45"/>
      <c r="F293" s="45"/>
      <c r="G293" s="45"/>
    </row>
    <row r="294" ht="15.75" customHeight="1">
      <c r="A294" s="45"/>
      <c r="B294" s="45"/>
      <c r="C294" s="45"/>
      <c r="D294" s="45"/>
      <c r="E294" s="45"/>
      <c r="F294" s="45"/>
      <c r="G294" s="45"/>
    </row>
    <row r="295" ht="15.75" customHeight="1">
      <c r="A295" s="45"/>
      <c r="B295" s="45"/>
      <c r="C295" s="45"/>
      <c r="D295" s="45"/>
      <c r="E295" s="45"/>
      <c r="F295" s="45"/>
      <c r="G295" s="45"/>
    </row>
    <row r="296" ht="15.75" customHeight="1">
      <c r="A296" s="45"/>
      <c r="B296" s="45"/>
      <c r="C296" s="45"/>
      <c r="D296" s="45"/>
      <c r="E296" s="45"/>
      <c r="F296" s="45"/>
      <c r="G296" s="45"/>
    </row>
    <row r="297" ht="15.75" customHeight="1">
      <c r="A297" s="45"/>
      <c r="B297" s="45"/>
      <c r="C297" s="45"/>
      <c r="D297" s="45"/>
      <c r="E297" s="45"/>
      <c r="F297" s="45"/>
      <c r="G297" s="45"/>
    </row>
    <row r="298" ht="15.75" customHeight="1">
      <c r="A298" s="45"/>
      <c r="B298" s="45"/>
      <c r="C298" s="45"/>
      <c r="D298" s="45"/>
      <c r="E298" s="45"/>
      <c r="F298" s="45"/>
      <c r="G298" s="45"/>
    </row>
    <row r="299" ht="15.75" customHeight="1">
      <c r="A299" s="45"/>
      <c r="B299" s="45"/>
      <c r="C299" s="45"/>
      <c r="D299" s="45"/>
      <c r="E299" s="45"/>
      <c r="F299" s="45"/>
      <c r="G299" s="45"/>
    </row>
    <row r="300" ht="15.75" customHeight="1">
      <c r="A300" s="45"/>
      <c r="B300" s="45"/>
      <c r="C300" s="45"/>
      <c r="D300" s="45"/>
      <c r="E300" s="45"/>
      <c r="F300" s="45"/>
      <c r="G300" s="45"/>
    </row>
    <row r="301" ht="15.75" customHeight="1">
      <c r="A301" s="45"/>
      <c r="B301" s="45"/>
      <c r="C301" s="45"/>
      <c r="D301" s="45"/>
      <c r="E301" s="45"/>
      <c r="F301" s="45"/>
      <c r="G301" s="45"/>
    </row>
    <row r="302" ht="15.75" customHeight="1">
      <c r="A302" s="45"/>
      <c r="B302" s="45"/>
      <c r="C302" s="45"/>
      <c r="D302" s="45"/>
      <c r="E302" s="45"/>
      <c r="F302" s="45"/>
      <c r="G302" s="45"/>
    </row>
    <row r="303" ht="15.75" customHeight="1">
      <c r="A303" s="45"/>
      <c r="B303" s="45"/>
      <c r="C303" s="45"/>
      <c r="D303" s="45"/>
      <c r="E303" s="45"/>
      <c r="F303" s="45"/>
      <c r="G303" s="45"/>
    </row>
    <row r="304" ht="15.75" customHeight="1">
      <c r="A304" s="45"/>
      <c r="B304" s="45"/>
      <c r="C304" s="45"/>
      <c r="D304" s="45"/>
      <c r="E304" s="45"/>
      <c r="F304" s="45"/>
      <c r="G304" s="45"/>
    </row>
    <row r="305" ht="15.75" customHeight="1">
      <c r="A305" s="45"/>
      <c r="B305" s="45"/>
      <c r="C305" s="45"/>
      <c r="D305" s="45"/>
      <c r="E305" s="45"/>
      <c r="F305" s="45"/>
      <c r="G305" s="45"/>
    </row>
    <row r="306" ht="15.75" customHeight="1">
      <c r="A306" s="45"/>
      <c r="B306" s="45"/>
      <c r="C306" s="45"/>
      <c r="D306" s="45"/>
      <c r="E306" s="45"/>
      <c r="F306" s="45"/>
      <c r="G306" s="45"/>
    </row>
    <row r="307" ht="15.75" customHeight="1">
      <c r="A307" s="45"/>
      <c r="B307" s="45"/>
      <c r="C307" s="45"/>
      <c r="D307" s="45"/>
      <c r="E307" s="45"/>
      <c r="F307" s="45"/>
      <c r="G307" s="45"/>
    </row>
    <row r="308" ht="15.75" customHeight="1">
      <c r="A308" s="45"/>
      <c r="B308" s="45"/>
      <c r="C308" s="45"/>
      <c r="D308" s="45"/>
      <c r="E308" s="45"/>
      <c r="F308" s="45"/>
      <c r="G308" s="45"/>
    </row>
    <row r="309" ht="15.75" customHeight="1">
      <c r="A309" s="45"/>
      <c r="B309" s="45"/>
      <c r="C309" s="45"/>
      <c r="D309" s="45"/>
      <c r="E309" s="45"/>
      <c r="F309" s="45"/>
      <c r="G309" s="45"/>
    </row>
    <row r="310" ht="15.75" customHeight="1">
      <c r="A310" s="45"/>
      <c r="B310" s="45"/>
      <c r="C310" s="45"/>
      <c r="D310" s="45"/>
      <c r="E310" s="45"/>
      <c r="F310" s="45"/>
      <c r="G310" s="45"/>
    </row>
    <row r="311" ht="15.75" customHeight="1">
      <c r="A311" s="45"/>
      <c r="B311" s="45"/>
      <c r="C311" s="45"/>
      <c r="D311" s="45"/>
      <c r="E311" s="45"/>
      <c r="F311" s="45"/>
      <c r="G311" s="45"/>
    </row>
    <row r="312" ht="15.75" customHeight="1">
      <c r="A312" s="45"/>
      <c r="B312" s="45"/>
      <c r="C312" s="45"/>
      <c r="D312" s="45"/>
      <c r="E312" s="45"/>
      <c r="F312" s="45"/>
      <c r="G312" s="45"/>
    </row>
    <row r="313" ht="15.75" customHeight="1">
      <c r="A313" s="45"/>
      <c r="B313" s="45"/>
      <c r="C313" s="45"/>
      <c r="D313" s="45"/>
      <c r="E313" s="45"/>
      <c r="F313" s="45"/>
      <c r="G313" s="45"/>
    </row>
    <row r="314" ht="15.75" customHeight="1">
      <c r="A314" s="45"/>
      <c r="B314" s="45"/>
      <c r="C314" s="45"/>
      <c r="D314" s="45"/>
      <c r="E314" s="45"/>
      <c r="F314" s="45"/>
      <c r="G314" s="45"/>
    </row>
    <row r="315" ht="15.75" customHeight="1">
      <c r="A315" s="45"/>
      <c r="B315" s="45"/>
      <c r="C315" s="45"/>
      <c r="D315" s="45"/>
      <c r="E315" s="45"/>
      <c r="F315" s="45"/>
      <c r="G315" s="45"/>
    </row>
    <row r="316" ht="15.75" customHeight="1">
      <c r="A316" s="45"/>
      <c r="B316" s="45"/>
      <c r="C316" s="45"/>
      <c r="D316" s="45"/>
      <c r="E316" s="45"/>
      <c r="F316" s="45"/>
      <c r="G316" s="45"/>
    </row>
    <row r="317" ht="15.75" customHeight="1">
      <c r="A317" s="45"/>
      <c r="B317" s="45"/>
      <c r="C317" s="45"/>
      <c r="D317" s="45"/>
      <c r="E317" s="45"/>
      <c r="F317" s="45"/>
      <c r="G317" s="45"/>
    </row>
    <row r="318" ht="15.75" customHeight="1">
      <c r="A318" s="45"/>
      <c r="B318" s="45"/>
      <c r="C318" s="45"/>
      <c r="D318" s="45"/>
      <c r="E318" s="45"/>
      <c r="F318" s="45"/>
      <c r="G318" s="45"/>
    </row>
    <row r="319" ht="15.75" customHeight="1">
      <c r="A319" s="45"/>
      <c r="B319" s="45"/>
      <c r="C319" s="45"/>
      <c r="D319" s="45"/>
      <c r="E319" s="45"/>
      <c r="F319" s="45"/>
      <c r="G319" s="45"/>
    </row>
    <row r="320" ht="15.75" customHeight="1">
      <c r="A320" s="45"/>
      <c r="B320" s="45"/>
      <c r="C320" s="45"/>
      <c r="D320" s="45"/>
      <c r="E320" s="45"/>
      <c r="F320" s="45"/>
      <c r="G320" s="45"/>
    </row>
    <row r="321" ht="15.75" customHeight="1">
      <c r="A321" s="45"/>
      <c r="B321" s="45"/>
      <c r="C321" s="45"/>
      <c r="D321" s="45"/>
      <c r="E321" s="45"/>
      <c r="F321" s="45"/>
      <c r="G321" s="45"/>
    </row>
    <row r="322" ht="15.75" customHeight="1">
      <c r="A322" s="45"/>
      <c r="B322" s="45"/>
      <c r="C322" s="45"/>
      <c r="D322" s="45"/>
      <c r="E322" s="45"/>
      <c r="F322" s="45"/>
      <c r="G322" s="45"/>
    </row>
    <row r="323" ht="15.75" customHeight="1">
      <c r="A323" s="45"/>
      <c r="B323" s="45"/>
      <c r="C323" s="45"/>
      <c r="D323" s="45"/>
      <c r="E323" s="45"/>
      <c r="F323" s="45"/>
      <c r="G323" s="45"/>
    </row>
    <row r="324" ht="15.75" customHeight="1">
      <c r="A324" s="45"/>
      <c r="B324" s="45"/>
      <c r="C324" s="45"/>
      <c r="D324" s="45"/>
      <c r="E324" s="45"/>
      <c r="F324" s="45"/>
      <c r="G324" s="45"/>
    </row>
    <row r="325" ht="15.75" customHeight="1">
      <c r="A325" s="45"/>
      <c r="B325" s="45"/>
      <c r="C325" s="45"/>
      <c r="D325" s="45"/>
      <c r="E325" s="45"/>
      <c r="F325" s="45"/>
      <c r="G325" s="45"/>
    </row>
    <row r="326" ht="15.75" customHeight="1">
      <c r="A326" s="45"/>
      <c r="B326" s="45"/>
      <c r="C326" s="45"/>
      <c r="D326" s="45"/>
      <c r="E326" s="45"/>
      <c r="F326" s="45"/>
      <c r="G326" s="45"/>
    </row>
    <row r="327" ht="15.75" customHeight="1">
      <c r="A327" s="45"/>
      <c r="B327" s="45"/>
      <c r="C327" s="45"/>
      <c r="D327" s="45"/>
      <c r="E327" s="45"/>
      <c r="F327" s="45"/>
      <c r="G327" s="45"/>
    </row>
    <row r="328" ht="15.75" customHeight="1">
      <c r="A328" s="45"/>
      <c r="B328" s="45"/>
      <c r="C328" s="45"/>
      <c r="D328" s="45"/>
      <c r="E328" s="45"/>
      <c r="F328" s="45"/>
      <c r="G328" s="45"/>
    </row>
    <row r="329" ht="15.75" customHeight="1">
      <c r="A329" s="45"/>
      <c r="B329" s="45"/>
      <c r="C329" s="45"/>
      <c r="D329" s="45"/>
      <c r="E329" s="45"/>
      <c r="F329" s="45"/>
      <c r="G329" s="45"/>
    </row>
    <row r="330" ht="15.75" customHeight="1">
      <c r="A330" s="45"/>
      <c r="B330" s="45"/>
      <c r="C330" s="45"/>
      <c r="D330" s="45"/>
      <c r="E330" s="45"/>
      <c r="F330" s="45"/>
      <c r="G330" s="45"/>
    </row>
    <row r="331" ht="15.75" customHeight="1">
      <c r="A331" s="45"/>
      <c r="B331" s="45"/>
      <c r="C331" s="45"/>
      <c r="D331" s="45"/>
      <c r="E331" s="45"/>
      <c r="F331" s="45"/>
      <c r="G331" s="45"/>
    </row>
    <row r="332" ht="15.75" customHeight="1">
      <c r="A332" s="45"/>
      <c r="B332" s="45"/>
      <c r="C332" s="45"/>
      <c r="D332" s="45"/>
      <c r="E332" s="45"/>
      <c r="F332" s="45"/>
      <c r="G332" s="45"/>
    </row>
    <row r="333" ht="15.75" customHeight="1">
      <c r="A333" s="45"/>
      <c r="B333" s="45"/>
      <c r="C333" s="45"/>
      <c r="D333" s="45"/>
      <c r="E333" s="45"/>
      <c r="F333" s="45"/>
      <c r="G333" s="45"/>
    </row>
    <row r="334" ht="15.75" customHeight="1">
      <c r="A334" s="45"/>
      <c r="B334" s="45"/>
      <c r="C334" s="45"/>
      <c r="D334" s="45"/>
      <c r="E334" s="45"/>
      <c r="F334" s="45"/>
      <c r="G334" s="45"/>
    </row>
    <row r="335" ht="15.75" customHeight="1">
      <c r="A335" s="45"/>
      <c r="B335" s="45"/>
      <c r="C335" s="45"/>
      <c r="D335" s="45"/>
      <c r="E335" s="45"/>
      <c r="F335" s="45"/>
      <c r="G335" s="45"/>
    </row>
    <row r="336" ht="15.75" customHeight="1">
      <c r="A336" s="45"/>
      <c r="B336" s="45"/>
      <c r="C336" s="45"/>
      <c r="D336" s="45"/>
      <c r="E336" s="45"/>
      <c r="F336" s="45"/>
      <c r="G336" s="45"/>
    </row>
    <row r="337" ht="15.75" customHeight="1">
      <c r="A337" s="45"/>
      <c r="B337" s="45"/>
      <c r="C337" s="45"/>
      <c r="D337" s="45"/>
      <c r="E337" s="45"/>
      <c r="F337" s="45"/>
      <c r="G337" s="45"/>
    </row>
    <row r="338" ht="15.75" customHeight="1">
      <c r="A338" s="45"/>
      <c r="B338" s="45"/>
      <c r="C338" s="45"/>
      <c r="D338" s="45"/>
      <c r="E338" s="45"/>
      <c r="F338" s="45"/>
      <c r="G338" s="45"/>
    </row>
    <row r="339" ht="15.75" customHeight="1">
      <c r="A339" s="45"/>
      <c r="B339" s="45"/>
      <c r="C339" s="45"/>
      <c r="D339" s="45"/>
      <c r="E339" s="45"/>
      <c r="F339" s="45"/>
      <c r="G339" s="45"/>
    </row>
    <row r="340" ht="15.75" customHeight="1">
      <c r="A340" s="45"/>
      <c r="B340" s="45"/>
      <c r="C340" s="45"/>
      <c r="D340" s="45"/>
      <c r="E340" s="45"/>
      <c r="F340" s="45"/>
      <c r="G340" s="45"/>
    </row>
    <row r="341" ht="15.75" customHeight="1">
      <c r="A341" s="45"/>
      <c r="B341" s="45"/>
      <c r="C341" s="45"/>
      <c r="D341" s="45"/>
      <c r="E341" s="45"/>
      <c r="F341" s="45"/>
      <c r="G341" s="45"/>
    </row>
    <row r="342" ht="15.75" customHeight="1">
      <c r="A342" s="45"/>
      <c r="B342" s="45"/>
      <c r="C342" s="45"/>
      <c r="D342" s="45"/>
      <c r="E342" s="45"/>
      <c r="F342" s="45"/>
      <c r="G342" s="45"/>
    </row>
    <row r="343" ht="15.75" customHeight="1">
      <c r="A343" s="45"/>
      <c r="B343" s="45"/>
      <c r="C343" s="45"/>
      <c r="D343" s="45"/>
      <c r="E343" s="45"/>
      <c r="F343" s="45"/>
      <c r="G343" s="45"/>
    </row>
    <row r="344" ht="15.75" customHeight="1">
      <c r="A344" s="45"/>
      <c r="B344" s="45"/>
      <c r="C344" s="45"/>
      <c r="D344" s="45"/>
      <c r="E344" s="45"/>
      <c r="F344" s="45"/>
      <c r="G344" s="45"/>
    </row>
    <row r="345" ht="15.75" customHeight="1">
      <c r="A345" s="45"/>
      <c r="B345" s="45"/>
      <c r="C345" s="45"/>
      <c r="D345" s="45"/>
      <c r="E345" s="45"/>
      <c r="F345" s="45"/>
      <c r="G345" s="45"/>
    </row>
    <row r="346" ht="15.75" customHeight="1">
      <c r="A346" s="45"/>
      <c r="B346" s="45"/>
      <c r="C346" s="45"/>
      <c r="D346" s="45"/>
      <c r="E346" s="45"/>
      <c r="F346" s="45"/>
      <c r="G346" s="45"/>
    </row>
    <row r="347" ht="15.75" customHeight="1">
      <c r="A347" s="45"/>
      <c r="B347" s="45"/>
      <c r="C347" s="45"/>
      <c r="D347" s="45"/>
      <c r="E347" s="45"/>
      <c r="F347" s="45"/>
      <c r="G347" s="45"/>
    </row>
    <row r="348" ht="15.75" customHeight="1">
      <c r="A348" s="45"/>
      <c r="B348" s="45"/>
      <c r="C348" s="45"/>
      <c r="D348" s="45"/>
      <c r="E348" s="45"/>
      <c r="F348" s="45"/>
      <c r="G348" s="45"/>
    </row>
    <row r="349" ht="15.75" customHeight="1">
      <c r="A349" s="45"/>
      <c r="B349" s="45"/>
      <c r="C349" s="45"/>
      <c r="D349" s="45"/>
      <c r="E349" s="45"/>
      <c r="F349" s="45"/>
      <c r="G349" s="45"/>
    </row>
    <row r="350" ht="15.75" customHeight="1">
      <c r="A350" s="45"/>
      <c r="B350" s="45"/>
      <c r="C350" s="45"/>
      <c r="D350" s="45"/>
      <c r="E350" s="45"/>
      <c r="F350" s="45"/>
      <c r="G350" s="45"/>
    </row>
    <row r="351" ht="15.75" customHeight="1">
      <c r="A351" s="45"/>
      <c r="B351" s="45"/>
      <c r="C351" s="45"/>
      <c r="D351" s="45"/>
      <c r="E351" s="45"/>
      <c r="F351" s="45"/>
      <c r="G351" s="45"/>
    </row>
    <row r="352" ht="15.75" customHeight="1">
      <c r="A352" s="45"/>
      <c r="B352" s="45"/>
      <c r="C352" s="45"/>
      <c r="D352" s="45"/>
      <c r="E352" s="45"/>
      <c r="F352" s="45"/>
      <c r="G352" s="45"/>
    </row>
    <row r="353" ht="15.75" customHeight="1">
      <c r="A353" s="45"/>
      <c r="B353" s="45"/>
      <c r="C353" s="45"/>
      <c r="D353" s="45"/>
      <c r="E353" s="45"/>
      <c r="F353" s="45"/>
      <c r="G353" s="45"/>
    </row>
    <row r="354" ht="15.75" customHeight="1">
      <c r="A354" s="45"/>
      <c r="B354" s="45"/>
      <c r="C354" s="45"/>
      <c r="D354" s="45"/>
      <c r="E354" s="45"/>
      <c r="F354" s="45"/>
      <c r="G354" s="45"/>
    </row>
    <row r="355" ht="15.75" customHeight="1">
      <c r="A355" s="45"/>
      <c r="B355" s="45"/>
      <c r="C355" s="45"/>
      <c r="D355" s="45"/>
      <c r="E355" s="45"/>
      <c r="F355" s="45"/>
      <c r="G355" s="45"/>
    </row>
    <row r="356" ht="15.75" customHeight="1">
      <c r="A356" s="45"/>
      <c r="B356" s="45"/>
      <c r="C356" s="45"/>
      <c r="D356" s="45"/>
      <c r="E356" s="45"/>
      <c r="F356" s="45"/>
      <c r="G356" s="45"/>
    </row>
    <row r="357" ht="15.75" customHeight="1">
      <c r="A357" s="45"/>
      <c r="B357" s="45"/>
      <c r="C357" s="45"/>
      <c r="D357" s="45"/>
      <c r="E357" s="45"/>
      <c r="F357" s="45"/>
      <c r="G357" s="45"/>
    </row>
    <row r="358" ht="15.75" customHeight="1">
      <c r="A358" s="45"/>
      <c r="B358" s="45"/>
      <c r="C358" s="45"/>
      <c r="D358" s="45"/>
      <c r="E358" s="45"/>
      <c r="F358" s="45"/>
      <c r="G358" s="45"/>
    </row>
    <row r="359" ht="15.75" customHeight="1">
      <c r="A359" s="45"/>
      <c r="B359" s="45"/>
      <c r="C359" s="45"/>
      <c r="D359" s="45"/>
      <c r="E359" s="45"/>
      <c r="F359" s="45"/>
      <c r="G359" s="45"/>
    </row>
    <row r="360" ht="15.75" customHeight="1">
      <c r="A360" s="45"/>
      <c r="B360" s="45"/>
      <c r="C360" s="45"/>
      <c r="D360" s="45"/>
      <c r="E360" s="45"/>
      <c r="F360" s="45"/>
      <c r="G360" s="45"/>
    </row>
    <row r="361" ht="15.75" customHeight="1">
      <c r="A361" s="45"/>
      <c r="B361" s="45"/>
      <c r="C361" s="45"/>
      <c r="D361" s="45"/>
      <c r="E361" s="45"/>
      <c r="F361" s="45"/>
      <c r="G361" s="45"/>
    </row>
    <row r="362" ht="15.75" customHeight="1">
      <c r="A362" s="45"/>
      <c r="B362" s="45"/>
      <c r="C362" s="45"/>
      <c r="D362" s="45"/>
      <c r="E362" s="45"/>
      <c r="F362" s="45"/>
      <c r="G362" s="45"/>
    </row>
    <row r="363" ht="15.75" customHeight="1">
      <c r="A363" s="45"/>
      <c r="B363" s="45"/>
      <c r="C363" s="45"/>
      <c r="D363" s="45"/>
      <c r="E363" s="45"/>
      <c r="F363" s="45"/>
      <c r="G363" s="45"/>
    </row>
    <row r="364" ht="15.75" customHeight="1">
      <c r="A364" s="45"/>
      <c r="B364" s="45"/>
      <c r="C364" s="45"/>
      <c r="D364" s="45"/>
      <c r="E364" s="45"/>
      <c r="F364" s="45"/>
      <c r="G364" s="45"/>
    </row>
    <row r="365" ht="15.75" customHeight="1">
      <c r="A365" s="45"/>
      <c r="B365" s="45"/>
      <c r="C365" s="45"/>
      <c r="D365" s="45"/>
      <c r="E365" s="45"/>
      <c r="F365" s="45"/>
      <c r="G365" s="45"/>
    </row>
    <row r="366" ht="15.75" customHeight="1">
      <c r="A366" s="45"/>
      <c r="B366" s="45"/>
      <c r="C366" s="45"/>
      <c r="D366" s="45"/>
      <c r="E366" s="45"/>
      <c r="F366" s="45"/>
      <c r="G366" s="45"/>
    </row>
    <row r="367" ht="15.75" customHeight="1">
      <c r="A367" s="45"/>
      <c r="B367" s="45"/>
      <c r="C367" s="45"/>
      <c r="D367" s="45"/>
      <c r="E367" s="45"/>
      <c r="F367" s="45"/>
      <c r="G367" s="45"/>
    </row>
    <row r="368" ht="15.75" customHeight="1">
      <c r="A368" s="45"/>
      <c r="B368" s="45"/>
      <c r="C368" s="45"/>
      <c r="D368" s="45"/>
      <c r="E368" s="45"/>
      <c r="F368" s="45"/>
      <c r="G368" s="45"/>
    </row>
    <row r="369" ht="15.75" customHeight="1">
      <c r="A369" s="45"/>
      <c r="B369" s="45"/>
      <c r="C369" s="45"/>
      <c r="D369" s="45"/>
      <c r="E369" s="45"/>
      <c r="F369" s="45"/>
      <c r="G369" s="45"/>
    </row>
    <row r="370" ht="15.75" customHeight="1">
      <c r="A370" s="45"/>
      <c r="B370" s="45"/>
      <c r="C370" s="45"/>
      <c r="D370" s="45"/>
      <c r="E370" s="45"/>
      <c r="F370" s="45"/>
      <c r="G370" s="45"/>
    </row>
    <row r="371" ht="15.75" customHeight="1">
      <c r="A371" s="45"/>
      <c r="B371" s="45"/>
      <c r="C371" s="45"/>
      <c r="D371" s="45"/>
      <c r="E371" s="45"/>
      <c r="F371" s="45"/>
      <c r="G371" s="45"/>
    </row>
    <row r="372" ht="15.75" customHeight="1">
      <c r="A372" s="45"/>
      <c r="B372" s="45"/>
      <c r="C372" s="45"/>
      <c r="D372" s="45"/>
      <c r="E372" s="45"/>
      <c r="F372" s="45"/>
      <c r="G372" s="45"/>
    </row>
    <row r="373" ht="15.75" customHeight="1">
      <c r="A373" s="45"/>
      <c r="B373" s="45"/>
      <c r="C373" s="45"/>
      <c r="D373" s="45"/>
      <c r="E373" s="45"/>
      <c r="F373" s="45"/>
      <c r="G373" s="45"/>
    </row>
    <row r="374" ht="15.75" customHeight="1">
      <c r="A374" s="45"/>
      <c r="B374" s="45"/>
      <c r="C374" s="45"/>
      <c r="D374" s="45"/>
      <c r="E374" s="45"/>
      <c r="F374" s="45"/>
      <c r="G374" s="45"/>
    </row>
    <row r="375" ht="15.75" customHeight="1">
      <c r="A375" s="45"/>
      <c r="B375" s="45"/>
      <c r="C375" s="45"/>
      <c r="D375" s="45"/>
      <c r="E375" s="45"/>
      <c r="F375" s="45"/>
      <c r="G375" s="45"/>
    </row>
    <row r="376" ht="15.75" customHeight="1">
      <c r="A376" s="45"/>
      <c r="B376" s="45"/>
      <c r="C376" s="45"/>
      <c r="D376" s="45"/>
      <c r="E376" s="45"/>
      <c r="F376" s="45"/>
      <c r="G376" s="45"/>
    </row>
    <row r="377" ht="15.75" customHeight="1">
      <c r="A377" s="45"/>
      <c r="B377" s="45"/>
      <c r="C377" s="45"/>
      <c r="D377" s="45"/>
      <c r="E377" s="45"/>
      <c r="F377" s="45"/>
      <c r="G377" s="45"/>
    </row>
    <row r="378" ht="15.75" customHeight="1">
      <c r="A378" s="45"/>
      <c r="B378" s="45"/>
      <c r="C378" s="45"/>
      <c r="D378" s="45"/>
      <c r="E378" s="45"/>
      <c r="F378" s="45"/>
      <c r="G378" s="45"/>
    </row>
    <row r="379" ht="15.75" customHeight="1">
      <c r="A379" s="45"/>
      <c r="B379" s="45"/>
      <c r="C379" s="45"/>
      <c r="D379" s="45"/>
      <c r="E379" s="45"/>
      <c r="F379" s="45"/>
      <c r="G379" s="45"/>
    </row>
    <row r="380" ht="15.75" customHeight="1">
      <c r="A380" s="45"/>
      <c r="B380" s="45"/>
      <c r="C380" s="45"/>
      <c r="D380" s="45"/>
      <c r="E380" s="45"/>
      <c r="F380" s="45"/>
      <c r="G380" s="45"/>
    </row>
    <row r="381" ht="15.75" customHeight="1">
      <c r="A381" s="45"/>
      <c r="B381" s="45"/>
      <c r="C381" s="45"/>
      <c r="D381" s="45"/>
      <c r="E381" s="45"/>
      <c r="F381" s="45"/>
      <c r="G381" s="45"/>
    </row>
    <row r="382" ht="15.75" customHeight="1">
      <c r="A382" s="45"/>
      <c r="B382" s="45"/>
      <c r="C382" s="45"/>
      <c r="D382" s="45"/>
      <c r="E382" s="45"/>
      <c r="F382" s="45"/>
      <c r="G382" s="45"/>
    </row>
    <row r="383" ht="15.75" customHeight="1">
      <c r="A383" s="45"/>
      <c r="B383" s="45"/>
      <c r="C383" s="45"/>
      <c r="D383" s="45"/>
      <c r="E383" s="45"/>
      <c r="F383" s="45"/>
      <c r="G383" s="45"/>
    </row>
    <row r="384" ht="15.75" customHeight="1">
      <c r="A384" s="45"/>
      <c r="B384" s="45"/>
      <c r="C384" s="45"/>
      <c r="D384" s="45"/>
      <c r="E384" s="45"/>
      <c r="F384" s="45"/>
      <c r="G384" s="45"/>
    </row>
    <row r="385" ht="15.75" customHeight="1">
      <c r="A385" s="45"/>
      <c r="B385" s="45"/>
      <c r="C385" s="45"/>
      <c r="D385" s="45"/>
      <c r="E385" s="45"/>
      <c r="F385" s="45"/>
      <c r="G385" s="45"/>
    </row>
    <row r="386" ht="15.75" customHeight="1">
      <c r="A386" s="45"/>
      <c r="B386" s="45"/>
      <c r="C386" s="45"/>
      <c r="D386" s="45"/>
      <c r="E386" s="45"/>
      <c r="F386" s="45"/>
      <c r="G386" s="45"/>
    </row>
    <row r="387" ht="15.75" customHeight="1">
      <c r="A387" s="45"/>
      <c r="B387" s="45"/>
      <c r="C387" s="45"/>
      <c r="D387" s="45"/>
      <c r="E387" s="45"/>
      <c r="F387" s="45"/>
      <c r="G387" s="45"/>
    </row>
    <row r="388" ht="15.75" customHeight="1">
      <c r="A388" s="45"/>
      <c r="B388" s="45"/>
      <c r="C388" s="45"/>
      <c r="D388" s="45"/>
      <c r="E388" s="45"/>
      <c r="F388" s="45"/>
      <c r="G388" s="45"/>
    </row>
    <row r="389" ht="15.75" customHeight="1">
      <c r="A389" s="45"/>
      <c r="B389" s="45"/>
      <c r="C389" s="45"/>
      <c r="D389" s="45"/>
      <c r="E389" s="45"/>
      <c r="F389" s="45"/>
      <c r="G389" s="45"/>
    </row>
    <row r="390" ht="15.75" customHeight="1">
      <c r="A390" s="45"/>
      <c r="B390" s="45"/>
      <c r="C390" s="45"/>
      <c r="D390" s="45"/>
      <c r="E390" s="45"/>
      <c r="F390" s="45"/>
      <c r="G390" s="45"/>
    </row>
    <row r="391" ht="15.75" customHeight="1">
      <c r="A391" s="45"/>
      <c r="B391" s="45"/>
      <c r="C391" s="45"/>
      <c r="D391" s="45"/>
      <c r="E391" s="45"/>
      <c r="F391" s="45"/>
      <c r="G391" s="45"/>
    </row>
    <row r="392" ht="15.75" customHeight="1">
      <c r="A392" s="45"/>
      <c r="B392" s="45"/>
      <c r="C392" s="45"/>
      <c r="D392" s="45"/>
      <c r="E392" s="45"/>
      <c r="F392" s="45"/>
      <c r="G392" s="45"/>
    </row>
    <row r="393" ht="15.75" customHeight="1">
      <c r="A393" s="45"/>
      <c r="B393" s="45"/>
      <c r="C393" s="45"/>
      <c r="D393" s="45"/>
      <c r="E393" s="45"/>
      <c r="F393" s="45"/>
      <c r="G393" s="45"/>
    </row>
    <row r="394" ht="15.75" customHeight="1">
      <c r="A394" s="45"/>
      <c r="B394" s="45"/>
      <c r="C394" s="45"/>
      <c r="D394" s="45"/>
      <c r="E394" s="45"/>
      <c r="F394" s="45"/>
      <c r="G394" s="45"/>
    </row>
    <row r="395" ht="15.75" customHeight="1">
      <c r="A395" s="45"/>
      <c r="B395" s="45"/>
      <c r="C395" s="45"/>
      <c r="D395" s="45"/>
      <c r="E395" s="45"/>
      <c r="F395" s="45"/>
      <c r="G395" s="45"/>
    </row>
    <row r="396" ht="15.75" customHeight="1">
      <c r="A396" s="45"/>
      <c r="B396" s="45"/>
      <c r="C396" s="45"/>
      <c r="D396" s="45"/>
      <c r="E396" s="45"/>
      <c r="F396" s="45"/>
      <c r="G396" s="45"/>
    </row>
    <row r="397" ht="15.75" customHeight="1">
      <c r="A397" s="45"/>
      <c r="B397" s="45"/>
      <c r="C397" s="45"/>
      <c r="D397" s="45"/>
      <c r="E397" s="45"/>
      <c r="F397" s="45"/>
      <c r="G397" s="45"/>
    </row>
    <row r="398" ht="15.75" customHeight="1">
      <c r="A398" s="45"/>
      <c r="B398" s="45"/>
      <c r="C398" s="45"/>
      <c r="D398" s="45"/>
      <c r="E398" s="45"/>
      <c r="F398" s="45"/>
      <c r="G398" s="45"/>
    </row>
    <row r="399" ht="15.75" customHeight="1">
      <c r="A399" s="45"/>
      <c r="B399" s="45"/>
      <c r="C399" s="45"/>
      <c r="D399" s="45"/>
      <c r="E399" s="45"/>
      <c r="F399" s="45"/>
      <c r="G399" s="45"/>
    </row>
    <row r="400" ht="15.75" customHeight="1">
      <c r="A400" s="45"/>
      <c r="B400" s="45"/>
      <c r="C400" s="45"/>
      <c r="D400" s="45"/>
      <c r="E400" s="45"/>
      <c r="F400" s="45"/>
      <c r="G400" s="45"/>
    </row>
    <row r="401" ht="15.75" customHeight="1">
      <c r="A401" s="45"/>
      <c r="B401" s="45"/>
      <c r="C401" s="45"/>
      <c r="D401" s="45"/>
      <c r="E401" s="45"/>
      <c r="F401" s="45"/>
      <c r="G401" s="45"/>
    </row>
    <row r="402" ht="15.75" customHeight="1">
      <c r="A402" s="45"/>
      <c r="B402" s="45"/>
      <c r="C402" s="45"/>
      <c r="D402" s="45"/>
      <c r="E402" s="45"/>
      <c r="F402" s="45"/>
      <c r="G402" s="45"/>
    </row>
    <row r="403" ht="15.75" customHeight="1">
      <c r="A403" s="45"/>
      <c r="B403" s="45"/>
      <c r="C403" s="45"/>
      <c r="D403" s="45"/>
      <c r="E403" s="45"/>
      <c r="F403" s="45"/>
      <c r="G403" s="45"/>
    </row>
    <row r="404" ht="15.75" customHeight="1">
      <c r="A404" s="45"/>
      <c r="B404" s="45"/>
      <c r="C404" s="45"/>
      <c r="D404" s="45"/>
      <c r="E404" s="45"/>
      <c r="F404" s="45"/>
      <c r="G404" s="45"/>
    </row>
    <row r="405" ht="15.75" customHeight="1">
      <c r="A405" s="45"/>
      <c r="B405" s="45"/>
      <c r="C405" s="45"/>
      <c r="D405" s="45"/>
      <c r="E405" s="45"/>
      <c r="F405" s="45"/>
      <c r="G405" s="45"/>
    </row>
    <row r="406" ht="15.75" customHeight="1">
      <c r="A406" s="45"/>
      <c r="B406" s="45"/>
      <c r="C406" s="45"/>
      <c r="D406" s="45"/>
      <c r="E406" s="45"/>
      <c r="F406" s="45"/>
      <c r="G406" s="45"/>
    </row>
    <row r="407" ht="15.75" customHeight="1">
      <c r="A407" s="45"/>
      <c r="B407" s="45"/>
      <c r="C407" s="45"/>
      <c r="D407" s="45"/>
      <c r="E407" s="45"/>
      <c r="F407" s="45"/>
      <c r="G407" s="45"/>
    </row>
    <row r="408" ht="15.75" customHeight="1">
      <c r="A408" s="45"/>
      <c r="B408" s="45"/>
      <c r="C408" s="45"/>
      <c r="D408" s="45"/>
      <c r="E408" s="45"/>
      <c r="F408" s="45"/>
      <c r="G408" s="45"/>
    </row>
    <row r="409" ht="15.75" customHeight="1">
      <c r="A409" s="45"/>
      <c r="B409" s="45"/>
      <c r="C409" s="45"/>
      <c r="D409" s="45"/>
      <c r="E409" s="45"/>
      <c r="F409" s="45"/>
      <c r="G409" s="45"/>
    </row>
    <row r="410" ht="15.75" customHeight="1">
      <c r="A410" s="45"/>
      <c r="B410" s="45"/>
      <c r="C410" s="45"/>
      <c r="D410" s="45"/>
      <c r="E410" s="45"/>
      <c r="F410" s="45"/>
      <c r="G410" s="45"/>
    </row>
    <row r="411" ht="15.75" customHeight="1">
      <c r="A411" s="45"/>
      <c r="B411" s="45"/>
      <c r="C411" s="45"/>
      <c r="D411" s="45"/>
      <c r="E411" s="45"/>
      <c r="F411" s="45"/>
      <c r="G411" s="45"/>
    </row>
    <row r="412" ht="15.75" customHeight="1">
      <c r="A412" s="45"/>
      <c r="B412" s="45"/>
      <c r="C412" s="45"/>
      <c r="D412" s="45"/>
      <c r="E412" s="45"/>
      <c r="F412" s="45"/>
      <c r="G412" s="45"/>
    </row>
    <row r="413" ht="15.75" customHeight="1">
      <c r="A413" s="45"/>
      <c r="B413" s="45"/>
      <c r="C413" s="45"/>
      <c r="D413" s="45"/>
      <c r="E413" s="45"/>
      <c r="F413" s="45"/>
      <c r="G413" s="45"/>
    </row>
    <row r="414" ht="15.75" customHeight="1">
      <c r="A414" s="45"/>
      <c r="B414" s="45"/>
      <c r="C414" s="45"/>
      <c r="D414" s="45"/>
      <c r="E414" s="45"/>
      <c r="F414" s="45"/>
      <c r="G414" s="45"/>
    </row>
    <row r="415" ht="15.75" customHeight="1">
      <c r="A415" s="45"/>
      <c r="B415" s="45"/>
      <c r="C415" s="45"/>
      <c r="D415" s="45"/>
      <c r="E415" s="45"/>
      <c r="F415" s="45"/>
      <c r="G415" s="45"/>
    </row>
    <row r="416" ht="15.75" customHeight="1">
      <c r="A416" s="45"/>
      <c r="B416" s="45"/>
      <c r="C416" s="45"/>
      <c r="D416" s="45"/>
      <c r="E416" s="45"/>
      <c r="F416" s="45"/>
      <c r="G416" s="45"/>
    </row>
    <row r="417" ht="15.75" customHeight="1">
      <c r="A417" s="45"/>
      <c r="B417" s="45"/>
      <c r="C417" s="45"/>
      <c r="D417" s="45"/>
      <c r="E417" s="45"/>
      <c r="F417" s="45"/>
      <c r="G417" s="45"/>
    </row>
    <row r="418" ht="15.75" customHeight="1">
      <c r="A418" s="45"/>
      <c r="B418" s="45"/>
      <c r="C418" s="45"/>
      <c r="D418" s="45"/>
      <c r="E418" s="45"/>
      <c r="F418" s="45"/>
      <c r="G418" s="45"/>
    </row>
    <row r="419" ht="15.75" customHeight="1">
      <c r="A419" s="45"/>
      <c r="B419" s="45"/>
      <c r="C419" s="45"/>
      <c r="D419" s="45"/>
      <c r="E419" s="45"/>
      <c r="F419" s="45"/>
      <c r="G419" s="45"/>
    </row>
    <row r="420" ht="15.75" customHeight="1">
      <c r="A420" s="45"/>
      <c r="B420" s="45"/>
      <c r="C420" s="45"/>
      <c r="D420" s="45"/>
      <c r="E420" s="45"/>
      <c r="F420" s="45"/>
      <c r="G420" s="45"/>
    </row>
    <row r="421" ht="15.75" customHeight="1">
      <c r="A421" s="45"/>
      <c r="B421" s="45"/>
      <c r="C421" s="45"/>
      <c r="D421" s="45"/>
      <c r="E421" s="45"/>
      <c r="F421" s="45"/>
      <c r="G421" s="45"/>
    </row>
    <row r="422" ht="15.75" customHeight="1">
      <c r="A422" s="45"/>
      <c r="B422" s="45"/>
      <c r="C422" s="45"/>
      <c r="D422" s="45"/>
      <c r="E422" s="45"/>
      <c r="F422" s="45"/>
      <c r="G422" s="45"/>
    </row>
    <row r="423" ht="15.75" customHeight="1">
      <c r="A423" s="45"/>
      <c r="B423" s="45"/>
      <c r="C423" s="45"/>
      <c r="D423" s="45"/>
      <c r="E423" s="45"/>
      <c r="F423" s="45"/>
      <c r="G423" s="45"/>
    </row>
    <row r="424" ht="15.75" customHeight="1">
      <c r="A424" s="45"/>
      <c r="B424" s="45"/>
      <c r="C424" s="45"/>
      <c r="D424" s="45"/>
      <c r="E424" s="45"/>
      <c r="F424" s="45"/>
      <c r="G424" s="45"/>
    </row>
    <row r="425" ht="15.75" customHeight="1">
      <c r="A425" s="45"/>
      <c r="B425" s="45"/>
      <c r="C425" s="45"/>
      <c r="D425" s="45"/>
      <c r="E425" s="45"/>
      <c r="F425" s="45"/>
      <c r="G425" s="45"/>
    </row>
    <row r="426" ht="15.75" customHeight="1">
      <c r="A426" s="45"/>
      <c r="B426" s="45"/>
      <c r="C426" s="45"/>
      <c r="D426" s="45"/>
      <c r="E426" s="45"/>
      <c r="F426" s="45"/>
      <c r="G426" s="45"/>
    </row>
    <row r="427" ht="15.75" customHeight="1">
      <c r="A427" s="45"/>
      <c r="B427" s="45"/>
      <c r="C427" s="45"/>
      <c r="D427" s="45"/>
      <c r="E427" s="45"/>
      <c r="F427" s="45"/>
      <c r="G427" s="45"/>
    </row>
    <row r="428" ht="15.75" customHeight="1">
      <c r="A428" s="45"/>
      <c r="B428" s="45"/>
      <c r="C428" s="45"/>
      <c r="D428" s="45"/>
      <c r="E428" s="45"/>
      <c r="F428" s="45"/>
      <c r="G428" s="45"/>
    </row>
    <row r="429" ht="15.75" customHeight="1">
      <c r="A429" s="45"/>
      <c r="B429" s="45"/>
      <c r="C429" s="45"/>
      <c r="D429" s="45"/>
      <c r="E429" s="45"/>
      <c r="F429" s="45"/>
      <c r="G429" s="45"/>
    </row>
    <row r="430" ht="15.75" customHeight="1">
      <c r="A430" s="45"/>
      <c r="B430" s="45"/>
      <c r="C430" s="45"/>
      <c r="D430" s="45"/>
      <c r="E430" s="45"/>
      <c r="F430" s="45"/>
      <c r="G430" s="45"/>
    </row>
    <row r="431" ht="15.75" customHeight="1">
      <c r="A431" s="45"/>
      <c r="B431" s="45"/>
      <c r="C431" s="45"/>
      <c r="D431" s="45"/>
      <c r="E431" s="45"/>
      <c r="F431" s="45"/>
      <c r="G431" s="45"/>
    </row>
    <row r="432" ht="15.75" customHeight="1">
      <c r="A432" s="45"/>
      <c r="B432" s="45"/>
      <c r="C432" s="45"/>
      <c r="D432" s="45"/>
      <c r="E432" s="45"/>
      <c r="F432" s="45"/>
      <c r="G432" s="45"/>
    </row>
    <row r="433" ht="15.75" customHeight="1">
      <c r="A433" s="45"/>
      <c r="B433" s="45"/>
      <c r="C433" s="45"/>
      <c r="D433" s="45"/>
      <c r="E433" s="45"/>
      <c r="F433" s="45"/>
      <c r="G433" s="45"/>
    </row>
    <row r="434" ht="15.75" customHeight="1">
      <c r="A434" s="45"/>
      <c r="B434" s="45"/>
      <c r="C434" s="45"/>
      <c r="D434" s="45"/>
      <c r="E434" s="45"/>
      <c r="F434" s="45"/>
      <c r="G434" s="45"/>
    </row>
    <row r="435" ht="15.75" customHeight="1">
      <c r="A435" s="45"/>
      <c r="B435" s="45"/>
      <c r="C435" s="45"/>
      <c r="D435" s="45"/>
      <c r="E435" s="45"/>
      <c r="F435" s="45"/>
      <c r="G435" s="45"/>
    </row>
    <row r="436" ht="15.75" customHeight="1">
      <c r="A436" s="45"/>
      <c r="B436" s="45"/>
      <c r="C436" s="45"/>
      <c r="D436" s="45"/>
      <c r="E436" s="45"/>
      <c r="F436" s="45"/>
      <c r="G436" s="45"/>
    </row>
    <row r="437" ht="15.75" customHeight="1">
      <c r="A437" s="45"/>
      <c r="B437" s="45"/>
      <c r="C437" s="45"/>
      <c r="D437" s="45"/>
      <c r="E437" s="45"/>
      <c r="F437" s="45"/>
      <c r="G437" s="45"/>
    </row>
    <row r="438" ht="15.75" customHeight="1">
      <c r="A438" s="45"/>
      <c r="B438" s="45"/>
      <c r="C438" s="45"/>
      <c r="D438" s="45"/>
      <c r="E438" s="45"/>
      <c r="F438" s="45"/>
      <c r="G438" s="45"/>
    </row>
    <row r="439" ht="15.75" customHeight="1">
      <c r="A439" s="45"/>
      <c r="B439" s="45"/>
      <c r="C439" s="45"/>
      <c r="D439" s="45"/>
      <c r="E439" s="45"/>
      <c r="F439" s="45"/>
      <c r="G439" s="45"/>
    </row>
    <row r="440" ht="15.75" customHeight="1">
      <c r="A440" s="45"/>
      <c r="B440" s="45"/>
      <c r="C440" s="45"/>
      <c r="D440" s="45"/>
      <c r="E440" s="45"/>
      <c r="F440" s="45"/>
      <c r="G440" s="45"/>
    </row>
    <row r="441" ht="15.75" customHeight="1">
      <c r="A441" s="45"/>
      <c r="B441" s="45"/>
      <c r="C441" s="45"/>
      <c r="D441" s="45"/>
      <c r="E441" s="45"/>
      <c r="F441" s="45"/>
      <c r="G441" s="45"/>
    </row>
    <row r="442" ht="15.75" customHeight="1">
      <c r="A442" s="45"/>
      <c r="B442" s="45"/>
      <c r="C442" s="45"/>
      <c r="D442" s="45"/>
      <c r="E442" s="45"/>
      <c r="F442" s="45"/>
      <c r="G442" s="45"/>
    </row>
    <row r="443" ht="15.75" customHeight="1">
      <c r="A443" s="45"/>
      <c r="B443" s="45"/>
      <c r="C443" s="45"/>
      <c r="D443" s="45"/>
      <c r="E443" s="45"/>
      <c r="F443" s="45"/>
      <c r="G443" s="45"/>
    </row>
    <row r="444" ht="15.75" customHeight="1">
      <c r="A444" s="45"/>
      <c r="B444" s="45"/>
      <c r="C444" s="45"/>
      <c r="D444" s="45"/>
      <c r="E444" s="45"/>
      <c r="F444" s="45"/>
      <c r="G444" s="45"/>
    </row>
    <row r="445" ht="15.75" customHeight="1">
      <c r="A445" s="45"/>
      <c r="B445" s="45"/>
      <c r="C445" s="45"/>
      <c r="D445" s="45"/>
      <c r="E445" s="45"/>
      <c r="F445" s="45"/>
      <c r="G445" s="45"/>
    </row>
    <row r="446" ht="15.75" customHeight="1">
      <c r="A446" s="45"/>
      <c r="B446" s="45"/>
      <c r="C446" s="45"/>
      <c r="D446" s="45"/>
      <c r="E446" s="45"/>
      <c r="F446" s="45"/>
      <c r="G446" s="45"/>
    </row>
    <row r="447" ht="15.75" customHeight="1">
      <c r="A447" s="45"/>
      <c r="B447" s="45"/>
      <c r="C447" s="45"/>
      <c r="D447" s="45"/>
      <c r="E447" s="45"/>
      <c r="F447" s="45"/>
      <c r="G447" s="45"/>
    </row>
    <row r="448" ht="15.75" customHeight="1">
      <c r="A448" s="45"/>
      <c r="B448" s="45"/>
      <c r="C448" s="45"/>
      <c r="D448" s="45"/>
      <c r="E448" s="45"/>
      <c r="F448" s="45"/>
      <c r="G448" s="45"/>
    </row>
    <row r="449" ht="15.75" customHeight="1">
      <c r="A449" s="45"/>
      <c r="B449" s="45"/>
      <c r="C449" s="45"/>
      <c r="D449" s="45"/>
      <c r="E449" s="45"/>
      <c r="F449" s="45"/>
      <c r="G449" s="45"/>
    </row>
    <row r="450" ht="15.75" customHeight="1">
      <c r="A450" s="45"/>
      <c r="B450" s="45"/>
      <c r="C450" s="45"/>
      <c r="D450" s="45"/>
      <c r="E450" s="45"/>
      <c r="F450" s="45"/>
      <c r="G450" s="45"/>
    </row>
    <row r="451" ht="15.75" customHeight="1">
      <c r="A451" s="45"/>
      <c r="B451" s="45"/>
      <c r="C451" s="45"/>
      <c r="D451" s="45"/>
      <c r="E451" s="45"/>
      <c r="F451" s="45"/>
      <c r="G451" s="45"/>
    </row>
    <row r="452" ht="15.75" customHeight="1">
      <c r="A452" s="45"/>
      <c r="B452" s="45"/>
      <c r="C452" s="45"/>
      <c r="D452" s="45"/>
      <c r="E452" s="45"/>
      <c r="F452" s="45"/>
      <c r="G452" s="45"/>
    </row>
    <row r="453" ht="15.75" customHeight="1">
      <c r="A453" s="45"/>
      <c r="B453" s="45"/>
      <c r="C453" s="45"/>
      <c r="D453" s="45"/>
      <c r="E453" s="45"/>
      <c r="F453" s="45"/>
      <c r="G453" s="45"/>
    </row>
    <row r="454" ht="15.75" customHeight="1">
      <c r="A454" s="45"/>
      <c r="B454" s="45"/>
      <c r="C454" s="45"/>
      <c r="D454" s="45"/>
      <c r="E454" s="45"/>
      <c r="F454" s="45"/>
      <c r="G454" s="45"/>
    </row>
    <row r="455" ht="15.75" customHeight="1">
      <c r="A455" s="45"/>
      <c r="B455" s="45"/>
      <c r="C455" s="45"/>
      <c r="D455" s="45"/>
      <c r="E455" s="45"/>
      <c r="F455" s="45"/>
      <c r="G455" s="45"/>
    </row>
    <row r="456" ht="15.75" customHeight="1">
      <c r="A456" s="45"/>
      <c r="B456" s="45"/>
      <c r="C456" s="45"/>
      <c r="D456" s="45"/>
      <c r="E456" s="45"/>
      <c r="F456" s="45"/>
      <c r="G456" s="45"/>
    </row>
    <row r="457" ht="15.75" customHeight="1">
      <c r="A457" s="45"/>
      <c r="B457" s="45"/>
      <c r="C457" s="45"/>
      <c r="D457" s="45"/>
      <c r="E457" s="45"/>
      <c r="F457" s="45"/>
      <c r="G457" s="45"/>
    </row>
    <row r="458" ht="15.75" customHeight="1">
      <c r="A458" s="45"/>
      <c r="B458" s="45"/>
      <c r="C458" s="45"/>
      <c r="D458" s="45"/>
      <c r="E458" s="45"/>
      <c r="F458" s="45"/>
      <c r="G458" s="45"/>
    </row>
    <row r="459" ht="15.75" customHeight="1">
      <c r="A459" s="45"/>
      <c r="B459" s="45"/>
      <c r="C459" s="45"/>
      <c r="D459" s="45"/>
      <c r="E459" s="45"/>
      <c r="F459" s="45"/>
      <c r="G459" s="45"/>
    </row>
    <row r="460" ht="15.75" customHeight="1">
      <c r="A460" s="45"/>
      <c r="B460" s="45"/>
      <c r="C460" s="45"/>
      <c r="D460" s="45"/>
      <c r="E460" s="45"/>
      <c r="F460" s="45"/>
      <c r="G460" s="45"/>
    </row>
    <row r="461" ht="15.75" customHeight="1">
      <c r="A461" s="45"/>
      <c r="B461" s="45"/>
      <c r="C461" s="45"/>
      <c r="D461" s="45"/>
      <c r="E461" s="45"/>
      <c r="F461" s="45"/>
      <c r="G461" s="45"/>
    </row>
    <row r="462" ht="15.75" customHeight="1">
      <c r="A462" s="45"/>
      <c r="B462" s="45"/>
      <c r="C462" s="45"/>
      <c r="D462" s="45"/>
      <c r="E462" s="45"/>
      <c r="F462" s="45"/>
      <c r="G462" s="45"/>
    </row>
    <row r="463" ht="15.75" customHeight="1">
      <c r="A463" s="45"/>
      <c r="B463" s="45"/>
      <c r="C463" s="45"/>
      <c r="D463" s="45"/>
      <c r="E463" s="45"/>
      <c r="F463" s="45"/>
      <c r="G463" s="45"/>
    </row>
    <row r="464" ht="15.75" customHeight="1">
      <c r="A464" s="45"/>
      <c r="B464" s="45"/>
      <c r="C464" s="45"/>
      <c r="D464" s="45"/>
      <c r="E464" s="45"/>
      <c r="F464" s="45"/>
      <c r="G464" s="45"/>
    </row>
    <row r="465" ht="15.75" customHeight="1">
      <c r="A465" s="45"/>
      <c r="B465" s="45"/>
      <c r="C465" s="45"/>
      <c r="D465" s="45"/>
      <c r="E465" s="45"/>
      <c r="F465" s="45"/>
      <c r="G465" s="45"/>
    </row>
    <row r="466" ht="15.75" customHeight="1">
      <c r="A466" s="45"/>
      <c r="B466" s="45"/>
      <c r="C466" s="45"/>
      <c r="D466" s="45"/>
      <c r="E466" s="45"/>
      <c r="F466" s="45"/>
      <c r="G466" s="45"/>
    </row>
    <row r="467" ht="15.75" customHeight="1">
      <c r="A467" s="45"/>
      <c r="B467" s="45"/>
      <c r="C467" s="45"/>
      <c r="D467" s="45"/>
      <c r="E467" s="45"/>
      <c r="F467" s="45"/>
      <c r="G467" s="45"/>
    </row>
    <row r="468" ht="15.75" customHeight="1">
      <c r="A468" s="45"/>
      <c r="B468" s="45"/>
      <c r="C468" s="45"/>
      <c r="D468" s="45"/>
      <c r="E468" s="45"/>
      <c r="F468" s="45"/>
      <c r="G468" s="45"/>
    </row>
    <row r="469" ht="15.75" customHeight="1">
      <c r="A469" s="45"/>
      <c r="B469" s="45"/>
      <c r="C469" s="45"/>
      <c r="D469" s="45"/>
      <c r="E469" s="45"/>
      <c r="F469" s="45"/>
      <c r="G469" s="45"/>
    </row>
    <row r="470" ht="15.75" customHeight="1">
      <c r="A470" s="45"/>
      <c r="B470" s="45"/>
      <c r="C470" s="45"/>
      <c r="D470" s="45"/>
      <c r="E470" s="45"/>
      <c r="F470" s="45"/>
      <c r="G470" s="45"/>
    </row>
    <row r="471" ht="15.75" customHeight="1">
      <c r="A471" s="45"/>
      <c r="B471" s="45"/>
      <c r="C471" s="45"/>
      <c r="D471" s="45"/>
      <c r="E471" s="45"/>
      <c r="F471" s="45"/>
      <c r="G471" s="45"/>
    </row>
    <row r="472" ht="15.75" customHeight="1">
      <c r="A472" s="45"/>
      <c r="B472" s="45"/>
      <c r="C472" s="45"/>
      <c r="D472" s="45"/>
      <c r="E472" s="45"/>
      <c r="F472" s="45"/>
      <c r="G472" s="45"/>
    </row>
    <row r="473" ht="15.75" customHeight="1">
      <c r="A473" s="45"/>
      <c r="B473" s="45"/>
      <c r="C473" s="45"/>
      <c r="D473" s="45"/>
      <c r="E473" s="45"/>
      <c r="F473" s="45"/>
      <c r="G473" s="45"/>
    </row>
    <row r="474" ht="15.75" customHeight="1">
      <c r="A474" s="45"/>
      <c r="B474" s="45"/>
      <c r="C474" s="45"/>
      <c r="D474" s="45"/>
      <c r="E474" s="45"/>
      <c r="F474" s="45"/>
      <c r="G474" s="45"/>
    </row>
    <row r="475" ht="15.75" customHeight="1">
      <c r="A475" s="45"/>
      <c r="B475" s="45"/>
      <c r="C475" s="45"/>
      <c r="D475" s="45"/>
      <c r="E475" s="45"/>
      <c r="F475" s="45"/>
      <c r="G475" s="45"/>
    </row>
    <row r="476" ht="15.75" customHeight="1">
      <c r="A476" s="45"/>
      <c r="B476" s="45"/>
      <c r="C476" s="45"/>
      <c r="D476" s="45"/>
      <c r="E476" s="45"/>
      <c r="F476" s="45"/>
      <c r="G476" s="45"/>
    </row>
    <row r="477" ht="15.75" customHeight="1">
      <c r="A477" s="45"/>
      <c r="B477" s="45"/>
      <c r="C477" s="45"/>
      <c r="D477" s="45"/>
      <c r="E477" s="45"/>
      <c r="F477" s="45"/>
      <c r="G477" s="45"/>
    </row>
    <row r="478" ht="15.75" customHeight="1">
      <c r="A478" s="45"/>
      <c r="B478" s="45"/>
      <c r="C478" s="45"/>
      <c r="D478" s="45"/>
      <c r="E478" s="45"/>
      <c r="F478" s="45"/>
      <c r="G478" s="45"/>
    </row>
    <row r="479" ht="15.75" customHeight="1">
      <c r="A479" s="45"/>
      <c r="B479" s="45"/>
      <c r="C479" s="45"/>
      <c r="D479" s="45"/>
      <c r="E479" s="45"/>
      <c r="F479" s="45"/>
      <c r="G479" s="45"/>
    </row>
    <row r="480" ht="15.75" customHeight="1">
      <c r="A480" s="45"/>
      <c r="B480" s="45"/>
      <c r="C480" s="45"/>
      <c r="D480" s="45"/>
      <c r="E480" s="45"/>
      <c r="F480" s="45"/>
      <c r="G480" s="45"/>
    </row>
    <row r="481" ht="15.75" customHeight="1">
      <c r="A481" s="45"/>
      <c r="B481" s="45"/>
      <c r="C481" s="45"/>
      <c r="D481" s="45"/>
      <c r="E481" s="45"/>
      <c r="F481" s="45"/>
      <c r="G481" s="45"/>
    </row>
    <row r="482" ht="15.75" customHeight="1">
      <c r="A482" s="45"/>
      <c r="B482" s="45"/>
      <c r="C482" s="45"/>
      <c r="D482" s="45"/>
      <c r="E482" s="45"/>
      <c r="F482" s="45"/>
      <c r="G482" s="45"/>
    </row>
    <row r="483" ht="15.75" customHeight="1">
      <c r="A483" s="45"/>
      <c r="B483" s="45"/>
      <c r="C483" s="45"/>
      <c r="D483" s="45"/>
      <c r="E483" s="45"/>
      <c r="F483" s="45"/>
      <c r="G483" s="45"/>
    </row>
    <row r="484" ht="15.75" customHeight="1">
      <c r="A484" s="45"/>
      <c r="B484" s="45"/>
      <c r="C484" s="45"/>
      <c r="D484" s="45"/>
      <c r="E484" s="45"/>
      <c r="F484" s="45"/>
      <c r="G484" s="45"/>
    </row>
    <row r="485" ht="15.75" customHeight="1">
      <c r="A485" s="45"/>
      <c r="B485" s="45"/>
      <c r="C485" s="45"/>
      <c r="D485" s="45"/>
      <c r="E485" s="45"/>
      <c r="F485" s="45"/>
      <c r="G485" s="45"/>
    </row>
    <row r="486" ht="15.75" customHeight="1">
      <c r="A486" s="45"/>
      <c r="B486" s="45"/>
      <c r="C486" s="45"/>
      <c r="D486" s="45"/>
      <c r="E486" s="45"/>
      <c r="F486" s="45"/>
      <c r="G486" s="45"/>
    </row>
    <row r="487" ht="15.75" customHeight="1">
      <c r="A487" s="45"/>
      <c r="B487" s="45"/>
      <c r="C487" s="45"/>
      <c r="D487" s="45"/>
      <c r="E487" s="45"/>
      <c r="F487" s="45"/>
      <c r="G487" s="45"/>
    </row>
    <row r="488" ht="15.75" customHeight="1">
      <c r="A488" s="45"/>
      <c r="B488" s="45"/>
      <c r="C488" s="45"/>
      <c r="D488" s="45"/>
      <c r="E488" s="45"/>
      <c r="F488" s="45"/>
      <c r="G488" s="45"/>
    </row>
    <row r="489" ht="15.75" customHeight="1">
      <c r="A489" s="45"/>
      <c r="B489" s="45"/>
      <c r="C489" s="45"/>
      <c r="D489" s="45"/>
      <c r="E489" s="45"/>
      <c r="F489" s="45"/>
      <c r="G489" s="45"/>
    </row>
    <row r="490" ht="15.75" customHeight="1">
      <c r="A490" s="45"/>
      <c r="B490" s="45"/>
      <c r="C490" s="45"/>
      <c r="D490" s="45"/>
      <c r="E490" s="45"/>
      <c r="F490" s="45"/>
      <c r="G490" s="45"/>
    </row>
    <row r="491" ht="15.75" customHeight="1">
      <c r="A491" s="45"/>
      <c r="B491" s="45"/>
      <c r="C491" s="45"/>
      <c r="D491" s="45"/>
      <c r="E491" s="45"/>
      <c r="F491" s="45"/>
      <c r="G491" s="45"/>
    </row>
    <row r="492" ht="15.75" customHeight="1">
      <c r="A492" s="45"/>
      <c r="B492" s="45"/>
      <c r="C492" s="45"/>
      <c r="D492" s="45"/>
      <c r="E492" s="45"/>
      <c r="F492" s="45"/>
      <c r="G492" s="45"/>
    </row>
    <row r="493" ht="15.75" customHeight="1">
      <c r="A493" s="45"/>
      <c r="B493" s="45"/>
      <c r="C493" s="45"/>
      <c r="D493" s="45"/>
      <c r="E493" s="45"/>
      <c r="F493" s="45"/>
      <c r="G493" s="45"/>
    </row>
    <row r="494" ht="15.75" customHeight="1">
      <c r="A494" s="45"/>
      <c r="B494" s="45"/>
      <c r="C494" s="45"/>
      <c r="D494" s="45"/>
      <c r="E494" s="45"/>
      <c r="F494" s="45"/>
      <c r="G494" s="45"/>
    </row>
    <row r="495" ht="15.75" customHeight="1">
      <c r="A495" s="45"/>
      <c r="B495" s="45"/>
      <c r="C495" s="45"/>
      <c r="D495" s="45"/>
      <c r="E495" s="45"/>
      <c r="F495" s="45"/>
      <c r="G495" s="45"/>
    </row>
    <row r="496" ht="15.75" customHeight="1">
      <c r="A496" s="45"/>
      <c r="B496" s="45"/>
      <c r="C496" s="45"/>
      <c r="D496" s="45"/>
      <c r="E496" s="45"/>
      <c r="F496" s="45"/>
      <c r="G496" s="45"/>
    </row>
    <row r="497" ht="15.75" customHeight="1">
      <c r="A497" s="45"/>
      <c r="B497" s="45"/>
      <c r="C497" s="45"/>
      <c r="D497" s="45"/>
      <c r="E497" s="45"/>
      <c r="F497" s="45"/>
      <c r="G497" s="45"/>
    </row>
    <row r="498" ht="15.75" customHeight="1">
      <c r="A498" s="45"/>
      <c r="B498" s="45"/>
      <c r="C498" s="45"/>
      <c r="D498" s="45"/>
      <c r="E498" s="45"/>
      <c r="F498" s="45"/>
      <c r="G498" s="45"/>
    </row>
    <row r="499" ht="15.75" customHeight="1">
      <c r="A499" s="45"/>
      <c r="B499" s="45"/>
      <c r="C499" s="45"/>
      <c r="D499" s="45"/>
      <c r="E499" s="45"/>
      <c r="F499" s="45"/>
      <c r="G499" s="45"/>
    </row>
    <row r="500" ht="15.75" customHeight="1">
      <c r="A500" s="45"/>
      <c r="B500" s="45"/>
      <c r="C500" s="45"/>
      <c r="D500" s="45"/>
      <c r="E500" s="45"/>
      <c r="F500" s="45"/>
      <c r="G500" s="45"/>
    </row>
    <row r="501" ht="15.75" customHeight="1">
      <c r="A501" s="45"/>
      <c r="B501" s="45"/>
      <c r="C501" s="45"/>
      <c r="D501" s="45"/>
      <c r="E501" s="45"/>
      <c r="F501" s="45"/>
      <c r="G501" s="45"/>
    </row>
    <row r="502" ht="15.75" customHeight="1">
      <c r="A502" s="45"/>
      <c r="B502" s="45"/>
      <c r="C502" s="45"/>
      <c r="D502" s="45"/>
      <c r="E502" s="45"/>
      <c r="F502" s="45"/>
      <c r="G502" s="45"/>
    </row>
    <row r="503" ht="15.75" customHeight="1">
      <c r="A503" s="45"/>
      <c r="B503" s="45"/>
      <c r="C503" s="45"/>
      <c r="D503" s="45"/>
      <c r="E503" s="45"/>
      <c r="F503" s="45"/>
      <c r="G503" s="45"/>
    </row>
    <row r="504" ht="15.75" customHeight="1">
      <c r="A504" s="45"/>
      <c r="B504" s="45"/>
      <c r="C504" s="45"/>
      <c r="D504" s="45"/>
      <c r="E504" s="45"/>
      <c r="F504" s="45"/>
      <c r="G504" s="45"/>
    </row>
    <row r="505" ht="15.75" customHeight="1">
      <c r="A505" s="45"/>
      <c r="B505" s="45"/>
      <c r="C505" s="45"/>
      <c r="D505" s="45"/>
      <c r="E505" s="45"/>
      <c r="F505" s="45"/>
      <c r="G505" s="45"/>
    </row>
    <row r="506" ht="15.75" customHeight="1">
      <c r="A506" s="45"/>
      <c r="B506" s="45"/>
      <c r="C506" s="45"/>
      <c r="D506" s="45"/>
      <c r="E506" s="45"/>
      <c r="F506" s="45"/>
      <c r="G506" s="45"/>
    </row>
    <row r="507" ht="15.75" customHeight="1">
      <c r="A507" s="45"/>
      <c r="B507" s="45"/>
      <c r="C507" s="45"/>
      <c r="D507" s="45"/>
      <c r="E507" s="45"/>
      <c r="F507" s="45"/>
      <c r="G507" s="45"/>
    </row>
    <row r="508" ht="15.75" customHeight="1">
      <c r="A508" s="45"/>
      <c r="B508" s="45"/>
      <c r="C508" s="45"/>
      <c r="D508" s="45"/>
      <c r="E508" s="45"/>
      <c r="F508" s="45"/>
      <c r="G508" s="45"/>
    </row>
    <row r="509" ht="15.75" customHeight="1">
      <c r="A509" s="45"/>
      <c r="B509" s="45"/>
      <c r="C509" s="45"/>
      <c r="D509" s="45"/>
      <c r="E509" s="45"/>
      <c r="F509" s="45"/>
      <c r="G509" s="45"/>
    </row>
    <row r="510" ht="15.75" customHeight="1">
      <c r="A510" s="45"/>
      <c r="B510" s="45"/>
      <c r="C510" s="45"/>
      <c r="D510" s="45"/>
      <c r="E510" s="45"/>
      <c r="F510" s="45"/>
      <c r="G510" s="45"/>
    </row>
    <row r="511" ht="15.75" customHeight="1">
      <c r="A511" s="45"/>
      <c r="B511" s="45"/>
      <c r="C511" s="45"/>
      <c r="D511" s="45"/>
      <c r="E511" s="45"/>
      <c r="F511" s="45"/>
      <c r="G511" s="45"/>
    </row>
    <row r="512" ht="15.75" customHeight="1">
      <c r="A512" s="45"/>
      <c r="B512" s="45"/>
      <c r="C512" s="45"/>
      <c r="D512" s="45"/>
      <c r="E512" s="45"/>
      <c r="F512" s="45"/>
      <c r="G512" s="45"/>
    </row>
    <row r="513" ht="15.75" customHeight="1">
      <c r="A513" s="45"/>
      <c r="B513" s="45"/>
      <c r="C513" s="45"/>
      <c r="D513" s="45"/>
      <c r="E513" s="45"/>
      <c r="F513" s="45"/>
      <c r="G513" s="45"/>
    </row>
    <row r="514" ht="15.75" customHeight="1">
      <c r="A514" s="45"/>
      <c r="B514" s="45"/>
      <c r="C514" s="45"/>
      <c r="D514" s="45"/>
      <c r="E514" s="45"/>
      <c r="F514" s="45"/>
      <c r="G514" s="45"/>
    </row>
    <row r="515" ht="15.75" customHeight="1">
      <c r="A515" s="45"/>
      <c r="B515" s="45"/>
      <c r="C515" s="45"/>
      <c r="D515" s="45"/>
      <c r="E515" s="45"/>
      <c r="F515" s="45"/>
      <c r="G515" s="45"/>
    </row>
    <row r="516" ht="15.75" customHeight="1">
      <c r="A516" s="45"/>
      <c r="B516" s="45"/>
      <c r="C516" s="45"/>
      <c r="D516" s="45"/>
      <c r="E516" s="45"/>
      <c r="F516" s="45"/>
      <c r="G516" s="45"/>
    </row>
    <row r="517" ht="15.75" customHeight="1">
      <c r="A517" s="45"/>
      <c r="B517" s="45"/>
      <c r="C517" s="45"/>
      <c r="D517" s="45"/>
      <c r="E517" s="45"/>
      <c r="F517" s="45"/>
      <c r="G517" s="45"/>
    </row>
    <row r="518" ht="15.75" customHeight="1">
      <c r="A518" s="45"/>
      <c r="B518" s="45"/>
      <c r="C518" s="45"/>
      <c r="D518" s="45"/>
      <c r="E518" s="45"/>
      <c r="F518" s="45"/>
      <c r="G518" s="45"/>
    </row>
    <row r="519" ht="15.75" customHeight="1">
      <c r="A519" s="45"/>
      <c r="B519" s="45"/>
      <c r="C519" s="45"/>
      <c r="D519" s="45"/>
      <c r="E519" s="45"/>
      <c r="F519" s="45"/>
      <c r="G519" s="45"/>
    </row>
    <row r="520" ht="15.75" customHeight="1">
      <c r="A520" s="45"/>
      <c r="B520" s="45"/>
      <c r="C520" s="45"/>
      <c r="D520" s="45"/>
      <c r="E520" s="45"/>
      <c r="F520" s="45"/>
      <c r="G520" s="45"/>
    </row>
    <row r="521" ht="15.75" customHeight="1">
      <c r="A521" s="45"/>
      <c r="B521" s="45"/>
      <c r="C521" s="45"/>
      <c r="D521" s="45"/>
      <c r="E521" s="45"/>
      <c r="F521" s="45"/>
      <c r="G521" s="45"/>
    </row>
    <row r="522" ht="15.75" customHeight="1">
      <c r="A522" s="45"/>
      <c r="B522" s="45"/>
      <c r="C522" s="45"/>
      <c r="D522" s="45"/>
      <c r="E522" s="45"/>
      <c r="F522" s="45"/>
      <c r="G522" s="45"/>
    </row>
    <row r="523" ht="15.75" customHeight="1">
      <c r="A523" s="45"/>
      <c r="B523" s="45"/>
      <c r="C523" s="45"/>
      <c r="D523" s="45"/>
      <c r="E523" s="45"/>
      <c r="F523" s="45"/>
      <c r="G523" s="45"/>
    </row>
    <row r="524" ht="15.75" customHeight="1">
      <c r="A524" s="45"/>
      <c r="B524" s="45"/>
      <c r="C524" s="45"/>
      <c r="D524" s="45"/>
      <c r="E524" s="45"/>
      <c r="F524" s="45"/>
      <c r="G524" s="45"/>
    </row>
    <row r="525" ht="15.75" customHeight="1">
      <c r="A525" s="45"/>
      <c r="B525" s="45"/>
      <c r="C525" s="45"/>
      <c r="D525" s="45"/>
      <c r="E525" s="45"/>
      <c r="F525" s="45"/>
      <c r="G525" s="45"/>
    </row>
    <row r="526" ht="15.75" customHeight="1">
      <c r="A526" s="45"/>
      <c r="B526" s="45"/>
      <c r="C526" s="45"/>
      <c r="D526" s="45"/>
      <c r="E526" s="45"/>
      <c r="F526" s="45"/>
      <c r="G526" s="45"/>
    </row>
    <row r="527" ht="15.75" customHeight="1">
      <c r="A527" s="45"/>
      <c r="B527" s="45"/>
      <c r="C527" s="45"/>
      <c r="D527" s="45"/>
      <c r="E527" s="45"/>
      <c r="F527" s="45"/>
      <c r="G527" s="45"/>
    </row>
    <row r="528" ht="15.75" customHeight="1">
      <c r="A528" s="45"/>
      <c r="B528" s="45"/>
      <c r="C528" s="45"/>
      <c r="D528" s="45"/>
      <c r="E528" s="45"/>
      <c r="F528" s="45"/>
      <c r="G528" s="45"/>
    </row>
    <row r="529" ht="15.75" customHeight="1">
      <c r="A529" s="45"/>
      <c r="B529" s="45"/>
      <c r="C529" s="45"/>
      <c r="D529" s="45"/>
      <c r="E529" s="45"/>
      <c r="F529" s="45"/>
      <c r="G529" s="45"/>
    </row>
    <row r="530" ht="15.75" customHeight="1">
      <c r="A530" s="45"/>
      <c r="B530" s="45"/>
      <c r="C530" s="45"/>
      <c r="D530" s="45"/>
      <c r="E530" s="45"/>
      <c r="F530" s="45"/>
      <c r="G530" s="45"/>
    </row>
    <row r="531" ht="15.75" customHeight="1">
      <c r="A531" s="45"/>
      <c r="B531" s="45"/>
      <c r="C531" s="45"/>
      <c r="D531" s="45"/>
      <c r="E531" s="45"/>
      <c r="F531" s="45"/>
      <c r="G531" s="45"/>
    </row>
    <row r="532" ht="15.75" customHeight="1">
      <c r="A532" s="45"/>
      <c r="B532" s="45"/>
      <c r="C532" s="45"/>
      <c r="D532" s="45"/>
      <c r="E532" s="45"/>
      <c r="F532" s="45"/>
      <c r="G532" s="45"/>
    </row>
    <row r="533" ht="15.75" customHeight="1">
      <c r="A533" s="45"/>
      <c r="B533" s="45"/>
      <c r="C533" s="45"/>
      <c r="D533" s="45"/>
      <c r="E533" s="45"/>
      <c r="F533" s="45"/>
      <c r="G533" s="45"/>
    </row>
    <row r="534" ht="15.75" customHeight="1">
      <c r="A534" s="45"/>
      <c r="B534" s="45"/>
      <c r="C534" s="45"/>
      <c r="D534" s="45"/>
      <c r="E534" s="45"/>
      <c r="F534" s="45"/>
      <c r="G534" s="45"/>
    </row>
    <row r="535" ht="15.75" customHeight="1">
      <c r="A535" s="45"/>
      <c r="B535" s="45"/>
      <c r="C535" s="45"/>
      <c r="D535" s="45"/>
      <c r="E535" s="45"/>
      <c r="F535" s="45"/>
      <c r="G535" s="45"/>
    </row>
    <row r="536" ht="15.75" customHeight="1">
      <c r="A536" s="45"/>
      <c r="B536" s="45"/>
      <c r="C536" s="45"/>
      <c r="D536" s="45"/>
      <c r="E536" s="45"/>
      <c r="F536" s="45"/>
      <c r="G536" s="45"/>
    </row>
    <row r="537" ht="15.75" customHeight="1">
      <c r="A537" s="45"/>
      <c r="B537" s="45"/>
      <c r="C537" s="45"/>
      <c r="D537" s="45"/>
      <c r="E537" s="45"/>
      <c r="F537" s="45"/>
      <c r="G537" s="45"/>
    </row>
    <row r="538" ht="15.75" customHeight="1">
      <c r="A538" s="45"/>
      <c r="B538" s="45"/>
      <c r="C538" s="45"/>
      <c r="D538" s="45"/>
      <c r="E538" s="45"/>
      <c r="F538" s="45"/>
      <c r="G538" s="45"/>
    </row>
    <row r="539" ht="15.75" customHeight="1">
      <c r="A539" s="45"/>
      <c r="B539" s="45"/>
      <c r="C539" s="45"/>
      <c r="D539" s="45"/>
      <c r="E539" s="45"/>
      <c r="F539" s="45"/>
      <c r="G539" s="45"/>
    </row>
    <row r="540" ht="15.75" customHeight="1">
      <c r="A540" s="45"/>
      <c r="B540" s="45"/>
      <c r="C540" s="45"/>
      <c r="D540" s="45"/>
      <c r="E540" s="45"/>
      <c r="F540" s="45"/>
      <c r="G540" s="45"/>
    </row>
    <row r="541" ht="15.75" customHeight="1">
      <c r="A541" s="45"/>
      <c r="B541" s="45"/>
      <c r="C541" s="45"/>
      <c r="D541" s="45"/>
      <c r="E541" s="45"/>
      <c r="F541" s="45"/>
      <c r="G541" s="45"/>
    </row>
    <row r="542" ht="15.75" customHeight="1">
      <c r="A542" s="45"/>
      <c r="B542" s="45"/>
      <c r="C542" s="45"/>
      <c r="D542" s="45"/>
      <c r="E542" s="45"/>
      <c r="F542" s="45"/>
      <c r="G542" s="45"/>
    </row>
    <row r="543" ht="15.75" customHeight="1">
      <c r="A543" s="45"/>
      <c r="B543" s="45"/>
      <c r="C543" s="45"/>
      <c r="D543" s="45"/>
      <c r="E543" s="45"/>
      <c r="F543" s="45"/>
      <c r="G543" s="45"/>
    </row>
    <row r="544" ht="15.75" customHeight="1">
      <c r="A544" s="45"/>
      <c r="B544" s="45"/>
      <c r="C544" s="45"/>
      <c r="D544" s="45"/>
      <c r="E544" s="45"/>
      <c r="F544" s="45"/>
      <c r="G544" s="45"/>
    </row>
    <row r="545" ht="15.75" customHeight="1">
      <c r="A545" s="45"/>
      <c r="B545" s="45"/>
      <c r="C545" s="45"/>
      <c r="D545" s="45"/>
      <c r="E545" s="45"/>
      <c r="F545" s="45"/>
      <c r="G545" s="45"/>
    </row>
    <row r="546" ht="15.75" customHeight="1">
      <c r="A546" s="45"/>
      <c r="B546" s="45"/>
      <c r="C546" s="45"/>
      <c r="D546" s="45"/>
      <c r="E546" s="45"/>
      <c r="F546" s="45"/>
      <c r="G546" s="45"/>
    </row>
    <row r="547" ht="15.75" customHeight="1">
      <c r="A547" s="45"/>
      <c r="B547" s="45"/>
      <c r="C547" s="45"/>
      <c r="D547" s="45"/>
      <c r="E547" s="45"/>
      <c r="F547" s="45"/>
      <c r="G547" s="45"/>
    </row>
    <row r="548" ht="15.75" customHeight="1">
      <c r="A548" s="45"/>
      <c r="B548" s="45"/>
      <c r="C548" s="45"/>
      <c r="D548" s="45"/>
      <c r="E548" s="45"/>
      <c r="F548" s="45"/>
      <c r="G548" s="45"/>
    </row>
    <row r="549" ht="15.75" customHeight="1">
      <c r="A549" s="45"/>
      <c r="B549" s="45"/>
      <c r="C549" s="45"/>
      <c r="D549" s="45"/>
      <c r="E549" s="45"/>
      <c r="F549" s="45"/>
      <c r="G549" s="45"/>
    </row>
    <row r="550" ht="15.75" customHeight="1">
      <c r="A550" s="45"/>
      <c r="B550" s="45"/>
      <c r="C550" s="45"/>
      <c r="D550" s="45"/>
      <c r="E550" s="45"/>
      <c r="F550" s="45"/>
      <c r="G550" s="45"/>
    </row>
    <row r="551" ht="15.75" customHeight="1">
      <c r="A551" s="45"/>
      <c r="B551" s="45"/>
      <c r="C551" s="45"/>
      <c r="D551" s="45"/>
      <c r="E551" s="45"/>
      <c r="F551" s="45"/>
      <c r="G551" s="45"/>
    </row>
    <row r="552" ht="15.75" customHeight="1">
      <c r="A552" s="45"/>
      <c r="B552" s="45"/>
      <c r="C552" s="45"/>
      <c r="D552" s="45"/>
      <c r="E552" s="45"/>
      <c r="F552" s="45"/>
      <c r="G552" s="45"/>
    </row>
    <row r="553" ht="15.75" customHeight="1">
      <c r="A553" s="45"/>
      <c r="B553" s="45"/>
      <c r="C553" s="45"/>
      <c r="D553" s="45"/>
      <c r="E553" s="45"/>
      <c r="F553" s="45"/>
      <c r="G553" s="45"/>
    </row>
    <row r="554" ht="15.75" customHeight="1">
      <c r="A554" s="45"/>
      <c r="B554" s="45"/>
      <c r="C554" s="45"/>
      <c r="D554" s="45"/>
      <c r="E554" s="45"/>
      <c r="F554" s="45"/>
      <c r="G554" s="45"/>
    </row>
    <row r="555" ht="15.75" customHeight="1">
      <c r="A555" s="45"/>
      <c r="B555" s="45"/>
      <c r="C555" s="45"/>
      <c r="D555" s="45"/>
      <c r="E555" s="45"/>
      <c r="F555" s="45"/>
      <c r="G555" s="45"/>
    </row>
    <row r="556" ht="15.75" customHeight="1">
      <c r="A556" s="45"/>
      <c r="B556" s="45"/>
      <c r="C556" s="45"/>
      <c r="D556" s="45"/>
      <c r="E556" s="45"/>
      <c r="F556" s="45"/>
      <c r="G556" s="45"/>
    </row>
    <row r="557" ht="15.75" customHeight="1">
      <c r="A557" s="45"/>
      <c r="B557" s="45"/>
      <c r="C557" s="45"/>
      <c r="D557" s="45"/>
      <c r="E557" s="45"/>
      <c r="F557" s="45"/>
      <c r="G557" s="45"/>
    </row>
    <row r="558" ht="15.75" customHeight="1">
      <c r="A558" s="45"/>
      <c r="B558" s="45"/>
      <c r="C558" s="45"/>
      <c r="D558" s="45"/>
      <c r="E558" s="45"/>
      <c r="F558" s="45"/>
      <c r="G558" s="45"/>
    </row>
    <row r="559" ht="15.75" customHeight="1">
      <c r="A559" s="45"/>
      <c r="B559" s="45"/>
      <c r="C559" s="45"/>
      <c r="D559" s="45"/>
      <c r="E559" s="45"/>
      <c r="F559" s="45"/>
      <c r="G559" s="45"/>
    </row>
    <row r="560" ht="15.75" customHeight="1">
      <c r="A560" s="45"/>
      <c r="B560" s="45"/>
      <c r="C560" s="45"/>
      <c r="D560" s="45"/>
      <c r="E560" s="45"/>
      <c r="F560" s="45"/>
      <c r="G560" s="45"/>
    </row>
    <row r="561" ht="15.75" customHeight="1">
      <c r="A561" s="45"/>
      <c r="B561" s="45"/>
      <c r="C561" s="45"/>
      <c r="D561" s="45"/>
      <c r="E561" s="45"/>
      <c r="F561" s="45"/>
      <c r="G561" s="45"/>
    </row>
    <row r="562" ht="15.75" customHeight="1">
      <c r="A562" s="45"/>
      <c r="B562" s="45"/>
      <c r="C562" s="45"/>
      <c r="D562" s="45"/>
      <c r="E562" s="45"/>
      <c r="F562" s="45"/>
      <c r="G562" s="45"/>
    </row>
    <row r="563" ht="15.75" customHeight="1">
      <c r="A563" s="45"/>
      <c r="B563" s="45"/>
      <c r="C563" s="45"/>
      <c r="D563" s="45"/>
      <c r="E563" s="45"/>
      <c r="F563" s="45"/>
      <c r="G563" s="45"/>
    </row>
    <row r="564" ht="15.75" customHeight="1">
      <c r="A564" s="45"/>
      <c r="B564" s="45"/>
      <c r="C564" s="45"/>
      <c r="D564" s="45"/>
      <c r="E564" s="45"/>
      <c r="F564" s="45"/>
      <c r="G564" s="45"/>
    </row>
    <row r="565" ht="15.75" customHeight="1">
      <c r="A565" s="45"/>
      <c r="B565" s="45"/>
      <c r="C565" s="45"/>
      <c r="D565" s="45"/>
      <c r="E565" s="45"/>
      <c r="F565" s="45"/>
      <c r="G565" s="45"/>
    </row>
    <row r="566" ht="15.75" customHeight="1">
      <c r="A566" s="45"/>
      <c r="B566" s="45"/>
      <c r="C566" s="45"/>
      <c r="D566" s="45"/>
      <c r="E566" s="45"/>
      <c r="F566" s="45"/>
      <c r="G566" s="45"/>
    </row>
    <row r="567" ht="15.75" customHeight="1">
      <c r="A567" s="45"/>
      <c r="B567" s="45"/>
      <c r="C567" s="45"/>
      <c r="D567" s="45"/>
      <c r="E567" s="45"/>
      <c r="F567" s="45"/>
      <c r="G567" s="45"/>
    </row>
    <row r="568" ht="15.75" customHeight="1">
      <c r="A568" s="45"/>
      <c r="B568" s="45"/>
      <c r="C568" s="45"/>
      <c r="D568" s="45"/>
      <c r="E568" s="45"/>
      <c r="F568" s="45"/>
      <c r="G568" s="45"/>
    </row>
    <row r="569" ht="15.75" customHeight="1">
      <c r="A569" s="45"/>
      <c r="B569" s="45"/>
      <c r="C569" s="45"/>
      <c r="D569" s="45"/>
      <c r="E569" s="45"/>
      <c r="F569" s="45"/>
      <c r="G569" s="45"/>
    </row>
    <row r="570" ht="15.75" customHeight="1">
      <c r="A570" s="45"/>
      <c r="B570" s="45"/>
      <c r="C570" s="45"/>
      <c r="D570" s="45"/>
      <c r="E570" s="45"/>
      <c r="F570" s="45"/>
      <c r="G570" s="45"/>
    </row>
    <row r="571" ht="15.75" customHeight="1">
      <c r="A571" s="45"/>
      <c r="B571" s="45"/>
      <c r="C571" s="45"/>
      <c r="D571" s="45"/>
      <c r="E571" s="45"/>
      <c r="F571" s="45"/>
      <c r="G571" s="45"/>
    </row>
    <row r="572" ht="15.75" customHeight="1">
      <c r="A572" s="45"/>
      <c r="B572" s="45"/>
      <c r="C572" s="45"/>
      <c r="D572" s="45"/>
      <c r="E572" s="45"/>
      <c r="F572" s="45"/>
      <c r="G572" s="45"/>
    </row>
    <row r="573" ht="15.75" customHeight="1">
      <c r="A573" s="45"/>
      <c r="B573" s="45"/>
      <c r="C573" s="45"/>
      <c r="D573" s="45"/>
      <c r="E573" s="45"/>
      <c r="F573" s="45"/>
      <c r="G573" s="45"/>
    </row>
    <row r="574" ht="15.75" customHeight="1">
      <c r="A574" s="45"/>
      <c r="B574" s="45"/>
      <c r="C574" s="45"/>
      <c r="D574" s="45"/>
      <c r="E574" s="45"/>
      <c r="F574" s="45"/>
      <c r="G574" s="45"/>
    </row>
    <row r="575" ht="15.75" customHeight="1">
      <c r="A575" s="45"/>
      <c r="B575" s="45"/>
      <c r="C575" s="45"/>
      <c r="D575" s="45"/>
      <c r="E575" s="45"/>
      <c r="F575" s="45"/>
      <c r="G575" s="45"/>
    </row>
    <row r="576" ht="15.75" customHeight="1">
      <c r="A576" s="45"/>
      <c r="B576" s="45"/>
      <c r="C576" s="45"/>
      <c r="D576" s="45"/>
      <c r="E576" s="45"/>
      <c r="F576" s="45"/>
      <c r="G576" s="45"/>
    </row>
    <row r="577" ht="15.75" customHeight="1">
      <c r="A577" s="45"/>
      <c r="B577" s="45"/>
      <c r="C577" s="45"/>
      <c r="D577" s="45"/>
      <c r="E577" s="45"/>
      <c r="F577" s="45"/>
      <c r="G577" s="45"/>
    </row>
    <row r="578" ht="15.75" customHeight="1">
      <c r="A578" s="45"/>
      <c r="B578" s="45"/>
      <c r="C578" s="45"/>
      <c r="D578" s="45"/>
      <c r="E578" s="45"/>
      <c r="F578" s="45"/>
      <c r="G578" s="45"/>
    </row>
    <row r="579" ht="15.75" customHeight="1">
      <c r="A579" s="45"/>
      <c r="B579" s="45"/>
      <c r="C579" s="45"/>
      <c r="D579" s="45"/>
      <c r="E579" s="45"/>
      <c r="F579" s="45"/>
      <c r="G579" s="45"/>
    </row>
    <row r="580" ht="15.75" customHeight="1">
      <c r="A580" s="45"/>
      <c r="B580" s="45"/>
      <c r="C580" s="45"/>
      <c r="D580" s="45"/>
      <c r="E580" s="45"/>
      <c r="F580" s="45"/>
      <c r="G580" s="45"/>
    </row>
    <row r="581" ht="15.75" customHeight="1">
      <c r="A581" s="45"/>
      <c r="B581" s="45"/>
      <c r="C581" s="45"/>
      <c r="D581" s="45"/>
      <c r="E581" s="45"/>
      <c r="F581" s="45"/>
      <c r="G581" s="45"/>
    </row>
    <row r="582" ht="15.75" customHeight="1">
      <c r="A582" s="45"/>
      <c r="B582" s="45"/>
      <c r="C582" s="45"/>
      <c r="D582" s="45"/>
      <c r="E582" s="45"/>
      <c r="F582" s="45"/>
      <c r="G582" s="45"/>
    </row>
    <row r="583" ht="15.75" customHeight="1">
      <c r="A583" s="45"/>
      <c r="B583" s="45"/>
      <c r="C583" s="45"/>
      <c r="D583" s="45"/>
      <c r="E583" s="45"/>
      <c r="F583" s="45"/>
      <c r="G583" s="45"/>
    </row>
    <row r="584" ht="15.75" customHeight="1">
      <c r="A584" s="45"/>
      <c r="B584" s="45"/>
      <c r="C584" s="45"/>
      <c r="D584" s="45"/>
      <c r="E584" s="45"/>
      <c r="F584" s="45"/>
      <c r="G584" s="45"/>
    </row>
    <row r="585" ht="15.75" customHeight="1">
      <c r="A585" s="45"/>
      <c r="B585" s="45"/>
      <c r="C585" s="45"/>
      <c r="D585" s="45"/>
      <c r="E585" s="45"/>
      <c r="F585" s="45"/>
      <c r="G585" s="45"/>
    </row>
    <row r="586" ht="15.75" customHeight="1">
      <c r="A586" s="45"/>
      <c r="B586" s="45"/>
      <c r="C586" s="45"/>
      <c r="D586" s="45"/>
      <c r="E586" s="45"/>
      <c r="F586" s="45"/>
      <c r="G586" s="45"/>
    </row>
    <row r="587" ht="15.75" customHeight="1">
      <c r="A587" s="45"/>
      <c r="B587" s="45"/>
      <c r="C587" s="45"/>
      <c r="D587" s="45"/>
      <c r="E587" s="45"/>
      <c r="F587" s="45"/>
      <c r="G587" s="45"/>
    </row>
    <row r="588" ht="15.75" customHeight="1">
      <c r="A588" s="45"/>
      <c r="B588" s="45"/>
      <c r="C588" s="45"/>
      <c r="D588" s="45"/>
      <c r="E588" s="45"/>
      <c r="F588" s="45"/>
      <c r="G588" s="45"/>
    </row>
    <row r="589" ht="15.75" customHeight="1">
      <c r="A589" s="45"/>
      <c r="B589" s="45"/>
      <c r="C589" s="45"/>
      <c r="D589" s="45"/>
      <c r="E589" s="45"/>
      <c r="F589" s="45"/>
      <c r="G589" s="45"/>
    </row>
    <row r="590" ht="15.75" customHeight="1">
      <c r="A590" s="45"/>
      <c r="B590" s="45"/>
      <c r="C590" s="45"/>
      <c r="D590" s="45"/>
      <c r="E590" s="45"/>
      <c r="F590" s="45"/>
      <c r="G590" s="45"/>
    </row>
    <row r="591" ht="15.75" customHeight="1">
      <c r="A591" s="45"/>
      <c r="B591" s="45"/>
      <c r="C591" s="45"/>
      <c r="D591" s="45"/>
      <c r="E591" s="45"/>
      <c r="F591" s="45"/>
      <c r="G591" s="45"/>
    </row>
    <row r="592" ht="15.75" customHeight="1">
      <c r="A592" s="45"/>
      <c r="B592" s="45"/>
      <c r="C592" s="45"/>
      <c r="D592" s="45"/>
      <c r="E592" s="45"/>
      <c r="F592" s="45"/>
      <c r="G592" s="45"/>
    </row>
    <row r="593" ht="15.75" customHeight="1">
      <c r="A593" s="45"/>
      <c r="B593" s="45"/>
      <c r="C593" s="45"/>
      <c r="D593" s="45"/>
      <c r="E593" s="45"/>
      <c r="F593" s="45"/>
      <c r="G593" s="45"/>
    </row>
    <row r="594" ht="15.75" customHeight="1">
      <c r="A594" s="45"/>
      <c r="B594" s="45"/>
      <c r="C594" s="45"/>
      <c r="D594" s="45"/>
      <c r="E594" s="45"/>
      <c r="F594" s="45"/>
      <c r="G594" s="45"/>
    </row>
    <row r="595" ht="15.75" customHeight="1">
      <c r="A595" s="45"/>
      <c r="B595" s="45"/>
      <c r="C595" s="45"/>
      <c r="D595" s="45"/>
      <c r="E595" s="45"/>
      <c r="F595" s="45"/>
      <c r="G595" s="45"/>
    </row>
    <row r="596" ht="15.75" customHeight="1">
      <c r="A596" s="45"/>
      <c r="B596" s="45"/>
      <c r="C596" s="45"/>
      <c r="D596" s="45"/>
      <c r="E596" s="45"/>
      <c r="F596" s="45"/>
      <c r="G596" s="45"/>
    </row>
    <row r="597" ht="15.75" customHeight="1">
      <c r="A597" s="45"/>
      <c r="B597" s="45"/>
      <c r="C597" s="45"/>
      <c r="D597" s="45"/>
      <c r="E597" s="45"/>
      <c r="F597" s="45"/>
      <c r="G597" s="45"/>
    </row>
    <row r="598" ht="15.75" customHeight="1">
      <c r="A598" s="45"/>
      <c r="B598" s="45"/>
      <c r="C598" s="45"/>
      <c r="D598" s="45"/>
      <c r="E598" s="45"/>
      <c r="F598" s="45"/>
      <c r="G598" s="45"/>
    </row>
    <row r="599" ht="15.75" customHeight="1">
      <c r="A599" s="45"/>
      <c r="B599" s="45"/>
      <c r="C599" s="45"/>
      <c r="D599" s="45"/>
      <c r="E599" s="45"/>
      <c r="F599" s="45"/>
      <c r="G599" s="45"/>
    </row>
    <row r="600" ht="15.75" customHeight="1">
      <c r="A600" s="45"/>
      <c r="B600" s="45"/>
      <c r="C600" s="45"/>
      <c r="D600" s="45"/>
      <c r="E600" s="45"/>
      <c r="F600" s="45"/>
      <c r="G600" s="45"/>
    </row>
    <row r="601" ht="15.75" customHeight="1">
      <c r="A601" s="45"/>
      <c r="B601" s="45"/>
      <c r="C601" s="45"/>
      <c r="D601" s="45"/>
      <c r="E601" s="45"/>
      <c r="F601" s="45"/>
      <c r="G601" s="45"/>
    </row>
    <row r="602" ht="15.75" customHeight="1">
      <c r="A602" s="45"/>
      <c r="B602" s="45"/>
      <c r="C602" s="45"/>
      <c r="D602" s="45"/>
      <c r="E602" s="45"/>
      <c r="F602" s="45"/>
      <c r="G602" s="45"/>
    </row>
    <row r="603" ht="15.75" customHeight="1">
      <c r="A603" s="45"/>
      <c r="B603" s="45"/>
      <c r="C603" s="45"/>
      <c r="D603" s="45"/>
      <c r="E603" s="45"/>
      <c r="F603" s="45"/>
      <c r="G603" s="45"/>
    </row>
    <row r="604" ht="15.75" customHeight="1">
      <c r="A604" s="45"/>
      <c r="B604" s="45"/>
      <c r="C604" s="45"/>
      <c r="D604" s="45"/>
      <c r="E604" s="45"/>
      <c r="F604" s="45"/>
      <c r="G604" s="45"/>
    </row>
    <row r="605" ht="15.75" customHeight="1">
      <c r="A605" s="45"/>
      <c r="B605" s="45"/>
      <c r="C605" s="45"/>
      <c r="D605" s="45"/>
      <c r="E605" s="45"/>
      <c r="F605" s="45"/>
      <c r="G605" s="45"/>
    </row>
    <row r="606" ht="15.75" customHeight="1">
      <c r="A606" s="45"/>
      <c r="B606" s="45"/>
      <c r="C606" s="45"/>
      <c r="D606" s="45"/>
      <c r="E606" s="45"/>
      <c r="F606" s="45"/>
      <c r="G606" s="45"/>
    </row>
    <row r="607" ht="15.75" customHeight="1">
      <c r="A607" s="45"/>
      <c r="B607" s="45"/>
      <c r="C607" s="45"/>
      <c r="D607" s="45"/>
      <c r="E607" s="45"/>
      <c r="F607" s="45"/>
      <c r="G607" s="45"/>
    </row>
    <row r="608" ht="15.75" customHeight="1">
      <c r="A608" s="45"/>
      <c r="B608" s="45"/>
      <c r="C608" s="45"/>
      <c r="D608" s="45"/>
      <c r="E608" s="45"/>
      <c r="F608" s="45"/>
      <c r="G608" s="45"/>
    </row>
    <row r="609" ht="15.75" customHeight="1">
      <c r="A609" s="45"/>
      <c r="B609" s="45"/>
      <c r="C609" s="45"/>
      <c r="D609" s="45"/>
      <c r="E609" s="45"/>
      <c r="F609" s="45"/>
      <c r="G609" s="45"/>
    </row>
    <row r="610" ht="15.75" customHeight="1">
      <c r="A610" s="45"/>
      <c r="B610" s="45"/>
      <c r="C610" s="45"/>
      <c r="D610" s="45"/>
      <c r="E610" s="45"/>
      <c r="F610" s="45"/>
      <c r="G610" s="45"/>
    </row>
    <row r="611" ht="15.75" customHeight="1">
      <c r="A611" s="45"/>
      <c r="B611" s="45"/>
      <c r="C611" s="45"/>
      <c r="D611" s="45"/>
      <c r="E611" s="45"/>
      <c r="F611" s="45"/>
      <c r="G611" s="45"/>
    </row>
    <row r="612" ht="15.75" customHeight="1">
      <c r="A612" s="45"/>
      <c r="B612" s="45"/>
      <c r="C612" s="45"/>
      <c r="D612" s="45"/>
      <c r="E612" s="45"/>
      <c r="F612" s="45"/>
      <c r="G612" s="45"/>
    </row>
    <row r="613" ht="15.75" customHeight="1">
      <c r="A613" s="45"/>
      <c r="B613" s="45"/>
      <c r="C613" s="45"/>
      <c r="D613" s="45"/>
      <c r="E613" s="45"/>
      <c r="F613" s="45"/>
      <c r="G613" s="45"/>
    </row>
    <row r="614" ht="15.75" customHeight="1">
      <c r="A614" s="45"/>
      <c r="B614" s="45"/>
      <c r="C614" s="45"/>
      <c r="D614" s="45"/>
      <c r="E614" s="45"/>
      <c r="F614" s="45"/>
      <c r="G614" s="45"/>
    </row>
    <row r="615" ht="15.75" customHeight="1">
      <c r="A615" s="45"/>
      <c r="B615" s="45"/>
      <c r="C615" s="45"/>
      <c r="D615" s="45"/>
      <c r="E615" s="45"/>
      <c r="F615" s="45"/>
      <c r="G615" s="45"/>
    </row>
    <row r="616" ht="15.75" customHeight="1">
      <c r="A616" s="45"/>
      <c r="B616" s="45"/>
      <c r="C616" s="45"/>
      <c r="D616" s="45"/>
      <c r="E616" s="45"/>
      <c r="F616" s="45"/>
      <c r="G616" s="45"/>
    </row>
    <row r="617" ht="15.75" customHeight="1">
      <c r="A617" s="45"/>
      <c r="B617" s="45"/>
      <c r="C617" s="45"/>
      <c r="D617" s="45"/>
      <c r="E617" s="45"/>
      <c r="F617" s="45"/>
      <c r="G617" s="45"/>
    </row>
    <row r="618" ht="15.75" customHeight="1">
      <c r="A618" s="45"/>
      <c r="B618" s="45"/>
      <c r="C618" s="45"/>
      <c r="D618" s="45"/>
      <c r="E618" s="45"/>
      <c r="F618" s="45"/>
      <c r="G618" s="45"/>
    </row>
    <row r="619" ht="15.75" customHeight="1">
      <c r="A619" s="45"/>
      <c r="B619" s="45"/>
      <c r="C619" s="45"/>
      <c r="D619" s="45"/>
      <c r="E619" s="45"/>
      <c r="F619" s="45"/>
      <c r="G619" s="45"/>
    </row>
    <row r="620" ht="15.75" customHeight="1">
      <c r="A620" s="45"/>
      <c r="B620" s="45"/>
      <c r="C620" s="45"/>
      <c r="D620" s="45"/>
      <c r="E620" s="45"/>
      <c r="F620" s="45"/>
      <c r="G620" s="45"/>
    </row>
    <row r="621" ht="15.75" customHeight="1">
      <c r="A621" s="45"/>
      <c r="B621" s="45"/>
      <c r="C621" s="45"/>
      <c r="D621" s="45"/>
      <c r="E621" s="45"/>
      <c r="F621" s="45"/>
      <c r="G621" s="45"/>
    </row>
    <row r="622" ht="15.75" customHeight="1">
      <c r="A622" s="45"/>
      <c r="B622" s="45"/>
      <c r="C622" s="45"/>
      <c r="D622" s="45"/>
      <c r="E622" s="45"/>
      <c r="F622" s="45"/>
      <c r="G622" s="45"/>
    </row>
    <row r="623" ht="15.75" customHeight="1">
      <c r="A623" s="45"/>
      <c r="B623" s="45"/>
      <c r="C623" s="45"/>
      <c r="D623" s="45"/>
      <c r="E623" s="45"/>
      <c r="F623" s="45"/>
      <c r="G623" s="45"/>
    </row>
    <row r="624" ht="15.75" customHeight="1">
      <c r="A624" s="45"/>
      <c r="B624" s="45"/>
      <c r="C624" s="45"/>
      <c r="D624" s="45"/>
      <c r="E624" s="45"/>
      <c r="F624" s="45"/>
      <c r="G624" s="45"/>
    </row>
    <row r="625" ht="15.75" customHeight="1">
      <c r="A625" s="45"/>
      <c r="B625" s="45"/>
      <c r="C625" s="45"/>
      <c r="D625" s="45"/>
      <c r="E625" s="45"/>
      <c r="F625" s="45"/>
      <c r="G625" s="45"/>
    </row>
    <row r="626" ht="15.75" customHeight="1">
      <c r="A626" s="45"/>
      <c r="B626" s="45"/>
      <c r="C626" s="45"/>
      <c r="D626" s="45"/>
      <c r="E626" s="45"/>
      <c r="F626" s="45"/>
      <c r="G626" s="45"/>
    </row>
    <row r="627" ht="15.75" customHeight="1">
      <c r="A627" s="45"/>
      <c r="B627" s="45"/>
      <c r="C627" s="45"/>
      <c r="D627" s="45"/>
      <c r="E627" s="45"/>
      <c r="F627" s="45"/>
      <c r="G627" s="45"/>
    </row>
    <row r="628" ht="15.75" customHeight="1">
      <c r="A628" s="45"/>
      <c r="B628" s="45"/>
      <c r="C628" s="45"/>
      <c r="D628" s="45"/>
      <c r="E628" s="45"/>
      <c r="F628" s="45"/>
      <c r="G628" s="45"/>
    </row>
    <row r="629" ht="15.75" customHeight="1">
      <c r="A629" s="45"/>
      <c r="B629" s="45"/>
      <c r="C629" s="45"/>
      <c r="D629" s="45"/>
      <c r="E629" s="45"/>
      <c r="F629" s="45"/>
      <c r="G629" s="45"/>
    </row>
    <row r="630" ht="15.75" customHeight="1">
      <c r="A630" s="45"/>
      <c r="B630" s="45"/>
      <c r="C630" s="45"/>
      <c r="D630" s="45"/>
      <c r="E630" s="45"/>
      <c r="F630" s="45"/>
      <c r="G630" s="45"/>
    </row>
    <row r="631" ht="15.75" customHeight="1">
      <c r="A631" s="45"/>
      <c r="B631" s="45"/>
      <c r="C631" s="45"/>
      <c r="D631" s="45"/>
      <c r="E631" s="45"/>
      <c r="F631" s="45"/>
      <c r="G631" s="45"/>
    </row>
    <row r="632" ht="15.75" customHeight="1">
      <c r="A632" s="45"/>
      <c r="B632" s="45"/>
      <c r="C632" s="45"/>
      <c r="D632" s="45"/>
      <c r="E632" s="45"/>
      <c r="F632" s="45"/>
      <c r="G632" s="45"/>
    </row>
    <row r="633" ht="15.75" customHeight="1">
      <c r="A633" s="45"/>
      <c r="B633" s="45"/>
      <c r="C633" s="45"/>
      <c r="D633" s="45"/>
      <c r="E633" s="45"/>
      <c r="F633" s="45"/>
      <c r="G633" s="45"/>
    </row>
    <row r="634" ht="15.75" customHeight="1">
      <c r="A634" s="45"/>
      <c r="B634" s="45"/>
      <c r="C634" s="45"/>
      <c r="D634" s="45"/>
      <c r="E634" s="45"/>
      <c r="F634" s="45"/>
      <c r="G634" s="45"/>
    </row>
    <row r="635" ht="15.75" customHeight="1">
      <c r="A635" s="45"/>
      <c r="B635" s="45"/>
      <c r="C635" s="45"/>
      <c r="D635" s="45"/>
      <c r="E635" s="45"/>
      <c r="F635" s="45"/>
      <c r="G635" s="45"/>
    </row>
    <row r="636" ht="15.75" customHeight="1">
      <c r="A636" s="45"/>
      <c r="B636" s="45"/>
      <c r="C636" s="45"/>
      <c r="D636" s="45"/>
      <c r="E636" s="45"/>
      <c r="F636" s="45"/>
      <c r="G636" s="45"/>
    </row>
    <row r="637" ht="15.75" customHeight="1">
      <c r="A637" s="45"/>
      <c r="B637" s="45"/>
      <c r="C637" s="45"/>
      <c r="D637" s="45"/>
      <c r="E637" s="45"/>
      <c r="F637" s="45"/>
      <c r="G637" s="45"/>
    </row>
    <row r="638" ht="15.75" customHeight="1">
      <c r="A638" s="45"/>
      <c r="B638" s="45"/>
      <c r="C638" s="45"/>
      <c r="D638" s="45"/>
      <c r="E638" s="45"/>
      <c r="F638" s="45"/>
      <c r="G638" s="45"/>
    </row>
    <row r="639" ht="15.75" customHeight="1">
      <c r="A639" s="45"/>
      <c r="B639" s="45"/>
      <c r="C639" s="45"/>
      <c r="D639" s="45"/>
      <c r="E639" s="45"/>
      <c r="F639" s="45"/>
      <c r="G639" s="45"/>
    </row>
    <row r="640" ht="15.75" customHeight="1">
      <c r="A640" s="45"/>
      <c r="B640" s="45"/>
      <c r="C640" s="45"/>
      <c r="D640" s="45"/>
      <c r="E640" s="45"/>
      <c r="F640" s="45"/>
      <c r="G640" s="45"/>
    </row>
    <row r="641" ht="15.75" customHeight="1">
      <c r="A641" s="45"/>
      <c r="B641" s="45"/>
      <c r="C641" s="45"/>
      <c r="D641" s="45"/>
      <c r="E641" s="45"/>
      <c r="F641" s="45"/>
      <c r="G641" s="45"/>
    </row>
    <row r="642" ht="15.75" customHeight="1">
      <c r="A642" s="45"/>
      <c r="B642" s="45"/>
      <c r="C642" s="45"/>
      <c r="D642" s="45"/>
      <c r="E642" s="45"/>
      <c r="F642" s="45"/>
      <c r="G642" s="45"/>
    </row>
    <row r="643" ht="15.75" customHeight="1">
      <c r="A643" s="45"/>
      <c r="B643" s="45"/>
      <c r="C643" s="45"/>
      <c r="D643" s="45"/>
      <c r="E643" s="45"/>
      <c r="F643" s="45"/>
      <c r="G643" s="45"/>
    </row>
    <row r="644" ht="15.75" customHeight="1">
      <c r="A644" s="45"/>
      <c r="B644" s="45"/>
      <c r="C644" s="45"/>
      <c r="D644" s="45"/>
      <c r="E644" s="45"/>
      <c r="F644" s="45"/>
      <c r="G644" s="45"/>
    </row>
    <row r="645" ht="15.75" customHeight="1">
      <c r="A645" s="45"/>
      <c r="B645" s="45"/>
      <c r="C645" s="45"/>
      <c r="D645" s="45"/>
      <c r="E645" s="45"/>
      <c r="F645" s="45"/>
      <c r="G645" s="45"/>
    </row>
    <row r="646" ht="15.75" customHeight="1">
      <c r="A646" s="45"/>
      <c r="B646" s="45"/>
      <c r="C646" s="45"/>
      <c r="D646" s="45"/>
      <c r="E646" s="45"/>
      <c r="F646" s="45"/>
      <c r="G646" s="45"/>
    </row>
    <row r="647" ht="15.75" customHeight="1">
      <c r="A647" s="45"/>
      <c r="B647" s="45"/>
      <c r="C647" s="45"/>
      <c r="D647" s="45"/>
      <c r="E647" s="45"/>
      <c r="F647" s="45"/>
      <c r="G647" s="45"/>
    </row>
    <row r="648" ht="15.75" customHeight="1">
      <c r="A648" s="45"/>
      <c r="B648" s="45"/>
      <c r="C648" s="45"/>
      <c r="D648" s="45"/>
      <c r="E648" s="45"/>
      <c r="F648" s="45"/>
      <c r="G648" s="45"/>
    </row>
    <row r="649" ht="15.75" customHeight="1">
      <c r="A649" s="45"/>
      <c r="B649" s="45"/>
      <c r="C649" s="45"/>
      <c r="D649" s="45"/>
      <c r="E649" s="45"/>
      <c r="F649" s="45"/>
      <c r="G649" s="45"/>
    </row>
    <row r="650" ht="15.75" customHeight="1">
      <c r="A650" s="45"/>
      <c r="B650" s="45"/>
      <c r="C650" s="45"/>
      <c r="D650" s="45"/>
      <c r="E650" s="45"/>
      <c r="F650" s="45"/>
      <c r="G650" s="45"/>
    </row>
    <row r="651" ht="15.75" customHeight="1">
      <c r="A651" s="45"/>
      <c r="B651" s="45"/>
      <c r="C651" s="45"/>
      <c r="D651" s="45"/>
      <c r="E651" s="45"/>
      <c r="F651" s="45"/>
      <c r="G651" s="45"/>
    </row>
    <row r="652" ht="15.75" customHeight="1">
      <c r="A652" s="45"/>
      <c r="B652" s="45"/>
      <c r="C652" s="45"/>
      <c r="D652" s="45"/>
      <c r="E652" s="45"/>
      <c r="F652" s="45"/>
      <c r="G652" s="45"/>
    </row>
    <row r="653" ht="15.75" customHeight="1">
      <c r="A653" s="45"/>
      <c r="B653" s="45"/>
      <c r="C653" s="45"/>
      <c r="D653" s="45"/>
      <c r="E653" s="45"/>
      <c r="F653" s="45"/>
      <c r="G653" s="45"/>
    </row>
    <row r="654" ht="15.75" customHeight="1">
      <c r="A654" s="45"/>
      <c r="B654" s="45"/>
      <c r="C654" s="45"/>
      <c r="D654" s="45"/>
      <c r="E654" s="45"/>
      <c r="F654" s="45"/>
      <c r="G654" s="45"/>
    </row>
    <row r="655" ht="15.75" customHeight="1">
      <c r="A655" s="45"/>
      <c r="B655" s="45"/>
      <c r="C655" s="45"/>
      <c r="D655" s="45"/>
      <c r="E655" s="45"/>
      <c r="F655" s="45"/>
      <c r="G655" s="45"/>
    </row>
    <row r="656" ht="15.75" customHeight="1">
      <c r="A656" s="45"/>
      <c r="B656" s="45"/>
      <c r="C656" s="45"/>
      <c r="D656" s="45"/>
      <c r="E656" s="45"/>
      <c r="F656" s="45"/>
      <c r="G656" s="45"/>
    </row>
    <row r="657" ht="15.75" customHeight="1">
      <c r="A657" s="45"/>
      <c r="B657" s="45"/>
      <c r="C657" s="45"/>
      <c r="D657" s="45"/>
      <c r="E657" s="45"/>
      <c r="F657" s="45"/>
      <c r="G657" s="45"/>
    </row>
    <row r="658" ht="15.75" customHeight="1">
      <c r="A658" s="45"/>
      <c r="B658" s="45"/>
      <c r="C658" s="45"/>
      <c r="D658" s="45"/>
      <c r="E658" s="45"/>
      <c r="F658" s="45"/>
      <c r="G658" s="45"/>
    </row>
    <row r="659" ht="15.75" customHeight="1">
      <c r="A659" s="45"/>
      <c r="B659" s="45"/>
      <c r="C659" s="45"/>
      <c r="D659" s="45"/>
      <c r="E659" s="45"/>
      <c r="F659" s="45"/>
      <c r="G659" s="45"/>
    </row>
    <row r="660" ht="15.75" customHeight="1">
      <c r="A660" s="45"/>
      <c r="B660" s="45"/>
      <c r="C660" s="45"/>
      <c r="D660" s="45"/>
      <c r="E660" s="45"/>
      <c r="F660" s="45"/>
      <c r="G660" s="45"/>
    </row>
    <row r="661" ht="15.75" customHeight="1">
      <c r="A661" s="45"/>
      <c r="B661" s="45"/>
      <c r="C661" s="45"/>
      <c r="D661" s="45"/>
      <c r="E661" s="45"/>
      <c r="F661" s="45"/>
      <c r="G661" s="45"/>
    </row>
    <row r="662" ht="15.75" customHeight="1">
      <c r="A662" s="45"/>
      <c r="B662" s="45"/>
      <c r="C662" s="45"/>
      <c r="D662" s="45"/>
      <c r="E662" s="45"/>
      <c r="F662" s="45"/>
      <c r="G662" s="45"/>
    </row>
    <row r="663" ht="15.75" customHeight="1">
      <c r="A663" s="45"/>
      <c r="B663" s="45"/>
      <c r="C663" s="45"/>
      <c r="D663" s="45"/>
      <c r="E663" s="45"/>
      <c r="F663" s="45"/>
      <c r="G663" s="45"/>
    </row>
    <row r="664" ht="15.75" customHeight="1">
      <c r="A664" s="45"/>
      <c r="B664" s="45"/>
      <c r="C664" s="45"/>
      <c r="D664" s="45"/>
      <c r="E664" s="45"/>
      <c r="F664" s="45"/>
      <c r="G664" s="45"/>
    </row>
    <row r="665" ht="15.75" customHeight="1">
      <c r="A665" s="45"/>
      <c r="B665" s="45"/>
      <c r="C665" s="45"/>
      <c r="D665" s="45"/>
      <c r="E665" s="45"/>
      <c r="F665" s="45"/>
      <c r="G665" s="45"/>
    </row>
    <row r="666" ht="15.75" customHeight="1">
      <c r="A666" s="45"/>
      <c r="B666" s="45"/>
      <c r="C666" s="45"/>
      <c r="D666" s="45"/>
      <c r="E666" s="45"/>
      <c r="F666" s="45"/>
      <c r="G666" s="45"/>
    </row>
    <row r="667" ht="15.75" customHeight="1">
      <c r="A667" s="45"/>
      <c r="B667" s="45"/>
      <c r="C667" s="45"/>
      <c r="D667" s="45"/>
      <c r="E667" s="45"/>
      <c r="F667" s="45"/>
      <c r="G667" s="45"/>
    </row>
    <row r="668" ht="15.75" customHeight="1">
      <c r="A668" s="45"/>
      <c r="B668" s="45"/>
      <c r="C668" s="45"/>
      <c r="D668" s="45"/>
      <c r="E668" s="45"/>
      <c r="F668" s="45"/>
      <c r="G668" s="45"/>
    </row>
    <row r="669" ht="15.75" customHeight="1">
      <c r="A669" s="45"/>
      <c r="B669" s="45"/>
      <c r="C669" s="45"/>
      <c r="D669" s="45"/>
      <c r="E669" s="45"/>
      <c r="F669" s="45"/>
      <c r="G669" s="45"/>
    </row>
    <row r="670" ht="15.75" customHeight="1">
      <c r="A670" s="45"/>
      <c r="B670" s="45"/>
      <c r="C670" s="45"/>
      <c r="D670" s="45"/>
      <c r="E670" s="45"/>
      <c r="F670" s="45"/>
      <c r="G670" s="45"/>
    </row>
    <row r="671" ht="15.75" customHeight="1">
      <c r="A671" s="45"/>
      <c r="B671" s="45"/>
      <c r="C671" s="45"/>
      <c r="D671" s="45"/>
      <c r="E671" s="45"/>
      <c r="F671" s="45"/>
      <c r="G671" s="45"/>
    </row>
    <row r="672" ht="15.75" customHeight="1">
      <c r="A672" s="45"/>
      <c r="B672" s="45"/>
      <c r="C672" s="45"/>
      <c r="D672" s="45"/>
      <c r="E672" s="45"/>
      <c r="F672" s="45"/>
      <c r="G672" s="45"/>
    </row>
    <row r="673" ht="15.75" customHeight="1">
      <c r="A673" s="45"/>
      <c r="B673" s="45"/>
      <c r="C673" s="45"/>
      <c r="D673" s="45"/>
      <c r="E673" s="45"/>
      <c r="F673" s="45"/>
      <c r="G673" s="45"/>
    </row>
    <row r="674" ht="15.75" customHeight="1">
      <c r="A674" s="45"/>
      <c r="B674" s="45"/>
      <c r="C674" s="45"/>
      <c r="D674" s="45"/>
      <c r="E674" s="45"/>
      <c r="F674" s="45"/>
      <c r="G674" s="45"/>
    </row>
    <row r="675" ht="15.75" customHeight="1">
      <c r="A675" s="45"/>
      <c r="B675" s="45"/>
      <c r="C675" s="45"/>
      <c r="D675" s="45"/>
      <c r="E675" s="45"/>
      <c r="F675" s="45"/>
      <c r="G675" s="45"/>
    </row>
    <row r="676" ht="15.75" customHeight="1">
      <c r="A676" s="45"/>
      <c r="B676" s="45"/>
      <c r="C676" s="45"/>
      <c r="D676" s="45"/>
      <c r="E676" s="45"/>
      <c r="F676" s="45"/>
      <c r="G676" s="45"/>
    </row>
    <row r="677" ht="15.75" customHeight="1">
      <c r="A677" s="45"/>
      <c r="B677" s="45"/>
      <c r="C677" s="45"/>
      <c r="D677" s="45"/>
      <c r="E677" s="45"/>
      <c r="F677" s="45"/>
      <c r="G677" s="45"/>
    </row>
    <row r="678" ht="15.75" customHeight="1">
      <c r="A678" s="45"/>
      <c r="B678" s="45"/>
      <c r="C678" s="45"/>
      <c r="D678" s="45"/>
      <c r="E678" s="45"/>
      <c r="F678" s="45"/>
      <c r="G678" s="45"/>
    </row>
    <row r="679" ht="15.75" customHeight="1">
      <c r="A679" s="45"/>
      <c r="B679" s="45"/>
      <c r="C679" s="45"/>
      <c r="D679" s="45"/>
      <c r="E679" s="45"/>
      <c r="F679" s="45"/>
      <c r="G679" s="45"/>
    </row>
    <row r="680" ht="15.75" customHeight="1">
      <c r="A680" s="45"/>
      <c r="B680" s="45"/>
      <c r="C680" s="45"/>
      <c r="D680" s="45"/>
      <c r="E680" s="45"/>
      <c r="F680" s="45"/>
      <c r="G680" s="45"/>
    </row>
    <row r="681" ht="15.75" customHeight="1">
      <c r="A681" s="45"/>
      <c r="B681" s="45"/>
      <c r="C681" s="45"/>
      <c r="D681" s="45"/>
      <c r="E681" s="45"/>
      <c r="F681" s="45"/>
      <c r="G681" s="45"/>
    </row>
    <row r="682" ht="15.75" customHeight="1">
      <c r="A682" s="45"/>
      <c r="B682" s="45"/>
      <c r="C682" s="45"/>
      <c r="D682" s="45"/>
      <c r="E682" s="45"/>
      <c r="F682" s="45"/>
      <c r="G682" s="45"/>
    </row>
    <row r="683" ht="15.75" customHeight="1">
      <c r="A683" s="45"/>
      <c r="B683" s="45"/>
      <c r="C683" s="45"/>
      <c r="D683" s="45"/>
      <c r="E683" s="45"/>
      <c r="F683" s="45"/>
      <c r="G683" s="45"/>
    </row>
    <row r="684" ht="15.75" customHeight="1">
      <c r="A684" s="45"/>
      <c r="B684" s="45"/>
      <c r="C684" s="45"/>
      <c r="D684" s="45"/>
      <c r="E684" s="45"/>
      <c r="F684" s="45"/>
      <c r="G684" s="45"/>
    </row>
    <row r="685" ht="15.75" customHeight="1">
      <c r="A685" s="45"/>
      <c r="B685" s="45"/>
      <c r="C685" s="45"/>
      <c r="D685" s="45"/>
      <c r="E685" s="45"/>
      <c r="F685" s="45"/>
      <c r="G685" s="45"/>
    </row>
    <row r="686" ht="15.75" customHeight="1">
      <c r="A686" s="45"/>
      <c r="B686" s="45"/>
      <c r="C686" s="45"/>
      <c r="D686" s="45"/>
      <c r="E686" s="45"/>
      <c r="F686" s="45"/>
      <c r="G686" s="45"/>
    </row>
    <row r="687" ht="15.75" customHeight="1">
      <c r="A687" s="45"/>
      <c r="B687" s="45"/>
      <c r="C687" s="45"/>
      <c r="D687" s="45"/>
      <c r="E687" s="45"/>
      <c r="F687" s="45"/>
      <c r="G687" s="45"/>
    </row>
    <row r="688" ht="15.75" customHeight="1">
      <c r="A688" s="45"/>
      <c r="B688" s="45"/>
      <c r="C688" s="45"/>
      <c r="D688" s="45"/>
      <c r="E688" s="45"/>
      <c r="F688" s="45"/>
      <c r="G688" s="45"/>
    </row>
    <row r="689" ht="15.75" customHeight="1">
      <c r="A689" s="45"/>
      <c r="B689" s="45"/>
      <c r="C689" s="45"/>
      <c r="D689" s="45"/>
      <c r="E689" s="45"/>
      <c r="F689" s="45"/>
      <c r="G689" s="45"/>
    </row>
    <row r="690" ht="15.75" customHeight="1">
      <c r="A690" s="45"/>
      <c r="B690" s="45"/>
      <c r="C690" s="45"/>
      <c r="D690" s="45"/>
      <c r="E690" s="45"/>
      <c r="F690" s="45"/>
      <c r="G690" s="45"/>
    </row>
    <row r="691" ht="15.75" customHeight="1">
      <c r="A691" s="45"/>
      <c r="B691" s="45"/>
      <c r="C691" s="45"/>
      <c r="D691" s="45"/>
      <c r="E691" s="45"/>
      <c r="F691" s="45"/>
      <c r="G691" s="45"/>
    </row>
    <row r="692" ht="15.75" customHeight="1">
      <c r="A692" s="45"/>
      <c r="B692" s="45"/>
      <c r="C692" s="45"/>
      <c r="D692" s="45"/>
      <c r="E692" s="45"/>
      <c r="F692" s="45"/>
      <c r="G692" s="45"/>
    </row>
    <row r="693" ht="15.75" customHeight="1">
      <c r="A693" s="45"/>
      <c r="B693" s="45"/>
      <c r="C693" s="45"/>
      <c r="D693" s="45"/>
      <c r="E693" s="45"/>
      <c r="F693" s="45"/>
      <c r="G693" s="45"/>
    </row>
    <row r="694" ht="15.75" customHeight="1">
      <c r="A694" s="45"/>
      <c r="B694" s="45"/>
      <c r="C694" s="45"/>
      <c r="D694" s="45"/>
      <c r="E694" s="45"/>
      <c r="F694" s="45"/>
      <c r="G694" s="45"/>
    </row>
    <row r="695" ht="15.75" customHeight="1">
      <c r="A695" s="45"/>
      <c r="B695" s="45"/>
      <c r="C695" s="45"/>
      <c r="D695" s="45"/>
      <c r="E695" s="45"/>
      <c r="F695" s="45"/>
      <c r="G695" s="45"/>
    </row>
    <row r="696" ht="15.75" customHeight="1">
      <c r="A696" s="45"/>
      <c r="B696" s="45"/>
      <c r="C696" s="45"/>
      <c r="D696" s="45"/>
      <c r="E696" s="45"/>
      <c r="F696" s="45"/>
      <c r="G696" s="45"/>
    </row>
    <row r="697" ht="15.75" customHeight="1">
      <c r="A697" s="45"/>
      <c r="B697" s="45"/>
      <c r="C697" s="45"/>
      <c r="D697" s="45"/>
      <c r="E697" s="45"/>
      <c r="F697" s="45"/>
      <c r="G697" s="45"/>
    </row>
    <row r="698" ht="15.75" customHeight="1">
      <c r="A698" s="45"/>
      <c r="B698" s="45"/>
      <c r="C698" s="45"/>
      <c r="D698" s="45"/>
      <c r="E698" s="45"/>
      <c r="F698" s="45"/>
      <c r="G698" s="45"/>
    </row>
    <row r="699" ht="15.75" customHeight="1">
      <c r="A699" s="45"/>
      <c r="B699" s="45"/>
      <c r="C699" s="45"/>
      <c r="D699" s="45"/>
      <c r="E699" s="45"/>
      <c r="F699" s="45"/>
      <c r="G699" s="45"/>
    </row>
    <row r="700" ht="15.75" customHeight="1">
      <c r="A700" s="45"/>
      <c r="B700" s="45"/>
      <c r="C700" s="45"/>
      <c r="D700" s="45"/>
      <c r="E700" s="45"/>
      <c r="F700" s="45"/>
      <c r="G700" s="45"/>
    </row>
    <row r="701" ht="15.75" customHeight="1">
      <c r="A701" s="45"/>
      <c r="B701" s="45"/>
      <c r="C701" s="45"/>
      <c r="D701" s="45"/>
      <c r="E701" s="45"/>
      <c r="F701" s="45"/>
      <c r="G701" s="45"/>
    </row>
    <row r="702" ht="15.75" customHeight="1">
      <c r="A702" s="45"/>
      <c r="B702" s="45"/>
      <c r="C702" s="45"/>
      <c r="D702" s="45"/>
      <c r="E702" s="45"/>
      <c r="F702" s="45"/>
      <c r="G702" s="45"/>
    </row>
    <row r="703" ht="15.75" customHeight="1">
      <c r="A703" s="45"/>
      <c r="B703" s="45"/>
      <c r="C703" s="45"/>
      <c r="D703" s="45"/>
      <c r="E703" s="45"/>
      <c r="F703" s="45"/>
      <c r="G703" s="45"/>
    </row>
    <row r="704" ht="15.75" customHeight="1">
      <c r="A704" s="45"/>
      <c r="B704" s="45"/>
      <c r="C704" s="45"/>
      <c r="D704" s="45"/>
      <c r="E704" s="45"/>
      <c r="F704" s="45"/>
      <c r="G704" s="45"/>
    </row>
    <row r="705" ht="15.75" customHeight="1">
      <c r="A705" s="45"/>
      <c r="B705" s="45"/>
      <c r="C705" s="45"/>
      <c r="D705" s="45"/>
      <c r="E705" s="45"/>
      <c r="F705" s="45"/>
      <c r="G705" s="45"/>
    </row>
    <row r="706" ht="15.75" customHeight="1">
      <c r="A706" s="45"/>
      <c r="B706" s="45"/>
      <c r="C706" s="45"/>
      <c r="D706" s="45"/>
      <c r="E706" s="45"/>
      <c r="F706" s="45"/>
      <c r="G706" s="45"/>
    </row>
    <row r="707" ht="15.75" customHeight="1">
      <c r="A707" s="45"/>
      <c r="B707" s="45"/>
      <c r="C707" s="45"/>
      <c r="D707" s="45"/>
      <c r="E707" s="45"/>
      <c r="F707" s="45"/>
      <c r="G707" s="45"/>
    </row>
    <row r="708" ht="15.75" customHeight="1">
      <c r="A708" s="45"/>
      <c r="B708" s="45"/>
      <c r="C708" s="45"/>
      <c r="D708" s="45"/>
      <c r="E708" s="45"/>
      <c r="F708" s="45"/>
      <c r="G708" s="45"/>
    </row>
    <row r="709" ht="15.75" customHeight="1">
      <c r="A709" s="45"/>
      <c r="B709" s="45"/>
      <c r="C709" s="45"/>
      <c r="D709" s="45"/>
      <c r="E709" s="45"/>
      <c r="F709" s="45"/>
      <c r="G709" s="45"/>
    </row>
    <row r="710" ht="15.75" customHeight="1">
      <c r="A710" s="45"/>
      <c r="B710" s="45"/>
      <c r="C710" s="45"/>
      <c r="D710" s="45"/>
      <c r="E710" s="45"/>
      <c r="F710" s="45"/>
      <c r="G710" s="45"/>
    </row>
    <row r="711" ht="15.75" customHeight="1">
      <c r="A711" s="45"/>
      <c r="B711" s="45"/>
      <c r="C711" s="45"/>
      <c r="D711" s="45"/>
      <c r="E711" s="45"/>
      <c r="F711" s="45"/>
      <c r="G711" s="45"/>
    </row>
    <row r="712" ht="15.75" customHeight="1">
      <c r="A712" s="45"/>
      <c r="B712" s="45"/>
      <c r="C712" s="45"/>
      <c r="D712" s="45"/>
      <c r="E712" s="45"/>
      <c r="F712" s="45"/>
      <c r="G712" s="45"/>
    </row>
    <row r="713" ht="15.75" customHeight="1">
      <c r="A713" s="45"/>
      <c r="B713" s="45"/>
      <c r="C713" s="45"/>
      <c r="D713" s="45"/>
      <c r="E713" s="45"/>
      <c r="F713" s="45"/>
      <c r="G713" s="45"/>
    </row>
    <row r="714" ht="15.75" customHeight="1">
      <c r="A714" s="45"/>
      <c r="B714" s="45"/>
      <c r="C714" s="45"/>
      <c r="D714" s="45"/>
      <c r="E714" s="45"/>
      <c r="F714" s="45"/>
      <c r="G714" s="45"/>
    </row>
    <row r="715" ht="15.75" customHeight="1">
      <c r="A715" s="45"/>
      <c r="B715" s="45"/>
      <c r="C715" s="45"/>
      <c r="D715" s="45"/>
      <c r="E715" s="45"/>
      <c r="F715" s="45"/>
      <c r="G715" s="45"/>
    </row>
    <row r="716" ht="15.75" customHeight="1">
      <c r="A716" s="45"/>
      <c r="B716" s="45"/>
      <c r="C716" s="45"/>
      <c r="D716" s="45"/>
      <c r="E716" s="45"/>
      <c r="F716" s="45"/>
      <c r="G716" s="45"/>
    </row>
    <row r="717" ht="15.75" customHeight="1">
      <c r="A717" s="45"/>
      <c r="B717" s="45"/>
      <c r="C717" s="45"/>
      <c r="D717" s="45"/>
      <c r="E717" s="45"/>
      <c r="F717" s="45"/>
      <c r="G717" s="45"/>
    </row>
    <row r="718" ht="15.75" customHeight="1">
      <c r="A718" s="45"/>
      <c r="B718" s="45"/>
      <c r="C718" s="45"/>
      <c r="D718" s="45"/>
      <c r="E718" s="45"/>
      <c r="F718" s="45"/>
      <c r="G718" s="45"/>
    </row>
    <row r="719" ht="15.75" customHeight="1">
      <c r="A719" s="45"/>
      <c r="B719" s="45"/>
      <c r="C719" s="45"/>
      <c r="D719" s="45"/>
      <c r="E719" s="45"/>
      <c r="F719" s="45"/>
      <c r="G719" s="45"/>
    </row>
    <row r="720" ht="15.75" customHeight="1">
      <c r="A720" s="45"/>
      <c r="B720" s="45"/>
      <c r="C720" s="45"/>
      <c r="D720" s="45"/>
      <c r="E720" s="45"/>
      <c r="F720" s="45"/>
      <c r="G720" s="45"/>
    </row>
    <row r="721" ht="15.75" customHeight="1">
      <c r="A721" s="45"/>
      <c r="B721" s="45"/>
      <c r="C721" s="45"/>
      <c r="D721" s="45"/>
      <c r="E721" s="45"/>
      <c r="F721" s="45"/>
      <c r="G721" s="45"/>
    </row>
    <row r="722" ht="15.75" customHeight="1">
      <c r="A722" s="45"/>
      <c r="B722" s="45"/>
      <c r="C722" s="45"/>
      <c r="D722" s="45"/>
      <c r="E722" s="45"/>
      <c r="F722" s="45"/>
      <c r="G722" s="45"/>
    </row>
    <row r="723" ht="15.75" customHeight="1">
      <c r="A723" s="45"/>
      <c r="B723" s="45"/>
      <c r="C723" s="45"/>
      <c r="D723" s="45"/>
      <c r="E723" s="45"/>
      <c r="F723" s="45"/>
      <c r="G723" s="45"/>
    </row>
    <row r="724" ht="15.75" customHeight="1">
      <c r="A724" s="45"/>
      <c r="B724" s="45"/>
      <c r="C724" s="45"/>
      <c r="D724" s="45"/>
      <c r="E724" s="45"/>
      <c r="F724" s="45"/>
      <c r="G724" s="45"/>
    </row>
    <row r="725" ht="15.75" customHeight="1">
      <c r="A725" s="45"/>
      <c r="B725" s="45"/>
      <c r="C725" s="45"/>
      <c r="D725" s="45"/>
      <c r="E725" s="45"/>
      <c r="F725" s="45"/>
      <c r="G725" s="45"/>
    </row>
    <row r="726" ht="15.75" customHeight="1">
      <c r="A726" s="45"/>
      <c r="B726" s="45"/>
      <c r="C726" s="45"/>
      <c r="D726" s="45"/>
      <c r="E726" s="45"/>
      <c r="F726" s="45"/>
      <c r="G726" s="45"/>
    </row>
    <row r="727" ht="15.75" customHeight="1">
      <c r="A727" s="45"/>
      <c r="B727" s="45"/>
      <c r="C727" s="45"/>
      <c r="D727" s="45"/>
      <c r="E727" s="45"/>
      <c r="F727" s="45"/>
      <c r="G727" s="45"/>
    </row>
    <row r="728" ht="15.75" customHeight="1">
      <c r="A728" s="45"/>
      <c r="B728" s="45"/>
      <c r="C728" s="45"/>
      <c r="D728" s="45"/>
      <c r="E728" s="45"/>
      <c r="F728" s="45"/>
      <c r="G728" s="45"/>
    </row>
    <row r="729" ht="15.75" customHeight="1">
      <c r="A729" s="45"/>
      <c r="B729" s="45"/>
      <c r="C729" s="45"/>
      <c r="D729" s="45"/>
      <c r="E729" s="45"/>
      <c r="F729" s="45"/>
      <c r="G729" s="45"/>
    </row>
    <row r="730" ht="15.75" customHeight="1">
      <c r="A730" s="45"/>
      <c r="B730" s="45"/>
      <c r="C730" s="45"/>
      <c r="D730" s="45"/>
      <c r="E730" s="45"/>
      <c r="F730" s="45"/>
      <c r="G730" s="45"/>
    </row>
    <row r="731" ht="15.75" customHeight="1">
      <c r="A731" s="45"/>
      <c r="B731" s="45"/>
      <c r="C731" s="45"/>
      <c r="D731" s="45"/>
      <c r="E731" s="45"/>
      <c r="F731" s="45"/>
      <c r="G731" s="45"/>
    </row>
    <row r="732" ht="15.75" customHeight="1">
      <c r="A732" s="45"/>
      <c r="B732" s="45"/>
      <c r="C732" s="45"/>
      <c r="D732" s="45"/>
      <c r="E732" s="45"/>
      <c r="F732" s="45"/>
      <c r="G732" s="45"/>
    </row>
    <row r="733" ht="15.75" customHeight="1">
      <c r="A733" s="45"/>
      <c r="B733" s="45"/>
      <c r="C733" s="45"/>
      <c r="D733" s="45"/>
      <c r="E733" s="45"/>
      <c r="F733" s="45"/>
      <c r="G733" s="45"/>
    </row>
    <row r="734" ht="15.75" customHeight="1">
      <c r="A734" s="45"/>
      <c r="B734" s="45"/>
      <c r="C734" s="45"/>
      <c r="D734" s="45"/>
      <c r="E734" s="45"/>
      <c r="F734" s="45"/>
      <c r="G734" s="45"/>
    </row>
    <row r="735" ht="15.75" customHeight="1">
      <c r="A735" s="45"/>
      <c r="B735" s="45"/>
      <c r="C735" s="45"/>
      <c r="D735" s="45"/>
      <c r="E735" s="45"/>
      <c r="F735" s="45"/>
      <c r="G735" s="45"/>
    </row>
    <row r="736" ht="15.75" customHeight="1">
      <c r="A736" s="45"/>
      <c r="B736" s="45"/>
      <c r="C736" s="45"/>
      <c r="D736" s="45"/>
      <c r="E736" s="45"/>
      <c r="F736" s="45"/>
      <c r="G736" s="45"/>
    </row>
    <row r="737" ht="15.75" customHeight="1">
      <c r="A737" s="45"/>
      <c r="B737" s="45"/>
      <c r="C737" s="45"/>
      <c r="D737" s="45"/>
      <c r="E737" s="45"/>
      <c r="F737" s="45"/>
      <c r="G737" s="45"/>
    </row>
    <row r="738" ht="15.75" customHeight="1">
      <c r="A738" s="45"/>
      <c r="B738" s="45"/>
      <c r="C738" s="45"/>
      <c r="D738" s="45"/>
      <c r="E738" s="45"/>
      <c r="F738" s="45"/>
      <c r="G738" s="45"/>
    </row>
    <row r="739" ht="15.75" customHeight="1">
      <c r="A739" s="45"/>
      <c r="B739" s="45"/>
      <c r="C739" s="45"/>
      <c r="D739" s="45"/>
      <c r="E739" s="45"/>
      <c r="F739" s="45"/>
      <c r="G739" s="45"/>
    </row>
    <row r="740" ht="15.75" customHeight="1">
      <c r="A740" s="45"/>
      <c r="B740" s="45"/>
      <c r="C740" s="45"/>
      <c r="D740" s="45"/>
      <c r="E740" s="45"/>
      <c r="F740" s="45"/>
      <c r="G740" s="45"/>
    </row>
    <row r="741" ht="15.75" customHeight="1">
      <c r="A741" s="45"/>
      <c r="B741" s="45"/>
      <c r="C741" s="45"/>
      <c r="D741" s="45"/>
      <c r="E741" s="45"/>
      <c r="F741" s="45"/>
      <c r="G741" s="45"/>
    </row>
    <row r="742" ht="15.75" customHeight="1">
      <c r="A742" s="45"/>
      <c r="B742" s="45"/>
      <c r="C742" s="45"/>
      <c r="D742" s="45"/>
      <c r="E742" s="45"/>
      <c r="F742" s="45"/>
      <c r="G742" s="45"/>
    </row>
    <row r="743" ht="15.75" customHeight="1">
      <c r="A743" s="45"/>
      <c r="B743" s="45"/>
      <c r="C743" s="45"/>
      <c r="D743" s="45"/>
      <c r="E743" s="45"/>
      <c r="F743" s="45"/>
      <c r="G743" s="45"/>
    </row>
    <row r="744" ht="15.75" customHeight="1">
      <c r="A744" s="45"/>
      <c r="B744" s="45"/>
      <c r="C744" s="45"/>
      <c r="D744" s="45"/>
      <c r="E744" s="45"/>
      <c r="F744" s="45"/>
      <c r="G744" s="45"/>
    </row>
    <row r="745" ht="15.75" customHeight="1">
      <c r="A745" s="45"/>
      <c r="B745" s="45"/>
      <c r="C745" s="45"/>
      <c r="D745" s="45"/>
      <c r="E745" s="45"/>
      <c r="F745" s="45"/>
      <c r="G745" s="45"/>
    </row>
    <row r="746" ht="15.75" customHeight="1">
      <c r="A746" s="45"/>
      <c r="B746" s="45"/>
      <c r="C746" s="45"/>
      <c r="D746" s="45"/>
      <c r="E746" s="45"/>
      <c r="F746" s="45"/>
      <c r="G746" s="45"/>
    </row>
    <row r="747" ht="15.75" customHeight="1">
      <c r="A747" s="45"/>
      <c r="B747" s="45"/>
      <c r="C747" s="45"/>
      <c r="D747" s="45"/>
      <c r="E747" s="45"/>
      <c r="F747" s="45"/>
      <c r="G747" s="45"/>
    </row>
    <row r="748" ht="15.75" customHeight="1">
      <c r="A748" s="45"/>
      <c r="B748" s="45"/>
      <c r="C748" s="45"/>
      <c r="D748" s="45"/>
      <c r="E748" s="45"/>
      <c r="F748" s="45"/>
      <c r="G748" s="45"/>
    </row>
    <row r="749" ht="15.75" customHeight="1">
      <c r="A749" s="45"/>
      <c r="B749" s="45"/>
      <c r="C749" s="45"/>
      <c r="D749" s="45"/>
      <c r="E749" s="45"/>
      <c r="F749" s="45"/>
      <c r="G749" s="45"/>
    </row>
    <row r="750" ht="15.75" customHeight="1">
      <c r="A750" s="45"/>
      <c r="B750" s="45"/>
      <c r="C750" s="45"/>
      <c r="D750" s="45"/>
      <c r="E750" s="45"/>
      <c r="F750" s="45"/>
      <c r="G750" s="45"/>
    </row>
    <row r="751" ht="15.75" customHeight="1">
      <c r="A751" s="45"/>
      <c r="B751" s="45"/>
      <c r="C751" s="45"/>
      <c r="D751" s="45"/>
      <c r="E751" s="45"/>
      <c r="F751" s="45"/>
      <c r="G751" s="45"/>
    </row>
    <row r="752" ht="15.75" customHeight="1">
      <c r="A752" s="45"/>
      <c r="B752" s="45"/>
      <c r="C752" s="45"/>
      <c r="D752" s="45"/>
      <c r="E752" s="45"/>
      <c r="F752" s="45"/>
      <c r="G752" s="45"/>
    </row>
    <row r="753" ht="15.75" customHeight="1">
      <c r="A753" s="45"/>
      <c r="B753" s="45"/>
      <c r="C753" s="45"/>
      <c r="D753" s="45"/>
      <c r="E753" s="45"/>
      <c r="F753" s="45"/>
      <c r="G753" s="45"/>
    </row>
    <row r="754" ht="15.75" customHeight="1">
      <c r="A754" s="45"/>
      <c r="B754" s="45"/>
      <c r="C754" s="45"/>
      <c r="D754" s="45"/>
      <c r="E754" s="45"/>
      <c r="F754" s="45"/>
      <c r="G754" s="45"/>
    </row>
    <row r="755" ht="15.75" customHeight="1">
      <c r="A755" s="45"/>
      <c r="B755" s="45"/>
      <c r="C755" s="45"/>
      <c r="D755" s="45"/>
      <c r="E755" s="45"/>
      <c r="F755" s="45"/>
      <c r="G755" s="45"/>
    </row>
    <row r="756" ht="15.75" customHeight="1">
      <c r="A756" s="45"/>
      <c r="B756" s="45"/>
      <c r="C756" s="45"/>
      <c r="D756" s="45"/>
      <c r="E756" s="45"/>
      <c r="F756" s="45"/>
      <c r="G756" s="45"/>
    </row>
    <row r="757" ht="15.75" customHeight="1">
      <c r="A757" s="45"/>
      <c r="B757" s="45"/>
      <c r="C757" s="45"/>
      <c r="D757" s="45"/>
      <c r="E757" s="45"/>
      <c r="F757" s="45"/>
      <c r="G757" s="45"/>
    </row>
    <row r="758" ht="15.75" customHeight="1">
      <c r="A758" s="45"/>
      <c r="B758" s="45"/>
      <c r="C758" s="45"/>
      <c r="D758" s="45"/>
      <c r="E758" s="45"/>
      <c r="F758" s="45"/>
      <c r="G758" s="45"/>
    </row>
    <row r="759" ht="15.75" customHeight="1">
      <c r="A759" s="45"/>
      <c r="B759" s="45"/>
      <c r="C759" s="45"/>
      <c r="D759" s="45"/>
      <c r="E759" s="45"/>
      <c r="F759" s="45"/>
      <c r="G759" s="45"/>
    </row>
    <row r="760" ht="15.75" customHeight="1">
      <c r="A760" s="45"/>
      <c r="B760" s="45"/>
      <c r="C760" s="45"/>
      <c r="D760" s="45"/>
      <c r="E760" s="45"/>
      <c r="F760" s="45"/>
      <c r="G760" s="45"/>
    </row>
    <row r="761" ht="15.75" customHeight="1">
      <c r="A761" s="45"/>
      <c r="B761" s="45"/>
      <c r="C761" s="45"/>
      <c r="D761" s="45"/>
      <c r="E761" s="45"/>
      <c r="F761" s="45"/>
      <c r="G761" s="45"/>
    </row>
    <row r="762" ht="15.75" customHeight="1">
      <c r="A762" s="45"/>
      <c r="B762" s="45"/>
      <c r="C762" s="45"/>
      <c r="D762" s="45"/>
      <c r="E762" s="45"/>
      <c r="F762" s="45"/>
      <c r="G762" s="45"/>
    </row>
    <row r="763" ht="15.75" customHeight="1">
      <c r="A763" s="45"/>
      <c r="B763" s="45"/>
      <c r="C763" s="45"/>
      <c r="D763" s="45"/>
      <c r="E763" s="45"/>
      <c r="F763" s="45"/>
      <c r="G763" s="45"/>
    </row>
    <row r="764" ht="15.75" customHeight="1">
      <c r="A764" s="45"/>
      <c r="B764" s="45"/>
      <c r="C764" s="45"/>
      <c r="D764" s="45"/>
      <c r="E764" s="45"/>
      <c r="F764" s="45"/>
      <c r="G764" s="45"/>
    </row>
    <row r="765" ht="15.75" customHeight="1">
      <c r="A765" s="45"/>
      <c r="B765" s="45"/>
      <c r="C765" s="45"/>
      <c r="D765" s="45"/>
      <c r="E765" s="45"/>
      <c r="F765" s="45"/>
      <c r="G765" s="45"/>
    </row>
    <row r="766" ht="15.75" customHeight="1">
      <c r="A766" s="45"/>
      <c r="B766" s="45"/>
      <c r="C766" s="45"/>
      <c r="D766" s="45"/>
      <c r="E766" s="45"/>
      <c r="F766" s="45"/>
      <c r="G766" s="45"/>
    </row>
    <row r="767" ht="15.75" customHeight="1">
      <c r="A767" s="45"/>
      <c r="B767" s="45"/>
      <c r="C767" s="45"/>
      <c r="D767" s="45"/>
      <c r="E767" s="45"/>
      <c r="F767" s="45"/>
      <c r="G767" s="45"/>
    </row>
    <row r="768" ht="15.75" customHeight="1">
      <c r="A768" s="45"/>
      <c r="B768" s="45"/>
      <c r="C768" s="45"/>
      <c r="D768" s="45"/>
      <c r="E768" s="45"/>
      <c r="F768" s="45"/>
      <c r="G768" s="45"/>
    </row>
    <row r="769" ht="15.75" customHeight="1">
      <c r="A769" s="45"/>
      <c r="B769" s="45"/>
      <c r="C769" s="45"/>
      <c r="D769" s="45"/>
      <c r="E769" s="45"/>
      <c r="F769" s="45"/>
      <c r="G769" s="45"/>
    </row>
    <row r="770" ht="15.75" customHeight="1">
      <c r="A770" s="45"/>
      <c r="B770" s="45"/>
      <c r="C770" s="45"/>
      <c r="D770" s="45"/>
      <c r="E770" s="45"/>
      <c r="F770" s="45"/>
      <c r="G770" s="45"/>
    </row>
    <row r="771" ht="15.75" customHeight="1">
      <c r="A771" s="45"/>
      <c r="B771" s="45"/>
      <c r="C771" s="45"/>
      <c r="D771" s="45"/>
      <c r="E771" s="45"/>
      <c r="F771" s="45"/>
      <c r="G771" s="45"/>
    </row>
    <row r="772" ht="15.75" customHeight="1">
      <c r="A772" s="45"/>
      <c r="B772" s="45"/>
      <c r="C772" s="45"/>
      <c r="D772" s="45"/>
      <c r="E772" s="45"/>
      <c r="F772" s="45"/>
      <c r="G772" s="45"/>
    </row>
    <row r="773" ht="15.75" customHeight="1">
      <c r="A773" s="45"/>
      <c r="B773" s="45"/>
      <c r="C773" s="45"/>
      <c r="D773" s="45"/>
      <c r="E773" s="45"/>
      <c r="F773" s="45"/>
      <c r="G773" s="45"/>
    </row>
    <row r="774" ht="15.75" customHeight="1">
      <c r="A774" s="45"/>
      <c r="B774" s="45"/>
      <c r="C774" s="45"/>
      <c r="D774" s="45"/>
      <c r="E774" s="45"/>
      <c r="F774" s="45"/>
      <c r="G774" s="45"/>
    </row>
    <row r="775" ht="15.75" customHeight="1">
      <c r="A775" s="45"/>
      <c r="B775" s="45"/>
      <c r="C775" s="45"/>
      <c r="D775" s="45"/>
      <c r="E775" s="45"/>
      <c r="F775" s="45"/>
      <c r="G775" s="45"/>
    </row>
    <row r="776" ht="15.75" customHeight="1">
      <c r="A776" s="45"/>
      <c r="B776" s="45"/>
      <c r="C776" s="45"/>
      <c r="D776" s="45"/>
      <c r="E776" s="45"/>
      <c r="F776" s="45"/>
      <c r="G776" s="45"/>
    </row>
    <row r="777" ht="15.75" customHeight="1">
      <c r="A777" s="45"/>
      <c r="B777" s="45"/>
      <c r="C777" s="45"/>
      <c r="D777" s="45"/>
      <c r="E777" s="45"/>
      <c r="F777" s="45"/>
      <c r="G777" s="45"/>
    </row>
    <row r="778" ht="15.75" customHeight="1">
      <c r="A778" s="45"/>
      <c r="B778" s="45"/>
      <c r="C778" s="45"/>
      <c r="D778" s="45"/>
      <c r="E778" s="45"/>
      <c r="F778" s="45"/>
      <c r="G778" s="45"/>
    </row>
    <row r="779" ht="15.75" customHeight="1">
      <c r="A779" s="45"/>
      <c r="B779" s="45"/>
      <c r="C779" s="45"/>
      <c r="D779" s="45"/>
      <c r="E779" s="45"/>
      <c r="F779" s="45"/>
      <c r="G779" s="45"/>
    </row>
    <row r="780" ht="15.75" customHeight="1">
      <c r="A780" s="45"/>
      <c r="B780" s="45"/>
      <c r="C780" s="45"/>
      <c r="D780" s="45"/>
      <c r="E780" s="45"/>
      <c r="F780" s="45"/>
      <c r="G780" s="45"/>
    </row>
    <row r="781" ht="15.75" customHeight="1">
      <c r="A781" s="45"/>
      <c r="B781" s="45"/>
      <c r="C781" s="45"/>
      <c r="D781" s="45"/>
      <c r="E781" s="45"/>
      <c r="F781" s="45"/>
      <c r="G781" s="45"/>
    </row>
    <row r="782" ht="15.75" customHeight="1">
      <c r="A782" s="45"/>
      <c r="B782" s="45"/>
      <c r="C782" s="45"/>
      <c r="D782" s="45"/>
      <c r="E782" s="45"/>
      <c r="F782" s="45"/>
      <c r="G782" s="45"/>
    </row>
    <row r="783" ht="15.75" customHeight="1">
      <c r="A783" s="45"/>
      <c r="B783" s="45"/>
      <c r="C783" s="45"/>
      <c r="D783" s="45"/>
      <c r="E783" s="45"/>
      <c r="F783" s="45"/>
      <c r="G783" s="45"/>
    </row>
    <row r="784" ht="15.75" customHeight="1">
      <c r="A784" s="45"/>
      <c r="B784" s="45"/>
      <c r="C784" s="45"/>
      <c r="D784" s="45"/>
      <c r="E784" s="45"/>
      <c r="F784" s="45"/>
      <c r="G784" s="45"/>
    </row>
    <row r="785" ht="15.75" customHeight="1">
      <c r="A785" s="45"/>
      <c r="B785" s="45"/>
      <c r="C785" s="45"/>
      <c r="D785" s="45"/>
      <c r="E785" s="45"/>
      <c r="F785" s="45"/>
      <c r="G785" s="45"/>
    </row>
    <row r="786" ht="15.75" customHeight="1">
      <c r="A786" s="45"/>
      <c r="B786" s="45"/>
      <c r="C786" s="45"/>
      <c r="D786" s="45"/>
      <c r="E786" s="45"/>
      <c r="F786" s="45"/>
      <c r="G786" s="45"/>
    </row>
    <row r="787" ht="15.75" customHeight="1">
      <c r="A787" s="45"/>
      <c r="B787" s="45"/>
      <c r="C787" s="45"/>
      <c r="D787" s="45"/>
      <c r="E787" s="45"/>
      <c r="F787" s="45"/>
      <c r="G787" s="45"/>
    </row>
    <row r="788" ht="15.75" customHeight="1">
      <c r="A788" s="45"/>
      <c r="B788" s="45"/>
      <c r="C788" s="45"/>
      <c r="D788" s="45"/>
      <c r="E788" s="45"/>
      <c r="F788" s="45"/>
      <c r="G788" s="45"/>
    </row>
    <row r="789" ht="15.75" customHeight="1">
      <c r="A789" s="45"/>
      <c r="B789" s="45"/>
      <c r="C789" s="45"/>
      <c r="D789" s="45"/>
      <c r="E789" s="45"/>
      <c r="F789" s="45"/>
      <c r="G789" s="45"/>
    </row>
    <row r="790" ht="15.75" customHeight="1">
      <c r="A790" s="45"/>
      <c r="B790" s="45"/>
      <c r="C790" s="45"/>
      <c r="D790" s="45"/>
      <c r="E790" s="45"/>
      <c r="F790" s="45"/>
      <c r="G790" s="45"/>
    </row>
    <row r="791" ht="15.75" customHeight="1">
      <c r="A791" s="45"/>
      <c r="B791" s="45"/>
      <c r="C791" s="45"/>
      <c r="D791" s="45"/>
      <c r="E791" s="45"/>
      <c r="F791" s="45"/>
      <c r="G791" s="45"/>
    </row>
    <row r="792" ht="15.75" customHeight="1">
      <c r="A792" s="45"/>
      <c r="B792" s="45"/>
      <c r="C792" s="45"/>
      <c r="D792" s="45"/>
      <c r="E792" s="45"/>
      <c r="F792" s="45"/>
      <c r="G792" s="45"/>
    </row>
    <row r="793" ht="15.75" customHeight="1">
      <c r="A793" s="45"/>
      <c r="B793" s="45"/>
      <c r="C793" s="45"/>
      <c r="D793" s="45"/>
      <c r="E793" s="45"/>
      <c r="F793" s="45"/>
      <c r="G793" s="45"/>
    </row>
    <row r="794" ht="15.75" customHeight="1">
      <c r="A794" s="45"/>
      <c r="B794" s="45"/>
      <c r="C794" s="45"/>
      <c r="D794" s="45"/>
      <c r="E794" s="45"/>
      <c r="F794" s="45"/>
      <c r="G794" s="45"/>
    </row>
    <row r="795" ht="15.75" customHeight="1">
      <c r="A795" s="45"/>
      <c r="B795" s="45"/>
      <c r="C795" s="45"/>
      <c r="D795" s="45"/>
      <c r="E795" s="45"/>
      <c r="F795" s="45"/>
      <c r="G795" s="45"/>
    </row>
    <row r="796" ht="15.75" customHeight="1">
      <c r="A796" s="45"/>
      <c r="B796" s="45"/>
      <c r="C796" s="45"/>
      <c r="D796" s="45"/>
      <c r="E796" s="45"/>
      <c r="F796" s="45"/>
      <c r="G796" s="45"/>
    </row>
    <row r="797" ht="15.75" customHeight="1">
      <c r="A797" s="45"/>
      <c r="B797" s="45"/>
      <c r="C797" s="45"/>
      <c r="D797" s="45"/>
      <c r="E797" s="45"/>
      <c r="F797" s="45"/>
      <c r="G797" s="45"/>
    </row>
    <row r="798" ht="15.75" customHeight="1">
      <c r="A798" s="45"/>
      <c r="B798" s="45"/>
      <c r="C798" s="45"/>
      <c r="D798" s="45"/>
      <c r="E798" s="45"/>
      <c r="F798" s="45"/>
      <c r="G798" s="45"/>
    </row>
    <row r="799" ht="15.75" customHeight="1">
      <c r="A799" s="45"/>
      <c r="B799" s="45"/>
      <c r="C799" s="45"/>
      <c r="D799" s="45"/>
      <c r="E799" s="45"/>
      <c r="F799" s="45"/>
      <c r="G799" s="45"/>
    </row>
    <row r="800" ht="15.75" customHeight="1">
      <c r="A800" s="45"/>
      <c r="B800" s="45"/>
      <c r="C800" s="45"/>
      <c r="D800" s="45"/>
      <c r="E800" s="45"/>
      <c r="F800" s="45"/>
      <c r="G800" s="45"/>
    </row>
    <row r="801" ht="15.75" customHeight="1">
      <c r="A801" s="45"/>
      <c r="B801" s="45"/>
      <c r="C801" s="45"/>
      <c r="D801" s="45"/>
      <c r="E801" s="45"/>
      <c r="F801" s="45"/>
      <c r="G801" s="45"/>
    </row>
    <row r="802" ht="15.75" customHeight="1">
      <c r="A802" s="45"/>
      <c r="B802" s="45"/>
      <c r="C802" s="45"/>
      <c r="D802" s="45"/>
      <c r="E802" s="45"/>
      <c r="F802" s="45"/>
      <c r="G802" s="45"/>
    </row>
    <row r="803" ht="15.75" customHeight="1">
      <c r="A803" s="45"/>
      <c r="B803" s="45"/>
      <c r="C803" s="45"/>
      <c r="D803" s="45"/>
      <c r="E803" s="45"/>
      <c r="F803" s="45"/>
      <c r="G803" s="45"/>
    </row>
    <row r="804" ht="15.75" customHeight="1">
      <c r="A804" s="45"/>
      <c r="B804" s="45"/>
      <c r="C804" s="45"/>
      <c r="D804" s="45"/>
      <c r="E804" s="45"/>
      <c r="F804" s="45"/>
      <c r="G804" s="45"/>
    </row>
    <row r="805" ht="15.75" customHeight="1">
      <c r="A805" s="45"/>
      <c r="B805" s="45"/>
      <c r="C805" s="45"/>
      <c r="D805" s="45"/>
      <c r="E805" s="45"/>
      <c r="F805" s="45"/>
      <c r="G805" s="45"/>
    </row>
    <row r="806" ht="15.75" customHeight="1">
      <c r="A806" s="45"/>
      <c r="B806" s="45"/>
      <c r="C806" s="45"/>
      <c r="D806" s="45"/>
      <c r="E806" s="45"/>
      <c r="F806" s="45"/>
      <c r="G806" s="45"/>
    </row>
    <row r="807" ht="15.75" customHeight="1">
      <c r="A807" s="45"/>
      <c r="B807" s="45"/>
      <c r="C807" s="45"/>
      <c r="D807" s="45"/>
      <c r="E807" s="45"/>
      <c r="F807" s="45"/>
      <c r="G807" s="45"/>
    </row>
    <row r="808" ht="15.75" customHeight="1">
      <c r="A808" s="45"/>
      <c r="B808" s="45"/>
      <c r="C808" s="45"/>
      <c r="D808" s="45"/>
      <c r="E808" s="45"/>
      <c r="F808" s="45"/>
      <c r="G808" s="45"/>
    </row>
    <row r="809" ht="15.75" customHeight="1">
      <c r="A809" s="45"/>
      <c r="B809" s="45"/>
      <c r="C809" s="45"/>
      <c r="D809" s="45"/>
      <c r="E809" s="45"/>
      <c r="F809" s="45"/>
      <c r="G809" s="45"/>
    </row>
    <row r="810" ht="15.75" customHeight="1">
      <c r="A810" s="45"/>
      <c r="B810" s="45"/>
      <c r="C810" s="45"/>
      <c r="D810" s="45"/>
      <c r="E810" s="45"/>
      <c r="F810" s="45"/>
      <c r="G810" s="45"/>
    </row>
    <row r="811" ht="15.75" customHeight="1">
      <c r="A811" s="45"/>
      <c r="B811" s="45"/>
      <c r="C811" s="45"/>
      <c r="D811" s="45"/>
      <c r="E811" s="45"/>
      <c r="F811" s="45"/>
      <c r="G811" s="45"/>
    </row>
    <row r="812" ht="15.75" customHeight="1">
      <c r="A812" s="45"/>
      <c r="B812" s="45"/>
      <c r="C812" s="45"/>
      <c r="D812" s="45"/>
      <c r="E812" s="45"/>
      <c r="F812" s="45"/>
      <c r="G812" s="45"/>
    </row>
    <row r="813" ht="15.75" customHeight="1">
      <c r="A813" s="45"/>
      <c r="B813" s="45"/>
      <c r="C813" s="45"/>
      <c r="D813" s="45"/>
      <c r="E813" s="45"/>
      <c r="F813" s="45"/>
      <c r="G813" s="45"/>
    </row>
    <row r="814" ht="15.75" customHeight="1">
      <c r="A814" s="45"/>
      <c r="B814" s="45"/>
      <c r="C814" s="45"/>
      <c r="D814" s="45"/>
      <c r="E814" s="45"/>
      <c r="F814" s="45"/>
      <c r="G814" s="45"/>
    </row>
    <row r="815" ht="15.75" customHeight="1">
      <c r="A815" s="45"/>
      <c r="B815" s="45"/>
      <c r="C815" s="45"/>
      <c r="D815" s="45"/>
      <c r="E815" s="45"/>
      <c r="F815" s="45"/>
      <c r="G815" s="45"/>
    </row>
    <row r="816" ht="15.75" customHeight="1">
      <c r="A816" s="45"/>
      <c r="B816" s="45"/>
      <c r="C816" s="45"/>
      <c r="D816" s="45"/>
      <c r="E816" s="45"/>
      <c r="F816" s="45"/>
      <c r="G816" s="45"/>
    </row>
    <row r="817" ht="15.75" customHeight="1">
      <c r="A817" s="45"/>
      <c r="B817" s="45"/>
      <c r="C817" s="45"/>
      <c r="D817" s="45"/>
      <c r="E817" s="45"/>
      <c r="F817" s="45"/>
      <c r="G817" s="45"/>
    </row>
    <row r="818" ht="15.75" customHeight="1">
      <c r="A818" s="45"/>
      <c r="B818" s="45"/>
      <c r="C818" s="45"/>
      <c r="D818" s="45"/>
      <c r="E818" s="45"/>
      <c r="F818" s="45"/>
      <c r="G818" s="45"/>
    </row>
    <row r="819" ht="15.75" customHeight="1">
      <c r="A819" s="45"/>
      <c r="B819" s="45"/>
      <c r="C819" s="45"/>
      <c r="D819" s="45"/>
      <c r="E819" s="45"/>
      <c r="F819" s="45"/>
      <c r="G819" s="45"/>
    </row>
    <row r="820" ht="15.75" customHeight="1">
      <c r="A820" s="45"/>
      <c r="B820" s="45"/>
      <c r="C820" s="45"/>
      <c r="D820" s="45"/>
      <c r="E820" s="45"/>
      <c r="F820" s="45"/>
      <c r="G820" s="45"/>
    </row>
    <row r="821" ht="15.75" customHeight="1">
      <c r="A821" s="45"/>
      <c r="B821" s="45"/>
      <c r="C821" s="45"/>
      <c r="D821" s="45"/>
      <c r="E821" s="45"/>
      <c r="F821" s="45"/>
      <c r="G821" s="45"/>
    </row>
    <row r="822" ht="15.75" customHeight="1">
      <c r="A822" s="45"/>
      <c r="B822" s="45"/>
      <c r="C822" s="45"/>
      <c r="D822" s="45"/>
      <c r="E822" s="45"/>
      <c r="F822" s="45"/>
      <c r="G822" s="45"/>
    </row>
    <row r="823" ht="15.75" customHeight="1">
      <c r="A823" s="45"/>
      <c r="B823" s="45"/>
      <c r="C823" s="45"/>
      <c r="D823" s="45"/>
      <c r="E823" s="45"/>
      <c r="F823" s="45"/>
      <c r="G823" s="45"/>
    </row>
    <row r="824" ht="15.75" customHeight="1">
      <c r="A824" s="45"/>
      <c r="B824" s="45"/>
      <c r="C824" s="45"/>
      <c r="D824" s="45"/>
      <c r="E824" s="45"/>
      <c r="F824" s="45"/>
      <c r="G824" s="45"/>
    </row>
    <row r="825" ht="15.75" customHeight="1">
      <c r="A825" s="45"/>
      <c r="B825" s="45"/>
      <c r="C825" s="45"/>
      <c r="D825" s="45"/>
      <c r="E825" s="45"/>
      <c r="F825" s="45"/>
      <c r="G825" s="45"/>
    </row>
    <row r="826" ht="15.75" customHeight="1">
      <c r="A826" s="45"/>
      <c r="B826" s="45"/>
      <c r="C826" s="45"/>
      <c r="D826" s="45"/>
      <c r="E826" s="45"/>
      <c r="F826" s="45"/>
      <c r="G826" s="45"/>
    </row>
    <row r="827" ht="15.75" customHeight="1">
      <c r="A827" s="45"/>
      <c r="B827" s="45"/>
      <c r="C827" s="45"/>
      <c r="D827" s="45"/>
      <c r="E827" s="45"/>
      <c r="F827" s="45"/>
      <c r="G827" s="45"/>
    </row>
    <row r="828" ht="15.75" customHeight="1">
      <c r="A828" s="45"/>
      <c r="B828" s="45"/>
      <c r="C828" s="45"/>
      <c r="D828" s="45"/>
      <c r="E828" s="45"/>
      <c r="F828" s="45"/>
      <c r="G828" s="45"/>
    </row>
    <row r="829" ht="15.75" customHeight="1">
      <c r="A829" s="45"/>
      <c r="B829" s="45"/>
      <c r="C829" s="45"/>
      <c r="D829" s="45"/>
      <c r="E829" s="45"/>
      <c r="F829" s="45"/>
      <c r="G829" s="45"/>
    </row>
    <row r="830" ht="15.75" customHeight="1">
      <c r="A830" s="45"/>
      <c r="B830" s="45"/>
      <c r="C830" s="45"/>
      <c r="D830" s="45"/>
      <c r="E830" s="45"/>
      <c r="F830" s="45"/>
      <c r="G830" s="45"/>
    </row>
    <row r="831" ht="15.75" customHeight="1">
      <c r="A831" s="45"/>
      <c r="B831" s="45"/>
      <c r="C831" s="45"/>
      <c r="D831" s="45"/>
      <c r="E831" s="45"/>
      <c r="F831" s="45"/>
      <c r="G831" s="45"/>
    </row>
    <row r="832" ht="15.75" customHeight="1">
      <c r="A832" s="45"/>
      <c r="B832" s="45"/>
      <c r="C832" s="45"/>
      <c r="D832" s="45"/>
      <c r="E832" s="45"/>
      <c r="F832" s="45"/>
      <c r="G832" s="45"/>
    </row>
    <row r="833" ht="15.75" customHeight="1">
      <c r="A833" s="45"/>
      <c r="B833" s="45"/>
      <c r="C833" s="45"/>
      <c r="D833" s="45"/>
      <c r="E833" s="45"/>
      <c r="F833" s="45"/>
      <c r="G833" s="45"/>
    </row>
    <row r="834" ht="15.75" customHeight="1">
      <c r="A834" s="45"/>
      <c r="B834" s="45"/>
      <c r="C834" s="45"/>
      <c r="D834" s="45"/>
      <c r="E834" s="45"/>
      <c r="F834" s="45"/>
      <c r="G834" s="45"/>
    </row>
    <row r="835" ht="15.75" customHeight="1">
      <c r="A835" s="45"/>
      <c r="B835" s="45"/>
      <c r="C835" s="45"/>
      <c r="D835" s="45"/>
      <c r="E835" s="45"/>
      <c r="F835" s="45"/>
      <c r="G835" s="45"/>
    </row>
    <row r="836" ht="15.75" customHeight="1">
      <c r="A836" s="45"/>
      <c r="B836" s="45"/>
      <c r="C836" s="45"/>
      <c r="D836" s="45"/>
      <c r="E836" s="45"/>
      <c r="F836" s="45"/>
      <c r="G836" s="45"/>
    </row>
    <row r="837" ht="15.75" customHeight="1">
      <c r="A837" s="45"/>
      <c r="B837" s="45"/>
      <c r="C837" s="45"/>
      <c r="D837" s="45"/>
      <c r="E837" s="45"/>
      <c r="F837" s="45"/>
      <c r="G837" s="45"/>
    </row>
    <row r="838" ht="15.75" customHeight="1">
      <c r="A838" s="45"/>
      <c r="B838" s="45"/>
      <c r="C838" s="45"/>
      <c r="D838" s="45"/>
      <c r="E838" s="45"/>
      <c r="F838" s="45"/>
      <c r="G838" s="45"/>
    </row>
    <row r="839" ht="15.75" customHeight="1">
      <c r="A839" s="45"/>
      <c r="B839" s="45"/>
      <c r="C839" s="45"/>
      <c r="D839" s="45"/>
      <c r="E839" s="45"/>
      <c r="F839" s="45"/>
      <c r="G839" s="45"/>
    </row>
    <row r="840" ht="15.75" customHeight="1">
      <c r="A840" s="45"/>
      <c r="B840" s="45"/>
      <c r="C840" s="45"/>
      <c r="D840" s="45"/>
      <c r="E840" s="45"/>
      <c r="F840" s="45"/>
      <c r="G840" s="45"/>
    </row>
    <row r="841" ht="15.75" customHeight="1">
      <c r="A841" s="45"/>
      <c r="B841" s="45"/>
      <c r="C841" s="45"/>
      <c r="D841" s="45"/>
      <c r="E841" s="45"/>
      <c r="F841" s="45"/>
      <c r="G841" s="45"/>
    </row>
    <row r="842" ht="15.75" customHeight="1">
      <c r="A842" s="45"/>
      <c r="B842" s="45"/>
      <c r="C842" s="45"/>
      <c r="D842" s="45"/>
      <c r="E842" s="45"/>
      <c r="F842" s="45"/>
      <c r="G842" s="45"/>
    </row>
    <row r="843" ht="15.75" customHeight="1">
      <c r="A843" s="45"/>
      <c r="B843" s="45"/>
      <c r="C843" s="45"/>
      <c r="D843" s="45"/>
      <c r="E843" s="45"/>
      <c r="F843" s="45"/>
      <c r="G843" s="45"/>
    </row>
    <row r="844" ht="15.75" customHeight="1">
      <c r="A844" s="45"/>
      <c r="B844" s="45"/>
      <c r="C844" s="45"/>
      <c r="D844" s="45"/>
      <c r="E844" s="45"/>
      <c r="F844" s="45"/>
      <c r="G844" s="45"/>
    </row>
    <row r="845" ht="15.75" customHeight="1">
      <c r="A845" s="45"/>
      <c r="B845" s="45"/>
      <c r="C845" s="45"/>
      <c r="D845" s="45"/>
      <c r="E845" s="45"/>
      <c r="F845" s="45"/>
      <c r="G845" s="45"/>
    </row>
    <row r="846" ht="15.75" customHeight="1">
      <c r="A846" s="45"/>
      <c r="B846" s="45"/>
      <c r="C846" s="45"/>
      <c r="D846" s="45"/>
      <c r="E846" s="45"/>
      <c r="F846" s="45"/>
      <c r="G846" s="45"/>
    </row>
    <row r="847" ht="15.75" customHeight="1">
      <c r="A847" s="45"/>
      <c r="B847" s="45"/>
      <c r="C847" s="45"/>
      <c r="D847" s="45"/>
      <c r="E847" s="45"/>
      <c r="F847" s="45"/>
      <c r="G847" s="45"/>
    </row>
    <row r="848" ht="15.75" customHeight="1">
      <c r="A848" s="45"/>
      <c r="B848" s="45"/>
      <c r="C848" s="45"/>
      <c r="D848" s="45"/>
      <c r="E848" s="45"/>
      <c r="F848" s="45"/>
      <c r="G848" s="45"/>
    </row>
    <row r="849" ht="15.75" customHeight="1">
      <c r="A849" s="45"/>
      <c r="B849" s="45"/>
      <c r="C849" s="45"/>
      <c r="D849" s="45"/>
      <c r="E849" s="45"/>
      <c r="F849" s="45"/>
      <c r="G849" s="45"/>
    </row>
    <row r="850" ht="15.75" customHeight="1">
      <c r="A850" s="45"/>
      <c r="B850" s="45"/>
      <c r="C850" s="45"/>
      <c r="D850" s="45"/>
      <c r="E850" s="45"/>
      <c r="F850" s="45"/>
      <c r="G850" s="45"/>
    </row>
    <row r="851" ht="15.75" customHeight="1">
      <c r="A851" s="45"/>
      <c r="B851" s="45"/>
      <c r="C851" s="45"/>
      <c r="D851" s="45"/>
      <c r="E851" s="45"/>
      <c r="F851" s="45"/>
      <c r="G851" s="45"/>
    </row>
    <row r="852" ht="15.75" customHeight="1">
      <c r="A852" s="45"/>
      <c r="B852" s="45"/>
      <c r="C852" s="45"/>
      <c r="D852" s="45"/>
      <c r="E852" s="45"/>
      <c r="F852" s="45"/>
      <c r="G852" s="45"/>
    </row>
    <row r="853" ht="15.75" customHeight="1">
      <c r="A853" s="45"/>
      <c r="B853" s="45"/>
      <c r="C853" s="45"/>
      <c r="D853" s="45"/>
      <c r="E853" s="45"/>
      <c r="F853" s="45"/>
      <c r="G853" s="45"/>
    </row>
    <row r="854" ht="15.75" customHeight="1">
      <c r="A854" s="45"/>
      <c r="B854" s="45"/>
      <c r="C854" s="45"/>
      <c r="D854" s="45"/>
      <c r="E854" s="45"/>
      <c r="F854" s="45"/>
      <c r="G854" s="45"/>
    </row>
    <row r="855" ht="15.75" customHeight="1">
      <c r="A855" s="45"/>
      <c r="B855" s="45"/>
      <c r="C855" s="45"/>
      <c r="D855" s="45"/>
      <c r="E855" s="45"/>
      <c r="F855" s="45"/>
      <c r="G855" s="45"/>
    </row>
    <row r="856" ht="15.75" customHeight="1">
      <c r="A856" s="45"/>
      <c r="B856" s="45"/>
      <c r="C856" s="45"/>
      <c r="D856" s="45"/>
      <c r="E856" s="45"/>
      <c r="F856" s="45"/>
      <c r="G856" s="45"/>
    </row>
    <row r="857" ht="15.75" customHeight="1">
      <c r="A857" s="45"/>
      <c r="B857" s="45"/>
      <c r="C857" s="45"/>
      <c r="D857" s="45"/>
      <c r="E857" s="45"/>
      <c r="F857" s="45"/>
      <c r="G857" s="45"/>
    </row>
    <row r="858" ht="15.75" customHeight="1">
      <c r="A858" s="45"/>
      <c r="B858" s="45"/>
      <c r="C858" s="45"/>
      <c r="D858" s="45"/>
      <c r="E858" s="45"/>
      <c r="F858" s="45"/>
      <c r="G858" s="45"/>
    </row>
    <row r="859" ht="15.75" customHeight="1">
      <c r="A859" s="45"/>
      <c r="B859" s="45"/>
      <c r="C859" s="45"/>
      <c r="D859" s="45"/>
      <c r="E859" s="45"/>
      <c r="F859" s="45"/>
      <c r="G859" s="45"/>
    </row>
    <row r="860" ht="15.75" customHeight="1">
      <c r="A860" s="45"/>
      <c r="B860" s="45"/>
      <c r="C860" s="45"/>
      <c r="D860" s="45"/>
      <c r="E860" s="45"/>
      <c r="F860" s="45"/>
      <c r="G860" s="45"/>
    </row>
    <row r="861" ht="15.75" customHeight="1">
      <c r="A861" s="45"/>
      <c r="B861" s="45"/>
      <c r="C861" s="45"/>
      <c r="D861" s="45"/>
      <c r="E861" s="45"/>
      <c r="F861" s="45"/>
      <c r="G861" s="45"/>
    </row>
    <row r="862" ht="15.75" customHeight="1">
      <c r="A862" s="45"/>
      <c r="B862" s="45"/>
      <c r="C862" s="45"/>
      <c r="D862" s="45"/>
      <c r="E862" s="45"/>
      <c r="F862" s="45"/>
      <c r="G862" s="45"/>
    </row>
    <row r="863" ht="15.75" customHeight="1">
      <c r="A863" s="45"/>
      <c r="B863" s="45"/>
      <c r="C863" s="45"/>
      <c r="D863" s="45"/>
      <c r="E863" s="45"/>
      <c r="F863" s="45"/>
      <c r="G863" s="45"/>
    </row>
    <row r="864" ht="15.75" customHeight="1">
      <c r="A864" s="45"/>
      <c r="B864" s="45"/>
      <c r="C864" s="45"/>
      <c r="D864" s="45"/>
      <c r="E864" s="45"/>
      <c r="F864" s="45"/>
      <c r="G864" s="45"/>
    </row>
    <row r="865" ht="15.75" customHeight="1">
      <c r="A865" s="45"/>
      <c r="B865" s="45"/>
      <c r="C865" s="45"/>
      <c r="D865" s="45"/>
      <c r="E865" s="45"/>
      <c r="F865" s="45"/>
      <c r="G865" s="45"/>
    </row>
    <row r="866" ht="15.75" customHeight="1">
      <c r="A866" s="45"/>
      <c r="B866" s="45"/>
      <c r="C866" s="45"/>
      <c r="D866" s="45"/>
      <c r="E866" s="45"/>
      <c r="F866" s="45"/>
      <c r="G866" s="45"/>
    </row>
    <row r="867" ht="15.75" customHeight="1">
      <c r="A867" s="45"/>
      <c r="B867" s="45"/>
      <c r="C867" s="45"/>
      <c r="D867" s="45"/>
      <c r="E867" s="45"/>
      <c r="F867" s="45"/>
      <c r="G867" s="45"/>
    </row>
    <row r="868" ht="15.75" customHeight="1">
      <c r="A868" s="45"/>
      <c r="B868" s="45"/>
      <c r="C868" s="45"/>
      <c r="D868" s="45"/>
      <c r="E868" s="45"/>
      <c r="F868" s="45"/>
      <c r="G868" s="45"/>
    </row>
    <row r="869" ht="15.75" customHeight="1">
      <c r="A869" s="45"/>
      <c r="B869" s="45"/>
      <c r="C869" s="45"/>
      <c r="D869" s="45"/>
      <c r="E869" s="45"/>
      <c r="F869" s="45"/>
      <c r="G869" s="45"/>
    </row>
    <row r="870" ht="15.75" customHeight="1">
      <c r="A870" s="45"/>
      <c r="B870" s="45"/>
      <c r="C870" s="45"/>
      <c r="D870" s="45"/>
      <c r="E870" s="45"/>
      <c r="F870" s="45"/>
      <c r="G870" s="45"/>
    </row>
    <row r="871" ht="15.75" customHeight="1">
      <c r="A871" s="45"/>
      <c r="B871" s="45"/>
      <c r="C871" s="45"/>
      <c r="D871" s="45"/>
      <c r="E871" s="45"/>
      <c r="F871" s="45"/>
      <c r="G871" s="45"/>
    </row>
    <row r="872" ht="15.75" customHeight="1">
      <c r="A872" s="45"/>
      <c r="B872" s="45"/>
      <c r="C872" s="45"/>
      <c r="D872" s="45"/>
      <c r="E872" s="45"/>
      <c r="F872" s="45"/>
      <c r="G872" s="45"/>
    </row>
    <row r="873" ht="15.75" customHeight="1">
      <c r="A873" s="45"/>
      <c r="B873" s="45"/>
      <c r="C873" s="45"/>
      <c r="D873" s="45"/>
      <c r="E873" s="45"/>
      <c r="F873" s="45"/>
      <c r="G873" s="45"/>
    </row>
    <row r="874" ht="15.75" customHeight="1">
      <c r="A874" s="45"/>
      <c r="B874" s="45"/>
      <c r="C874" s="45"/>
      <c r="D874" s="45"/>
      <c r="E874" s="45"/>
      <c r="F874" s="45"/>
      <c r="G874" s="45"/>
    </row>
    <row r="875" ht="15.75" customHeight="1">
      <c r="A875" s="45"/>
      <c r="B875" s="45"/>
      <c r="C875" s="45"/>
      <c r="D875" s="45"/>
      <c r="E875" s="45"/>
      <c r="F875" s="45"/>
      <c r="G875" s="45"/>
    </row>
    <row r="876" ht="15.75" customHeight="1">
      <c r="A876" s="45"/>
      <c r="B876" s="45"/>
      <c r="C876" s="45"/>
      <c r="D876" s="45"/>
      <c r="E876" s="45"/>
      <c r="F876" s="45"/>
      <c r="G876" s="45"/>
    </row>
    <row r="877" ht="15.75" customHeight="1">
      <c r="A877" s="45"/>
      <c r="B877" s="45"/>
      <c r="C877" s="45"/>
      <c r="D877" s="45"/>
      <c r="E877" s="45"/>
      <c r="F877" s="45"/>
      <c r="G877" s="45"/>
    </row>
    <row r="878" ht="15.75" customHeight="1">
      <c r="A878" s="45"/>
      <c r="B878" s="45"/>
      <c r="C878" s="45"/>
      <c r="D878" s="45"/>
      <c r="E878" s="45"/>
      <c r="F878" s="45"/>
      <c r="G878" s="45"/>
    </row>
    <row r="879" ht="15.75" customHeight="1">
      <c r="A879" s="45"/>
      <c r="B879" s="45"/>
      <c r="C879" s="45"/>
      <c r="D879" s="45"/>
      <c r="E879" s="45"/>
      <c r="F879" s="45"/>
      <c r="G879" s="45"/>
    </row>
    <row r="880" ht="15.75" customHeight="1">
      <c r="A880" s="45"/>
      <c r="B880" s="45"/>
      <c r="C880" s="45"/>
      <c r="D880" s="45"/>
      <c r="E880" s="45"/>
      <c r="F880" s="45"/>
      <c r="G880" s="45"/>
    </row>
    <row r="881" ht="15.75" customHeight="1">
      <c r="A881" s="45"/>
      <c r="B881" s="45"/>
      <c r="C881" s="45"/>
      <c r="D881" s="45"/>
      <c r="E881" s="45"/>
      <c r="F881" s="45"/>
      <c r="G881" s="45"/>
    </row>
    <row r="882" ht="15.75" customHeight="1">
      <c r="A882" s="45"/>
      <c r="B882" s="45"/>
      <c r="C882" s="45"/>
      <c r="D882" s="45"/>
      <c r="E882" s="45"/>
      <c r="F882" s="45"/>
      <c r="G882" s="45"/>
    </row>
    <row r="883" ht="15.75" customHeight="1">
      <c r="A883" s="45"/>
      <c r="B883" s="45"/>
      <c r="C883" s="45"/>
      <c r="D883" s="45"/>
      <c r="E883" s="45"/>
      <c r="F883" s="45"/>
      <c r="G883" s="45"/>
    </row>
    <row r="884" ht="15.75" customHeight="1">
      <c r="A884" s="45"/>
      <c r="B884" s="45"/>
      <c r="C884" s="45"/>
      <c r="D884" s="45"/>
      <c r="E884" s="45"/>
      <c r="F884" s="45"/>
      <c r="G884" s="45"/>
    </row>
    <row r="885" ht="15.75" customHeight="1">
      <c r="A885" s="45"/>
      <c r="B885" s="45"/>
      <c r="C885" s="45"/>
      <c r="D885" s="45"/>
      <c r="E885" s="45"/>
      <c r="F885" s="45"/>
      <c r="G885" s="45"/>
    </row>
    <row r="886" ht="15.75" customHeight="1">
      <c r="A886" s="45"/>
      <c r="B886" s="45"/>
      <c r="C886" s="45"/>
      <c r="D886" s="45"/>
      <c r="E886" s="45"/>
      <c r="F886" s="45"/>
      <c r="G886" s="45"/>
    </row>
    <row r="887" ht="15.75" customHeight="1">
      <c r="A887" s="45"/>
      <c r="B887" s="45"/>
      <c r="C887" s="45"/>
      <c r="D887" s="45"/>
      <c r="E887" s="45"/>
      <c r="F887" s="45"/>
      <c r="G887" s="45"/>
    </row>
    <row r="888" ht="15.75" customHeight="1">
      <c r="A888" s="45"/>
      <c r="B888" s="45"/>
      <c r="C888" s="45"/>
      <c r="D888" s="45"/>
      <c r="E888" s="45"/>
      <c r="F888" s="45"/>
      <c r="G888" s="45"/>
    </row>
    <row r="889" ht="15.75" customHeight="1">
      <c r="A889" s="45"/>
      <c r="B889" s="45"/>
      <c r="C889" s="45"/>
      <c r="D889" s="45"/>
      <c r="E889" s="45"/>
      <c r="F889" s="45"/>
      <c r="G889" s="45"/>
    </row>
    <row r="890" ht="15.75" customHeight="1">
      <c r="A890" s="45"/>
      <c r="B890" s="45"/>
      <c r="C890" s="45"/>
      <c r="D890" s="45"/>
      <c r="E890" s="45"/>
      <c r="F890" s="45"/>
      <c r="G890" s="45"/>
    </row>
    <row r="891" ht="15.75" customHeight="1">
      <c r="A891" s="45"/>
      <c r="B891" s="45"/>
      <c r="C891" s="45"/>
      <c r="D891" s="45"/>
      <c r="E891" s="45"/>
      <c r="F891" s="45"/>
      <c r="G891" s="45"/>
    </row>
    <row r="892" ht="15.75" customHeight="1">
      <c r="A892" s="45"/>
      <c r="B892" s="45"/>
      <c r="C892" s="45"/>
      <c r="D892" s="45"/>
      <c r="E892" s="45"/>
      <c r="F892" s="45"/>
      <c r="G892" s="45"/>
    </row>
    <row r="893" ht="15.75" customHeight="1">
      <c r="A893" s="45"/>
      <c r="B893" s="45"/>
      <c r="C893" s="45"/>
      <c r="D893" s="45"/>
      <c r="E893" s="45"/>
      <c r="F893" s="45"/>
      <c r="G893" s="45"/>
    </row>
    <row r="894" ht="15.75" customHeight="1">
      <c r="A894" s="45"/>
      <c r="B894" s="45"/>
      <c r="C894" s="45"/>
      <c r="D894" s="45"/>
      <c r="E894" s="45"/>
      <c r="F894" s="45"/>
      <c r="G894" s="45"/>
    </row>
    <row r="895" ht="15.75" customHeight="1">
      <c r="A895" s="45"/>
      <c r="B895" s="45"/>
      <c r="C895" s="45"/>
      <c r="D895" s="45"/>
      <c r="E895" s="45"/>
      <c r="F895" s="45"/>
      <c r="G895" s="45"/>
    </row>
    <row r="896" ht="15.75" customHeight="1">
      <c r="A896" s="45"/>
      <c r="B896" s="45"/>
      <c r="C896" s="45"/>
      <c r="D896" s="45"/>
      <c r="E896" s="45"/>
      <c r="F896" s="45"/>
      <c r="G896" s="45"/>
    </row>
    <row r="897" ht="15.75" customHeight="1">
      <c r="A897" s="45"/>
      <c r="B897" s="45"/>
      <c r="C897" s="45"/>
      <c r="D897" s="45"/>
      <c r="E897" s="45"/>
      <c r="F897" s="45"/>
      <c r="G897" s="45"/>
    </row>
    <row r="898" ht="15.75" customHeight="1">
      <c r="A898" s="45"/>
      <c r="B898" s="45"/>
      <c r="C898" s="45"/>
      <c r="D898" s="45"/>
      <c r="E898" s="45"/>
      <c r="F898" s="45"/>
      <c r="G898" s="45"/>
    </row>
    <row r="899" ht="15.75" customHeight="1">
      <c r="A899" s="45"/>
      <c r="B899" s="45"/>
      <c r="C899" s="45"/>
      <c r="D899" s="45"/>
      <c r="E899" s="45"/>
      <c r="F899" s="45"/>
      <c r="G899" s="45"/>
    </row>
    <row r="900" ht="15.75" customHeight="1">
      <c r="A900" s="45"/>
      <c r="B900" s="45"/>
      <c r="C900" s="45"/>
      <c r="D900" s="45"/>
      <c r="E900" s="45"/>
      <c r="F900" s="45"/>
      <c r="G900" s="45"/>
    </row>
    <row r="901" ht="15.75" customHeight="1">
      <c r="A901" s="45"/>
      <c r="B901" s="45"/>
      <c r="C901" s="45"/>
      <c r="D901" s="45"/>
      <c r="E901" s="45"/>
      <c r="F901" s="45"/>
      <c r="G901" s="45"/>
    </row>
    <row r="902" ht="15.75" customHeight="1">
      <c r="A902" s="45"/>
      <c r="B902" s="45"/>
      <c r="C902" s="45"/>
      <c r="D902" s="45"/>
      <c r="E902" s="45"/>
      <c r="F902" s="45"/>
      <c r="G902" s="45"/>
    </row>
    <row r="903" ht="15.75" customHeight="1">
      <c r="A903" s="45"/>
      <c r="B903" s="45"/>
      <c r="C903" s="45"/>
      <c r="D903" s="45"/>
      <c r="E903" s="45"/>
      <c r="F903" s="45"/>
      <c r="G903" s="45"/>
    </row>
    <row r="904" ht="15.75" customHeight="1">
      <c r="A904" s="45"/>
      <c r="B904" s="45"/>
      <c r="C904" s="45"/>
      <c r="D904" s="45"/>
      <c r="E904" s="45"/>
      <c r="F904" s="45"/>
      <c r="G904" s="45"/>
    </row>
    <row r="905" ht="15.75" customHeight="1">
      <c r="A905" s="45"/>
      <c r="B905" s="45"/>
      <c r="C905" s="45"/>
      <c r="D905" s="45"/>
      <c r="E905" s="45"/>
      <c r="F905" s="45"/>
      <c r="G905" s="45"/>
    </row>
    <row r="906" ht="15.75" customHeight="1">
      <c r="A906" s="45"/>
      <c r="B906" s="45"/>
      <c r="C906" s="45"/>
      <c r="D906" s="45"/>
      <c r="E906" s="45"/>
      <c r="F906" s="45"/>
      <c r="G906" s="45"/>
    </row>
    <row r="907" ht="15.75" customHeight="1">
      <c r="A907" s="45"/>
      <c r="B907" s="45"/>
      <c r="C907" s="45"/>
      <c r="D907" s="45"/>
      <c r="E907" s="45"/>
      <c r="F907" s="45"/>
      <c r="G907" s="45"/>
    </row>
    <row r="908" ht="15.75" customHeight="1">
      <c r="A908" s="45"/>
      <c r="B908" s="45"/>
      <c r="C908" s="45"/>
      <c r="D908" s="45"/>
      <c r="E908" s="45"/>
      <c r="F908" s="45"/>
      <c r="G908" s="45"/>
    </row>
    <row r="909" ht="15.75" customHeight="1">
      <c r="A909" s="45"/>
      <c r="B909" s="45"/>
      <c r="C909" s="45"/>
      <c r="D909" s="45"/>
      <c r="E909" s="45"/>
      <c r="F909" s="45"/>
      <c r="G909" s="45"/>
    </row>
    <row r="910" ht="15.75" customHeight="1">
      <c r="A910" s="45"/>
      <c r="B910" s="45"/>
      <c r="C910" s="45"/>
      <c r="D910" s="45"/>
      <c r="E910" s="45"/>
      <c r="F910" s="45"/>
      <c r="G910" s="45"/>
    </row>
    <row r="911" ht="15.75" customHeight="1">
      <c r="A911" s="45"/>
      <c r="B911" s="45"/>
      <c r="C911" s="45"/>
      <c r="D911" s="45"/>
      <c r="E911" s="45"/>
      <c r="F911" s="45"/>
      <c r="G911" s="45"/>
    </row>
    <row r="912" ht="15.75" customHeight="1">
      <c r="A912" s="45"/>
      <c r="B912" s="45"/>
      <c r="C912" s="45"/>
      <c r="D912" s="45"/>
      <c r="E912" s="45"/>
      <c r="F912" s="45"/>
      <c r="G912" s="45"/>
    </row>
    <row r="913" ht="15.75" customHeight="1">
      <c r="A913" s="45"/>
      <c r="B913" s="45"/>
      <c r="C913" s="45"/>
      <c r="D913" s="45"/>
      <c r="E913" s="45"/>
      <c r="F913" s="45"/>
      <c r="G913" s="45"/>
    </row>
    <row r="914" ht="15.75" customHeight="1">
      <c r="A914" s="45"/>
      <c r="B914" s="45"/>
      <c r="C914" s="45"/>
      <c r="D914" s="45"/>
      <c r="E914" s="45"/>
      <c r="F914" s="45"/>
      <c r="G914" s="45"/>
    </row>
    <row r="915" ht="15.75" customHeight="1">
      <c r="A915" s="45"/>
      <c r="B915" s="45"/>
      <c r="C915" s="45"/>
      <c r="D915" s="45"/>
      <c r="E915" s="45"/>
      <c r="F915" s="45"/>
      <c r="G915" s="45"/>
    </row>
    <row r="916" ht="15.75" customHeight="1">
      <c r="A916" s="45"/>
      <c r="B916" s="45"/>
      <c r="C916" s="45"/>
      <c r="D916" s="45"/>
      <c r="E916" s="45"/>
      <c r="F916" s="45"/>
      <c r="G916" s="45"/>
    </row>
    <row r="917" ht="15.75" customHeight="1">
      <c r="A917" s="45"/>
      <c r="B917" s="45"/>
      <c r="C917" s="45"/>
      <c r="D917" s="45"/>
      <c r="E917" s="45"/>
      <c r="F917" s="45"/>
      <c r="G917" s="45"/>
    </row>
    <row r="918" ht="15.75" customHeight="1">
      <c r="A918" s="45"/>
      <c r="B918" s="45"/>
      <c r="C918" s="45"/>
      <c r="D918" s="45"/>
      <c r="E918" s="45"/>
      <c r="F918" s="45"/>
      <c r="G918" s="45"/>
    </row>
    <row r="919" ht="15.75" customHeight="1">
      <c r="A919" s="45"/>
      <c r="B919" s="45"/>
      <c r="C919" s="45"/>
      <c r="D919" s="45"/>
      <c r="E919" s="45"/>
      <c r="F919" s="45"/>
      <c r="G919" s="45"/>
    </row>
    <row r="920" ht="15.75" customHeight="1">
      <c r="A920" s="45"/>
      <c r="B920" s="45"/>
      <c r="C920" s="45"/>
      <c r="D920" s="45"/>
      <c r="E920" s="45"/>
      <c r="F920" s="45"/>
      <c r="G920" s="45"/>
    </row>
    <row r="921" ht="15.75" customHeight="1">
      <c r="A921" s="45"/>
      <c r="B921" s="45"/>
      <c r="C921" s="45"/>
      <c r="D921" s="45"/>
      <c r="E921" s="45"/>
      <c r="F921" s="45"/>
      <c r="G921" s="45"/>
    </row>
    <row r="922" ht="15.75" customHeight="1">
      <c r="A922" s="45"/>
      <c r="B922" s="45"/>
      <c r="C922" s="45"/>
      <c r="D922" s="45"/>
      <c r="E922" s="45"/>
      <c r="F922" s="45"/>
      <c r="G922" s="45"/>
    </row>
    <row r="923" ht="15.75" customHeight="1">
      <c r="A923" s="45"/>
      <c r="B923" s="45"/>
      <c r="C923" s="45"/>
      <c r="D923" s="45"/>
      <c r="E923" s="45"/>
      <c r="F923" s="45"/>
      <c r="G923" s="45"/>
    </row>
    <row r="924" ht="15.75" customHeight="1">
      <c r="A924" s="45"/>
      <c r="B924" s="45"/>
      <c r="C924" s="45"/>
      <c r="D924" s="45"/>
      <c r="E924" s="45"/>
      <c r="F924" s="45"/>
      <c r="G924" s="45"/>
    </row>
    <row r="925" ht="15.75" customHeight="1">
      <c r="A925" s="45"/>
      <c r="B925" s="45"/>
      <c r="C925" s="45"/>
      <c r="D925" s="45"/>
      <c r="E925" s="45"/>
      <c r="F925" s="45"/>
      <c r="G925" s="45"/>
    </row>
    <row r="926" ht="15.75" customHeight="1">
      <c r="A926" s="45"/>
      <c r="B926" s="45"/>
      <c r="C926" s="45"/>
      <c r="D926" s="45"/>
      <c r="E926" s="45"/>
      <c r="F926" s="45"/>
      <c r="G926" s="45"/>
    </row>
    <row r="927" ht="15.75" customHeight="1">
      <c r="A927" s="45"/>
      <c r="B927" s="45"/>
      <c r="C927" s="45"/>
      <c r="D927" s="45"/>
      <c r="E927" s="45"/>
      <c r="F927" s="45"/>
      <c r="G927" s="45"/>
    </row>
    <row r="928" ht="15.75" customHeight="1">
      <c r="A928" s="45"/>
      <c r="B928" s="45"/>
      <c r="C928" s="45"/>
      <c r="D928" s="45"/>
      <c r="E928" s="45"/>
      <c r="F928" s="45"/>
      <c r="G928" s="45"/>
    </row>
    <row r="929" ht="15.75" customHeight="1">
      <c r="A929" s="45"/>
      <c r="B929" s="45"/>
      <c r="C929" s="45"/>
      <c r="D929" s="45"/>
      <c r="E929" s="45"/>
      <c r="F929" s="45"/>
      <c r="G929" s="45"/>
    </row>
    <row r="930" ht="15.75" customHeight="1">
      <c r="A930" s="45"/>
      <c r="B930" s="45"/>
      <c r="C930" s="45"/>
      <c r="D930" s="45"/>
      <c r="E930" s="45"/>
      <c r="F930" s="45"/>
      <c r="G930" s="45"/>
    </row>
    <row r="931" ht="15.75" customHeight="1">
      <c r="A931" s="45"/>
      <c r="B931" s="45"/>
      <c r="C931" s="45"/>
      <c r="D931" s="45"/>
      <c r="E931" s="45"/>
      <c r="F931" s="45"/>
      <c r="G931" s="45"/>
    </row>
    <row r="932" ht="15.75" customHeight="1">
      <c r="A932" s="45"/>
      <c r="B932" s="45"/>
      <c r="C932" s="45"/>
      <c r="D932" s="45"/>
      <c r="E932" s="45"/>
      <c r="F932" s="45"/>
      <c r="G932" s="45"/>
    </row>
    <row r="933" ht="15.75" customHeight="1">
      <c r="A933" s="45"/>
      <c r="B933" s="45"/>
      <c r="C933" s="45"/>
      <c r="D933" s="45"/>
      <c r="E933" s="45"/>
      <c r="F933" s="45"/>
      <c r="G933" s="45"/>
    </row>
    <row r="934" ht="15.75" customHeight="1">
      <c r="A934" s="45"/>
      <c r="B934" s="45"/>
      <c r="C934" s="45"/>
      <c r="D934" s="45"/>
      <c r="E934" s="45"/>
      <c r="F934" s="45"/>
      <c r="G934" s="45"/>
    </row>
    <row r="935" ht="15.75" customHeight="1">
      <c r="A935" s="45"/>
      <c r="B935" s="45"/>
      <c r="C935" s="45"/>
      <c r="D935" s="45"/>
      <c r="E935" s="45"/>
      <c r="F935" s="45"/>
      <c r="G935" s="45"/>
    </row>
    <row r="936" ht="15.75" customHeight="1">
      <c r="A936" s="45"/>
      <c r="B936" s="45"/>
      <c r="C936" s="45"/>
      <c r="D936" s="45"/>
      <c r="E936" s="45"/>
      <c r="F936" s="45"/>
      <c r="G936" s="45"/>
    </row>
    <row r="937" ht="15.75" customHeight="1">
      <c r="A937" s="45"/>
      <c r="B937" s="45"/>
      <c r="C937" s="45"/>
      <c r="D937" s="45"/>
      <c r="E937" s="45"/>
      <c r="F937" s="45"/>
      <c r="G937" s="45"/>
    </row>
    <row r="938" ht="15.75" customHeight="1">
      <c r="A938" s="45"/>
      <c r="B938" s="45"/>
      <c r="C938" s="45"/>
      <c r="D938" s="45"/>
      <c r="E938" s="45"/>
      <c r="F938" s="45"/>
      <c r="G938" s="45"/>
    </row>
    <row r="939" ht="15.75" customHeight="1">
      <c r="A939" s="45"/>
      <c r="B939" s="45"/>
      <c r="C939" s="45"/>
      <c r="D939" s="45"/>
      <c r="E939" s="45"/>
      <c r="F939" s="45"/>
      <c r="G939" s="45"/>
    </row>
    <row r="940" ht="15.75" customHeight="1">
      <c r="A940" s="45"/>
      <c r="B940" s="45"/>
      <c r="C940" s="45"/>
      <c r="D940" s="45"/>
      <c r="E940" s="45"/>
      <c r="F940" s="45"/>
      <c r="G940" s="45"/>
    </row>
    <row r="941" ht="15.75" customHeight="1">
      <c r="A941" s="45"/>
      <c r="B941" s="45"/>
      <c r="C941" s="45"/>
      <c r="D941" s="45"/>
      <c r="E941" s="45"/>
      <c r="F941" s="45"/>
      <c r="G941" s="45"/>
    </row>
    <row r="942" ht="15.75" customHeight="1">
      <c r="A942" s="45"/>
      <c r="B942" s="45"/>
      <c r="C942" s="45"/>
      <c r="D942" s="45"/>
      <c r="E942" s="45"/>
      <c r="F942" s="45"/>
      <c r="G942" s="45"/>
    </row>
    <row r="943" ht="15.75" customHeight="1">
      <c r="A943" s="45"/>
      <c r="B943" s="45"/>
      <c r="C943" s="45"/>
      <c r="D943" s="45"/>
      <c r="E943" s="45"/>
      <c r="F943" s="45"/>
      <c r="G943" s="45"/>
    </row>
    <row r="944" ht="15.75" customHeight="1">
      <c r="A944" s="45"/>
      <c r="B944" s="45"/>
      <c r="C944" s="45"/>
      <c r="D944" s="45"/>
      <c r="E944" s="45"/>
      <c r="F944" s="45"/>
      <c r="G944" s="45"/>
    </row>
    <row r="945" ht="15.75" customHeight="1">
      <c r="A945" s="45"/>
      <c r="B945" s="45"/>
      <c r="C945" s="45"/>
      <c r="D945" s="45"/>
      <c r="E945" s="45"/>
      <c r="F945" s="45"/>
      <c r="G945" s="45"/>
    </row>
    <row r="946" ht="15.75" customHeight="1">
      <c r="A946" s="45"/>
      <c r="B946" s="45"/>
      <c r="C946" s="45"/>
      <c r="D946" s="45"/>
      <c r="E946" s="45"/>
      <c r="F946" s="45"/>
      <c r="G946" s="45"/>
    </row>
    <row r="947" ht="15.75" customHeight="1">
      <c r="A947" s="45"/>
      <c r="B947" s="45"/>
      <c r="C947" s="45"/>
      <c r="D947" s="45"/>
      <c r="E947" s="45"/>
      <c r="F947" s="45"/>
      <c r="G947" s="45"/>
    </row>
    <row r="948" ht="15.75" customHeight="1">
      <c r="A948" s="45"/>
      <c r="B948" s="45"/>
      <c r="C948" s="45"/>
      <c r="D948" s="45"/>
      <c r="E948" s="45"/>
      <c r="F948" s="45"/>
      <c r="G948" s="45"/>
    </row>
    <row r="949" ht="15.75" customHeight="1">
      <c r="A949" s="45"/>
      <c r="B949" s="45"/>
      <c r="C949" s="45"/>
      <c r="D949" s="45"/>
      <c r="E949" s="45"/>
      <c r="F949" s="45"/>
      <c r="G949" s="45"/>
    </row>
    <row r="950" ht="15.75" customHeight="1">
      <c r="A950" s="45"/>
      <c r="B950" s="45"/>
      <c r="C950" s="45"/>
      <c r="D950" s="45"/>
      <c r="E950" s="45"/>
      <c r="F950" s="45"/>
      <c r="G950" s="45"/>
    </row>
    <row r="951" ht="15.75" customHeight="1">
      <c r="A951" s="45"/>
      <c r="B951" s="45"/>
      <c r="C951" s="45"/>
      <c r="D951" s="45"/>
      <c r="E951" s="45"/>
      <c r="F951" s="45"/>
      <c r="G951" s="45"/>
    </row>
    <row r="952" ht="15.75" customHeight="1">
      <c r="A952" s="45"/>
      <c r="B952" s="45"/>
      <c r="C952" s="45"/>
      <c r="D952" s="45"/>
      <c r="E952" s="45"/>
      <c r="F952" s="45"/>
      <c r="G952" s="45"/>
    </row>
    <row r="953" ht="15.75" customHeight="1">
      <c r="A953" s="45"/>
      <c r="B953" s="45"/>
      <c r="C953" s="45"/>
      <c r="D953" s="45"/>
      <c r="E953" s="45"/>
      <c r="F953" s="45"/>
      <c r="G953" s="45"/>
    </row>
    <row r="954" ht="15.75" customHeight="1">
      <c r="A954" s="45"/>
      <c r="B954" s="45"/>
      <c r="C954" s="45"/>
      <c r="D954" s="45"/>
      <c r="E954" s="45"/>
      <c r="F954" s="45"/>
      <c r="G954" s="45"/>
    </row>
    <row r="955" ht="15.75" customHeight="1">
      <c r="A955" s="45"/>
      <c r="B955" s="45"/>
      <c r="C955" s="45"/>
      <c r="D955" s="45"/>
      <c r="E955" s="45"/>
      <c r="F955" s="45"/>
      <c r="G955" s="45"/>
    </row>
    <row r="956" ht="15.75" customHeight="1">
      <c r="A956" s="45"/>
      <c r="B956" s="45"/>
      <c r="C956" s="45"/>
      <c r="D956" s="45"/>
      <c r="E956" s="45"/>
      <c r="F956" s="45"/>
      <c r="G956" s="45"/>
    </row>
    <row r="957" ht="15.75" customHeight="1">
      <c r="A957" s="45"/>
      <c r="B957" s="45"/>
      <c r="C957" s="45"/>
      <c r="D957" s="45"/>
      <c r="E957" s="45"/>
      <c r="F957" s="45"/>
      <c r="G957" s="45"/>
    </row>
    <row r="958" ht="15.75" customHeight="1">
      <c r="A958" s="45"/>
      <c r="B958" s="45"/>
      <c r="C958" s="45"/>
      <c r="D958" s="45"/>
      <c r="E958" s="45"/>
      <c r="F958" s="45"/>
      <c r="G958" s="45"/>
    </row>
    <row r="959" ht="15.75" customHeight="1">
      <c r="A959" s="45"/>
      <c r="B959" s="45"/>
      <c r="C959" s="45"/>
      <c r="D959" s="45"/>
      <c r="E959" s="45"/>
      <c r="F959" s="45"/>
      <c r="G959" s="45"/>
    </row>
    <row r="960" ht="15.75" customHeight="1">
      <c r="A960" s="45"/>
      <c r="B960" s="45"/>
      <c r="C960" s="45"/>
      <c r="D960" s="45"/>
      <c r="E960" s="45"/>
      <c r="F960" s="45"/>
      <c r="G960" s="45"/>
    </row>
    <row r="961" ht="15.75" customHeight="1">
      <c r="A961" s="45"/>
      <c r="B961" s="45"/>
      <c r="C961" s="45"/>
      <c r="D961" s="45"/>
      <c r="E961" s="45"/>
      <c r="F961" s="45"/>
      <c r="G961" s="45"/>
    </row>
    <row r="962" ht="15.75" customHeight="1">
      <c r="A962" s="45"/>
      <c r="B962" s="45"/>
      <c r="C962" s="45"/>
      <c r="D962" s="45"/>
      <c r="E962" s="45"/>
      <c r="F962" s="45"/>
      <c r="G962" s="45"/>
    </row>
    <row r="963" ht="15.75" customHeight="1">
      <c r="A963" s="45"/>
      <c r="B963" s="45"/>
      <c r="C963" s="45"/>
      <c r="D963" s="45"/>
      <c r="E963" s="45"/>
      <c r="F963" s="45"/>
      <c r="G963" s="45"/>
    </row>
    <row r="964" ht="15.75" customHeight="1">
      <c r="A964" s="45"/>
      <c r="B964" s="45"/>
      <c r="C964" s="45"/>
      <c r="D964" s="45"/>
      <c r="E964" s="45"/>
      <c r="F964" s="45"/>
      <c r="G964" s="45"/>
    </row>
    <row r="965" ht="15.75" customHeight="1">
      <c r="A965" s="45"/>
      <c r="B965" s="45"/>
      <c r="C965" s="45"/>
      <c r="D965" s="45"/>
      <c r="E965" s="45"/>
      <c r="F965" s="45"/>
      <c r="G965" s="45"/>
    </row>
    <row r="966" ht="15.75" customHeight="1">
      <c r="A966" s="45"/>
      <c r="B966" s="45"/>
      <c r="C966" s="45"/>
      <c r="D966" s="45"/>
      <c r="E966" s="45"/>
      <c r="F966" s="45"/>
      <c r="G966" s="45"/>
    </row>
    <row r="967" ht="15.75" customHeight="1">
      <c r="A967" s="45"/>
      <c r="B967" s="45"/>
      <c r="C967" s="45"/>
      <c r="D967" s="45"/>
      <c r="E967" s="45"/>
      <c r="F967" s="45"/>
      <c r="G967" s="45"/>
    </row>
    <row r="968" ht="15.75" customHeight="1">
      <c r="A968" s="45"/>
      <c r="B968" s="45"/>
      <c r="C968" s="45"/>
      <c r="D968" s="45"/>
      <c r="E968" s="45"/>
      <c r="F968" s="45"/>
      <c r="G968" s="45"/>
    </row>
    <row r="969" ht="15.75" customHeight="1">
      <c r="A969" s="45"/>
      <c r="B969" s="45"/>
      <c r="C969" s="45"/>
      <c r="D969" s="45"/>
      <c r="E969" s="45"/>
      <c r="F969" s="45"/>
      <c r="G969" s="45"/>
    </row>
    <row r="970" ht="15.75" customHeight="1">
      <c r="A970" s="45"/>
      <c r="B970" s="45"/>
      <c r="C970" s="45"/>
      <c r="D970" s="45"/>
      <c r="E970" s="45"/>
      <c r="F970" s="45"/>
      <c r="G970" s="45"/>
    </row>
    <row r="971" ht="15.75" customHeight="1">
      <c r="A971" s="45"/>
      <c r="B971" s="45"/>
      <c r="C971" s="45"/>
      <c r="D971" s="45"/>
      <c r="E971" s="45"/>
      <c r="F971" s="45"/>
      <c r="G971" s="45"/>
    </row>
    <row r="972" ht="15.75" customHeight="1">
      <c r="A972" s="45"/>
      <c r="B972" s="45"/>
      <c r="C972" s="45"/>
      <c r="D972" s="45"/>
      <c r="E972" s="45"/>
      <c r="F972" s="45"/>
      <c r="G972" s="45"/>
    </row>
    <row r="973" ht="15.75" customHeight="1">
      <c r="A973" s="45"/>
      <c r="B973" s="45"/>
      <c r="C973" s="45"/>
      <c r="D973" s="45"/>
      <c r="E973" s="45"/>
      <c r="F973" s="45"/>
      <c r="G973" s="45"/>
    </row>
    <row r="974" ht="15.75" customHeight="1">
      <c r="A974" s="45"/>
      <c r="B974" s="45"/>
      <c r="C974" s="45"/>
      <c r="D974" s="45"/>
      <c r="E974" s="45"/>
      <c r="F974" s="45"/>
      <c r="G974" s="45"/>
    </row>
    <row r="975" ht="15.75" customHeight="1">
      <c r="A975" s="45"/>
      <c r="B975" s="45"/>
      <c r="C975" s="45"/>
      <c r="D975" s="45"/>
      <c r="E975" s="45"/>
      <c r="F975" s="45"/>
      <c r="G975" s="45"/>
    </row>
    <row r="976" ht="15.75" customHeight="1">
      <c r="A976" s="45"/>
      <c r="B976" s="45"/>
      <c r="C976" s="45"/>
      <c r="D976" s="45"/>
      <c r="E976" s="45"/>
      <c r="F976" s="45"/>
      <c r="G976" s="45"/>
    </row>
    <row r="977" ht="15.75" customHeight="1">
      <c r="A977" s="45"/>
      <c r="B977" s="45"/>
      <c r="C977" s="45"/>
      <c r="D977" s="45"/>
      <c r="E977" s="45"/>
      <c r="F977" s="45"/>
      <c r="G977" s="45"/>
    </row>
    <row r="978" ht="15.75" customHeight="1">
      <c r="A978" s="45"/>
      <c r="B978" s="45"/>
      <c r="C978" s="45"/>
      <c r="D978" s="45"/>
      <c r="E978" s="45"/>
      <c r="F978" s="45"/>
      <c r="G978" s="45"/>
    </row>
    <row r="979" ht="15.75" customHeight="1">
      <c r="A979" s="45"/>
      <c r="B979" s="45"/>
      <c r="C979" s="45"/>
      <c r="D979" s="45"/>
      <c r="E979" s="45"/>
      <c r="F979" s="45"/>
      <c r="G979" s="45"/>
    </row>
    <row r="980" ht="15.75" customHeight="1">
      <c r="A980" s="45"/>
      <c r="B980" s="45"/>
      <c r="C980" s="45"/>
      <c r="D980" s="45"/>
      <c r="E980" s="45"/>
      <c r="F980" s="45"/>
      <c r="G980" s="45"/>
    </row>
    <row r="981" ht="15.75" customHeight="1">
      <c r="A981" s="45"/>
      <c r="B981" s="45"/>
      <c r="C981" s="45"/>
      <c r="D981" s="45"/>
      <c r="E981" s="45"/>
      <c r="F981" s="45"/>
      <c r="G981" s="45"/>
    </row>
    <row r="982" ht="15.75" customHeight="1">
      <c r="A982" s="45"/>
      <c r="B982" s="45"/>
      <c r="C982" s="45"/>
      <c r="D982" s="45"/>
      <c r="E982" s="45"/>
      <c r="F982" s="45"/>
      <c r="G982" s="45"/>
    </row>
    <row r="983" ht="15.75" customHeight="1">
      <c r="A983" s="45"/>
      <c r="B983" s="45"/>
      <c r="C983" s="45"/>
      <c r="D983" s="45"/>
      <c r="E983" s="45"/>
      <c r="F983" s="45"/>
      <c r="G983" s="45"/>
    </row>
    <row r="984" ht="15.75" customHeight="1">
      <c r="A984" s="45"/>
      <c r="B984" s="45"/>
      <c r="C984" s="45"/>
      <c r="D984" s="45"/>
      <c r="E984" s="45"/>
      <c r="F984" s="45"/>
      <c r="G984" s="45"/>
    </row>
    <row r="985" ht="15.75" customHeight="1">
      <c r="A985" s="45"/>
      <c r="B985" s="45"/>
      <c r="C985" s="45"/>
      <c r="D985" s="45"/>
      <c r="E985" s="45"/>
      <c r="F985" s="45"/>
      <c r="G985" s="45"/>
    </row>
    <row r="986" ht="15.75" customHeight="1">
      <c r="A986" s="45"/>
      <c r="B986" s="45"/>
      <c r="C986" s="45"/>
      <c r="D986" s="45"/>
      <c r="E986" s="45"/>
      <c r="F986" s="45"/>
      <c r="G986" s="45"/>
    </row>
    <row r="987" ht="15.75" customHeight="1">
      <c r="A987" s="45"/>
      <c r="B987" s="45"/>
      <c r="C987" s="45"/>
      <c r="D987" s="45"/>
      <c r="E987" s="45"/>
      <c r="F987" s="45"/>
      <c r="G987" s="45"/>
    </row>
    <row r="988" ht="15.75" customHeight="1">
      <c r="A988" s="45"/>
      <c r="B988" s="45"/>
      <c r="C988" s="45"/>
      <c r="D988" s="45"/>
      <c r="E988" s="45"/>
      <c r="F988" s="45"/>
      <c r="G988" s="45"/>
    </row>
    <row r="989" ht="15.75" customHeight="1">
      <c r="A989" s="45"/>
      <c r="B989" s="45"/>
      <c r="C989" s="45"/>
      <c r="D989" s="45"/>
      <c r="E989" s="45"/>
      <c r="F989" s="45"/>
      <c r="G989" s="45"/>
    </row>
    <row r="990" ht="15.75" customHeight="1">
      <c r="A990" s="45"/>
      <c r="B990" s="45"/>
      <c r="C990" s="45"/>
      <c r="D990" s="45"/>
      <c r="E990" s="45"/>
      <c r="F990" s="45"/>
      <c r="G990" s="45"/>
    </row>
    <row r="991" ht="15.75" customHeight="1">
      <c r="A991" s="45"/>
      <c r="B991" s="45"/>
      <c r="C991" s="45"/>
      <c r="D991" s="45"/>
      <c r="E991" s="45"/>
      <c r="F991" s="45"/>
      <c r="G991" s="45"/>
    </row>
    <row r="992" ht="15.75" customHeight="1">
      <c r="A992" s="45"/>
      <c r="B992" s="45"/>
      <c r="C992" s="45"/>
      <c r="D992" s="45"/>
      <c r="E992" s="45"/>
      <c r="F992" s="45"/>
      <c r="G992" s="45"/>
    </row>
    <row r="993" ht="15.75" customHeight="1">
      <c r="A993" s="45"/>
      <c r="B993" s="45"/>
      <c r="C993" s="45"/>
      <c r="D993" s="45"/>
      <c r="E993" s="45"/>
      <c r="F993" s="45"/>
      <c r="G993" s="45"/>
    </row>
    <row r="994" ht="15.75" customHeight="1">
      <c r="A994" s="45"/>
      <c r="B994" s="45"/>
      <c r="C994" s="45"/>
      <c r="D994" s="45"/>
      <c r="E994" s="45"/>
      <c r="F994" s="45"/>
      <c r="G994" s="45"/>
    </row>
    <row r="995" ht="15.75" customHeight="1">
      <c r="A995" s="45"/>
      <c r="B995" s="45"/>
      <c r="C995" s="45"/>
      <c r="D995" s="45"/>
      <c r="E995" s="45"/>
      <c r="F995" s="45"/>
      <c r="G995" s="45"/>
    </row>
    <row r="996" ht="15.75" customHeight="1">
      <c r="A996" s="45"/>
      <c r="B996" s="45"/>
      <c r="C996" s="45"/>
      <c r="D996" s="45"/>
      <c r="E996" s="45"/>
      <c r="F996" s="45"/>
      <c r="G996" s="45"/>
    </row>
    <row r="997" ht="15.75" customHeight="1">
      <c r="A997" s="45"/>
      <c r="B997" s="45"/>
      <c r="C997" s="45"/>
      <c r="D997" s="45"/>
      <c r="E997" s="45"/>
      <c r="F997" s="45"/>
      <c r="G997" s="45"/>
    </row>
    <row r="998" ht="15.75" customHeight="1">
      <c r="A998" s="45"/>
      <c r="B998" s="45"/>
      <c r="C998" s="45"/>
      <c r="D998" s="45"/>
      <c r="E998" s="45"/>
      <c r="F998" s="45"/>
      <c r="G998" s="45"/>
    </row>
    <row r="999" ht="15.75" customHeight="1">
      <c r="A999" s="45"/>
      <c r="B999" s="45"/>
      <c r="C999" s="45"/>
      <c r="D999" s="45"/>
      <c r="E999" s="45"/>
      <c r="F999" s="45"/>
      <c r="G999" s="45"/>
    </row>
    <row r="1000" ht="15.75" customHeight="1">
      <c r="A1000" s="45"/>
      <c r="B1000" s="45"/>
      <c r="C1000" s="45"/>
      <c r="D1000" s="45"/>
      <c r="E1000" s="45"/>
      <c r="F1000" s="45"/>
      <c r="G1000" s="45"/>
    </row>
  </sheetData>
  <mergeCells count="13">
    <mergeCell ref="A22:D22"/>
    <mergeCell ref="E22:F22"/>
    <mergeCell ref="A30:G30"/>
    <mergeCell ref="A35:G35"/>
    <mergeCell ref="A42:G42"/>
    <mergeCell ref="A48:G48"/>
    <mergeCell ref="A1:G1"/>
    <mergeCell ref="A2:C2"/>
    <mergeCell ref="E2:G2"/>
    <mergeCell ref="A3:G3"/>
    <mergeCell ref="E4:F4"/>
    <mergeCell ref="E11:F11"/>
    <mergeCell ref="A13:G13"/>
  </mergeCells>
  <dataValidations>
    <dataValidation type="list" allowBlank="1" showInputMessage="1" showErrorMessage="1" prompt="Type invalide - Choisissez parmi les options proposées" sqref="B36">
      <formula1>"Salaires (abatt. 10%),Pensions / Retraites (abatt. 10%),TNS / Indépendants (frais réels)"</formula1>
    </dataValidation>
    <dataValidation type="decimal" operator="greaterThanOrEqual" allowBlank="1" showDropDown="1" showInputMessage="1" showErrorMessage="1" prompt="Saisissez un nombre supérieur ou égal à 0" sqref="F6:F7">
      <formula1>0.0</formula1>
    </dataValidation>
    <dataValidation type="list" allowBlank="1" showErrorMessage="1" sqref="F5">
      <formula1>"NON,OUI"</formula1>
    </dataValidation>
    <dataValidation type="list" allowBlank="1" sqref="B9">
      <formula1>"A Bis,A,B1,B2/C"</formula1>
    </dataValidation>
    <dataValidation type="list" allowBlank="1" sqref="B23">
      <formula1>"Loyer intermédiaire,Loyer social,Loyer très social"</formula1>
    </dataValidation>
    <dataValidation type="decimal" operator="lessThanOrEqual" allowBlank="1" showDropDown="1" showInputMessage="1" showErrorMessage="1" prompt="Saisissez un nombre inférieur ou égal à =F12" sqref="B25">
      <formula1>F12</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61AD"/>
    <pageSetUpPr/>
  </sheetPr>
  <sheetViews>
    <sheetView showGridLines="0" workbookViewId="0"/>
  </sheetViews>
  <sheetFormatPr customHeight="1" defaultColWidth="14.43" defaultRowHeight="15.0"/>
  <cols>
    <col customWidth="1" min="1" max="1" width="1.57"/>
    <col customWidth="1" min="2" max="2" width="14.0"/>
    <col customWidth="1" min="3" max="3" width="10.0"/>
    <col customWidth="1" min="4" max="4" width="1.14"/>
    <col customWidth="1" min="5" max="5" width="14.0"/>
    <col customWidth="1" min="6" max="6" width="10.0"/>
    <col customWidth="1" min="7" max="7" width="2.0"/>
    <col customWidth="1" min="8" max="8" width="14.0"/>
    <col customWidth="1" min="9" max="9" width="10.0"/>
    <col customWidth="1" min="10" max="10" width="1.14"/>
    <col customWidth="1" min="11" max="11" width="14.0"/>
    <col customWidth="1" min="12" max="12" width="10.0"/>
    <col customWidth="1" min="13" max="13" width="2.0"/>
    <col customWidth="1" min="14" max="14" width="14.0"/>
    <col customWidth="1" min="15" max="15" width="10.0"/>
    <col customWidth="1" min="16" max="16" width="1.14"/>
    <col customWidth="1" min="17" max="17" width="14.0"/>
    <col customWidth="1" min="18" max="18" width="10.0"/>
    <col customWidth="1" min="19" max="19" width="1.57"/>
    <col customWidth="1" min="20" max="26" width="8.71"/>
  </cols>
  <sheetData>
    <row r="1" ht="4.5" customHeight="1">
      <c r="B1" s="46"/>
      <c r="C1" s="46"/>
      <c r="D1" s="46"/>
      <c r="E1" s="46"/>
      <c r="F1" s="46"/>
      <c r="G1" s="47"/>
      <c r="H1" s="47"/>
      <c r="I1" s="47"/>
      <c r="J1" s="47"/>
      <c r="K1" s="47"/>
      <c r="L1" s="47"/>
      <c r="M1" s="48"/>
      <c r="N1" s="48"/>
      <c r="O1" s="48"/>
      <c r="P1" s="49"/>
      <c r="Q1" s="49"/>
      <c r="R1" s="49"/>
    </row>
    <row r="2" ht="24.0" customHeight="1">
      <c r="A2" s="50"/>
      <c r="B2" s="51" t="s">
        <v>74</v>
      </c>
      <c r="C2" s="52"/>
      <c r="D2" s="52"/>
      <c r="E2" s="52"/>
      <c r="F2" s="52"/>
      <c r="G2" s="52"/>
      <c r="H2" s="30"/>
      <c r="I2" s="53" t="s">
        <v>75</v>
      </c>
      <c r="J2" s="52"/>
      <c r="K2" s="52"/>
      <c r="L2" s="52"/>
      <c r="M2" s="52"/>
      <c r="N2" s="52"/>
      <c r="O2" s="52"/>
      <c r="P2" s="52"/>
      <c r="Q2" s="52"/>
      <c r="R2" s="30"/>
      <c r="S2" s="50"/>
    </row>
    <row r="3" ht="6.0" customHeight="1">
      <c r="A3" s="8"/>
      <c r="B3" s="8"/>
      <c r="C3" s="8"/>
      <c r="D3" s="8"/>
      <c r="E3" s="8"/>
      <c r="F3" s="8"/>
      <c r="G3" s="8"/>
      <c r="H3" s="8"/>
      <c r="I3" s="8"/>
      <c r="J3" s="8"/>
      <c r="K3" s="8"/>
      <c r="L3" s="8"/>
      <c r="M3" s="8"/>
      <c r="N3" s="8"/>
      <c r="O3" s="8"/>
      <c r="P3" s="8"/>
      <c r="Q3" s="8"/>
      <c r="R3" s="8"/>
      <c r="S3" s="8"/>
    </row>
    <row r="4" ht="13.5" customHeight="1">
      <c r="B4" s="54" t="s">
        <v>76</v>
      </c>
      <c r="C4" s="55"/>
      <c r="E4" s="54" t="s">
        <v>77</v>
      </c>
      <c r="F4" s="55"/>
      <c r="H4" s="54" t="s">
        <v>78</v>
      </c>
      <c r="I4" s="55"/>
      <c r="K4" s="54" t="s">
        <v>79</v>
      </c>
      <c r="L4" s="55"/>
      <c r="N4" s="54" t="s">
        <v>80</v>
      </c>
      <c r="O4" s="55"/>
      <c r="Q4" s="54" t="s">
        <v>81</v>
      </c>
      <c r="R4" s="55"/>
    </row>
    <row r="5" ht="13.5" customHeight="1">
      <c r="B5" s="56">
        <f>'Hypothèses'!B37</f>
        <v>95000</v>
      </c>
      <c r="C5" s="57"/>
      <c r="E5" s="58">
        <f>'Synthèse client - simplifiée'!C6</f>
        <v>0.3</v>
      </c>
      <c r="F5" s="57"/>
      <c r="H5" s="56">
        <f>'Hypothèses'!B4</f>
        <v>260000</v>
      </c>
      <c r="I5" s="57"/>
      <c r="K5" s="56">
        <f>'Hypothèses'!B25</f>
        <v>750</v>
      </c>
      <c r="L5" s="57"/>
      <c r="N5" s="59" t="str">
        <f>'Hypothèses'!F9&amp;" m²  ·  Zone "&amp;'Hypothèses'!B9</f>
        <v>47,5 m²  ·  Zone A</v>
      </c>
      <c r="O5" s="57"/>
      <c r="Q5" s="60">
        <f>'Synthèse client - simplifiée'!E6</f>
        <v>5092.297705</v>
      </c>
      <c r="R5" s="57"/>
    </row>
    <row r="6" ht="13.5" customHeight="1">
      <c r="B6" s="61"/>
      <c r="C6" s="62"/>
      <c r="E6" s="61"/>
      <c r="F6" s="62"/>
      <c r="H6" s="61"/>
      <c r="I6" s="62"/>
      <c r="K6" s="61"/>
      <c r="L6" s="62"/>
      <c r="N6" s="61"/>
      <c r="O6" s="62"/>
      <c r="Q6" s="61"/>
      <c r="R6" s="62"/>
    </row>
    <row r="7" ht="13.5" customHeight="1">
      <c r="B7" s="63" t="str">
        <f>'Hypothèses'!B39&amp;" parts fiscales"</f>
        <v>2,5 parts fiscales</v>
      </c>
      <c r="C7" s="55"/>
      <c r="E7" s="64"/>
      <c r="F7" s="64"/>
      <c r="H7" s="65" t="str">
        <f>'Hypothèses'!B23</f>
        <v>Loyer intermédiaire</v>
      </c>
      <c r="I7" s="55"/>
      <c r="K7" s="64"/>
      <c r="L7" s="64"/>
      <c r="N7" s="64"/>
      <c r="O7" s="64"/>
      <c r="Q7" s="64"/>
      <c r="R7" s="64"/>
    </row>
    <row r="8" ht="6.0" customHeight="1">
      <c r="A8" s="18"/>
      <c r="B8" s="18"/>
      <c r="C8" s="18"/>
      <c r="D8" s="18"/>
      <c r="E8" s="18"/>
      <c r="F8" s="18"/>
      <c r="G8" s="18"/>
      <c r="H8" s="18"/>
      <c r="I8" s="18"/>
      <c r="J8" s="18"/>
      <c r="K8" s="18"/>
      <c r="L8" s="18"/>
      <c r="M8" s="18"/>
      <c r="N8" s="18"/>
      <c r="O8" s="18"/>
      <c r="P8" s="18"/>
      <c r="Q8" s="18"/>
      <c r="R8" s="18"/>
      <c r="S8" s="18"/>
    </row>
    <row r="9" ht="18.0" customHeight="1">
      <c r="A9" s="18"/>
      <c r="B9" s="66" t="s">
        <v>82</v>
      </c>
      <c r="C9" s="52"/>
      <c r="D9" s="52"/>
      <c r="E9" s="52"/>
      <c r="F9" s="52"/>
      <c r="G9" s="52"/>
      <c r="H9" s="52"/>
      <c r="I9" s="52"/>
      <c r="J9" s="52"/>
      <c r="K9" s="52"/>
      <c r="L9" s="52"/>
      <c r="M9" s="52"/>
      <c r="N9" s="52"/>
      <c r="O9" s="52"/>
      <c r="P9" s="52"/>
      <c r="Q9" s="52"/>
      <c r="R9" s="30"/>
      <c r="S9" s="18"/>
    </row>
    <row r="10" ht="6.0" customHeight="1">
      <c r="A10" s="18"/>
      <c r="B10" s="18"/>
      <c r="C10" s="18"/>
      <c r="D10" s="18"/>
      <c r="E10" s="18"/>
      <c r="F10" s="18"/>
      <c r="G10" s="18"/>
      <c r="H10" s="18"/>
      <c r="I10" s="18"/>
      <c r="J10" s="18"/>
      <c r="K10" s="18"/>
      <c r="L10" s="18"/>
      <c r="M10" s="18"/>
      <c r="N10" s="18"/>
      <c r="O10" s="18"/>
      <c r="P10" s="18"/>
      <c r="Q10" s="18"/>
      <c r="R10" s="18"/>
      <c r="S10" s="18"/>
    </row>
    <row r="11" ht="25.5" customHeight="1">
      <c r="A11" s="18"/>
      <c r="B11" s="67" t="s">
        <v>83</v>
      </c>
      <c r="C11" s="68" t="s">
        <v>30</v>
      </c>
      <c r="D11" s="52"/>
      <c r="E11" s="52"/>
      <c r="F11" s="30"/>
      <c r="G11" s="18"/>
      <c r="H11" s="69" t="s">
        <v>84</v>
      </c>
      <c r="I11" s="70" t="s">
        <v>30</v>
      </c>
      <c r="J11" s="52"/>
      <c r="K11" s="52"/>
      <c r="L11" s="30"/>
      <c r="M11" s="18"/>
      <c r="N11" s="71" t="s">
        <v>85</v>
      </c>
      <c r="O11" s="72" t="s">
        <v>30</v>
      </c>
      <c r="P11" s="52"/>
      <c r="Q11" s="52"/>
      <c r="R11" s="30"/>
      <c r="S11" s="18"/>
    </row>
    <row r="12" ht="13.5" customHeight="1">
      <c r="A12" s="18"/>
      <c r="B12" s="73" t="s">
        <v>86</v>
      </c>
      <c r="C12" s="52"/>
      <c r="D12" s="52"/>
      <c r="E12" s="52"/>
      <c r="F12" s="30"/>
      <c r="G12" s="18"/>
      <c r="H12" s="74" t="s">
        <v>87</v>
      </c>
      <c r="I12" s="52"/>
      <c r="J12" s="52"/>
      <c r="K12" s="52"/>
      <c r="L12" s="30"/>
      <c r="M12" s="18"/>
      <c r="N12" s="75" t="s">
        <v>88</v>
      </c>
      <c r="O12" s="52"/>
      <c r="P12" s="52"/>
      <c r="Q12" s="52"/>
      <c r="R12" s="30"/>
      <c r="S12" s="18"/>
    </row>
    <row r="13" ht="16.5" customHeight="1">
      <c r="A13" s="18"/>
      <c r="B13" s="76" t="s">
        <v>89</v>
      </c>
      <c r="C13" s="30"/>
      <c r="D13" s="77"/>
      <c r="E13" s="78" t="s">
        <v>90</v>
      </c>
      <c r="F13" s="30"/>
      <c r="G13" s="79"/>
      <c r="H13" s="76" t="s">
        <v>89</v>
      </c>
      <c r="I13" s="30"/>
      <c r="J13" s="77"/>
      <c r="K13" s="78" t="s">
        <v>90</v>
      </c>
      <c r="L13" s="30"/>
      <c r="M13" s="79"/>
      <c r="N13" s="76" t="s">
        <v>89</v>
      </c>
      <c r="O13" s="30"/>
      <c r="P13" s="77"/>
      <c r="Q13" s="78" t="s">
        <v>90</v>
      </c>
      <c r="R13" s="30"/>
      <c r="S13" s="18"/>
    </row>
    <row r="14" ht="16.5" customHeight="1">
      <c r="A14" s="18"/>
      <c r="B14" s="80" t="s">
        <v>91</v>
      </c>
      <c r="C14" s="81">
        <f>'Synthèse client - simplifiée'!D14</f>
        <v>796.6109744</v>
      </c>
      <c r="D14" s="77"/>
      <c r="E14" s="80" t="s">
        <v>92</v>
      </c>
      <c r="F14" s="82">
        <f>'Synthèse client - simplifiée'!I14</f>
        <v>1312.356174</v>
      </c>
      <c r="G14" s="79"/>
      <c r="H14" s="80" t="s">
        <v>91</v>
      </c>
      <c r="I14" s="81">
        <f>'Synthèse client - simplifiée'!D22</f>
        <v>834.1068888</v>
      </c>
      <c r="J14" s="77"/>
      <c r="K14" s="80" t="s">
        <v>92</v>
      </c>
      <c r="L14" s="82">
        <f>'Synthèse client - simplifiée'!I22</f>
        <v>1312.356174</v>
      </c>
      <c r="M14" s="79"/>
      <c r="N14" s="80" t="s">
        <v>91</v>
      </c>
      <c r="O14" s="81">
        <f>'Synthèse client - simplifiée'!D30</f>
        <v>901.8907082</v>
      </c>
      <c r="P14" s="77"/>
      <c r="Q14" s="80" t="s">
        <v>92</v>
      </c>
      <c r="R14" s="82">
        <f>'Synthèse client - simplifiée'!I30</f>
        <v>1312.356174</v>
      </c>
      <c r="S14" s="18"/>
    </row>
    <row r="15" ht="16.5" customHeight="1">
      <c r="A15" s="18"/>
      <c r="B15" s="80" t="s">
        <v>93</v>
      </c>
      <c r="C15" s="81">
        <f>'Synthèse client - simplifiée'!D15</f>
        <v>294.1196831</v>
      </c>
      <c r="D15" s="77"/>
      <c r="E15" s="80" t="s">
        <v>94</v>
      </c>
      <c r="F15" s="82">
        <f>'Synthèse client - simplifiée'!I15</f>
        <v>238.9832923</v>
      </c>
      <c r="G15" s="79"/>
      <c r="H15" s="80" t="s">
        <v>93</v>
      </c>
      <c r="I15" s="81">
        <f>'Synthèse client - simplifiée'!D23</f>
        <v>260.1417782</v>
      </c>
      <c r="J15" s="77"/>
      <c r="K15" s="80" t="s">
        <v>94</v>
      </c>
      <c r="L15" s="82">
        <f>'Synthèse client - simplifiée'!I23</f>
        <v>250.2320667</v>
      </c>
      <c r="M15" s="79"/>
      <c r="N15" s="80" t="s">
        <v>93</v>
      </c>
      <c r="O15" s="81">
        <f>'Synthèse client - simplifiée'!D31</f>
        <v>185.1219167</v>
      </c>
      <c r="P15" s="77"/>
      <c r="Q15" s="80" t="s">
        <v>94</v>
      </c>
      <c r="R15" s="82">
        <f>'Synthèse client - simplifiée'!I31</f>
        <v>270.5672125</v>
      </c>
      <c r="S15" s="18"/>
    </row>
    <row r="16" ht="16.5" customHeight="1">
      <c r="A16" s="18"/>
      <c r="B16" s="83" t="s">
        <v>95</v>
      </c>
      <c r="C16" s="84">
        <f>'Synthèse client - simplifiée'!D16</f>
        <v>1090.730658</v>
      </c>
      <c r="D16" s="85"/>
      <c r="E16" s="86" t="s">
        <v>95</v>
      </c>
      <c r="F16" s="87">
        <f>'Synthèse client - simplifiée'!I16</f>
        <v>1551.339466</v>
      </c>
      <c r="G16" s="18"/>
      <c r="H16" s="88" t="s">
        <v>95</v>
      </c>
      <c r="I16" s="84">
        <f>'Synthèse client - simplifiée'!D24</f>
        <v>1094.248667</v>
      </c>
      <c r="J16" s="85"/>
      <c r="K16" s="86" t="s">
        <v>95</v>
      </c>
      <c r="L16" s="87">
        <f>'Synthèse client - simplifiée'!I24</f>
        <v>1562.58824</v>
      </c>
      <c r="M16" s="18"/>
      <c r="N16" s="88" t="s">
        <v>95</v>
      </c>
      <c r="O16" s="84">
        <f>'Synthèse client - simplifiée'!D32</f>
        <v>1087.012625</v>
      </c>
      <c r="P16" s="85"/>
      <c r="Q16" s="86" t="s">
        <v>95</v>
      </c>
      <c r="R16" s="87">
        <f>'Synthèse client - simplifiée'!I32</f>
        <v>1582.923386</v>
      </c>
      <c r="S16" s="18"/>
    </row>
    <row r="17" ht="6.0" customHeight="1">
      <c r="A17" s="18"/>
      <c r="B17" s="18"/>
      <c r="C17" s="18"/>
      <c r="D17" s="18"/>
      <c r="E17" s="18"/>
      <c r="F17" s="18"/>
      <c r="G17" s="18"/>
      <c r="H17" s="18"/>
      <c r="I17" s="18"/>
      <c r="J17" s="18"/>
      <c r="K17" s="18"/>
      <c r="L17" s="18"/>
      <c r="M17" s="18"/>
      <c r="N17" s="18"/>
      <c r="O17" s="18"/>
      <c r="P17" s="18"/>
      <c r="Q17" s="18"/>
      <c r="R17" s="18"/>
      <c r="S17" s="18"/>
    </row>
    <row r="18" ht="15.75" customHeight="1">
      <c r="A18" s="18"/>
      <c r="B18" s="89" t="s">
        <v>96</v>
      </c>
      <c r="C18" s="90"/>
      <c r="D18" s="91"/>
      <c r="E18" s="92">
        <f>ABS('Synthèse client - simplifiée'!G17)</f>
        <v>460.6088084</v>
      </c>
      <c r="F18" s="91"/>
      <c r="G18" s="18"/>
      <c r="H18" s="89" t="s">
        <v>96</v>
      </c>
      <c r="I18" s="90"/>
      <c r="J18" s="91"/>
      <c r="K18" s="92">
        <f>ABS('Synthèse client - simplifiée'!G25)</f>
        <v>468.3395733</v>
      </c>
      <c r="L18" s="91"/>
      <c r="M18" s="18"/>
      <c r="N18" s="89" t="s">
        <v>96</v>
      </c>
      <c r="O18" s="90"/>
      <c r="P18" s="91"/>
      <c r="Q18" s="92">
        <f>ABS('Synthèse client - simplifiée'!G33)</f>
        <v>495.9107612</v>
      </c>
      <c r="R18" s="91"/>
      <c r="S18" s="18"/>
    </row>
    <row r="19" ht="12.0" customHeight="1">
      <c r="A19" s="18"/>
      <c r="B19" s="93" t="s">
        <v>97</v>
      </c>
      <c r="C19" s="52"/>
      <c r="D19" s="52"/>
      <c r="E19" s="52"/>
      <c r="F19" s="30"/>
      <c r="G19" s="18"/>
      <c r="H19" s="93" t="s">
        <v>97</v>
      </c>
      <c r="I19" s="52"/>
      <c r="J19" s="52"/>
      <c r="K19" s="52"/>
      <c r="L19" s="30"/>
      <c r="M19" s="18"/>
      <c r="N19" s="93" t="s">
        <v>97</v>
      </c>
      <c r="O19" s="52"/>
      <c r="P19" s="52"/>
      <c r="Q19" s="52"/>
      <c r="R19" s="30"/>
      <c r="S19" s="18"/>
    </row>
    <row r="20" ht="25.5" customHeight="1">
      <c r="A20" s="18"/>
      <c r="B20" s="94" t="str">
        <f>"Capital net si prix de vente = prix d'achat  ·  dont "&amp;TEXT(ABS('Synthèse client - simplifiée'!M17),"#,##0")&amp;" € via Jeanbrun"</f>
        <v>Capital net si prix de vente = prix d'achat  ·  dont 24 236 € via Jeanbrun</v>
      </c>
      <c r="C20" s="52"/>
      <c r="D20" s="52"/>
      <c r="E20" s="52"/>
      <c r="F20" s="30"/>
      <c r="G20" s="79"/>
      <c r="H20" s="95" t="str">
        <f>"Capital net si prix de vente = prix d'achat  ·  dont "&amp;TEXT(ABS('Synthèse client - simplifiée'!M25),"#,##0")&amp;" € via Jeanbrun"</f>
        <v>Capital net si prix de vente = prix d'achat  ·  dont 43 189 € via Jeanbrun</v>
      </c>
      <c r="I20" s="52"/>
      <c r="J20" s="52"/>
      <c r="K20" s="52"/>
      <c r="L20" s="30"/>
      <c r="M20" s="79"/>
      <c r="N20" s="96" t="str">
        <f>"Capital net si prix de vente = prix d'achat  ·  dont "&amp;TEXT(ABS('Synthèse client - simplifiée'!M33),"#,##0")&amp;" € via Jeanbrun"</f>
        <v>Capital net si prix de vente = prix d'achat  ·  dont 76 066 € via Jeanbrun</v>
      </c>
      <c r="O20" s="52"/>
      <c r="P20" s="52"/>
      <c r="Q20" s="52"/>
      <c r="R20" s="30"/>
      <c r="S20" s="18"/>
    </row>
    <row r="21" ht="26.25" customHeight="1">
      <c r="A21" s="18"/>
      <c r="B21" s="97">
        <f>'Synthèse client - simplifiée'!M14</f>
        <v>73286.1542</v>
      </c>
      <c r="C21" s="52"/>
      <c r="D21" s="52"/>
      <c r="E21" s="52"/>
      <c r="F21" s="30"/>
      <c r="G21" s="18"/>
      <c r="H21" s="98">
        <f>'Synthèse client - simplifiée'!M22</f>
        <v>122412.8739</v>
      </c>
      <c r="I21" s="52"/>
      <c r="J21" s="52"/>
      <c r="K21" s="52"/>
      <c r="L21" s="30"/>
      <c r="M21" s="18"/>
      <c r="N21" s="99">
        <f>'Synthèse client - simplifiée'!M30</f>
        <v>250441.1</v>
      </c>
      <c r="O21" s="52"/>
      <c r="P21" s="52"/>
      <c r="Q21" s="52"/>
      <c r="R21" s="30"/>
      <c r="S21" s="18"/>
    </row>
    <row r="22" ht="9.75" customHeight="1">
      <c r="A22" s="18"/>
      <c r="B22" s="18"/>
      <c r="C22" s="18"/>
      <c r="D22" s="18"/>
      <c r="E22" s="18"/>
      <c r="F22" s="18"/>
      <c r="G22" s="18"/>
      <c r="H22" s="18"/>
      <c r="I22" s="18"/>
      <c r="J22" s="18"/>
      <c r="K22" s="18"/>
      <c r="L22" s="18"/>
      <c r="M22" s="18"/>
      <c r="N22" s="18"/>
      <c r="O22" s="18"/>
      <c r="P22" s="18"/>
      <c r="Q22" s="18"/>
      <c r="R22" s="18"/>
      <c r="S22" s="18"/>
    </row>
    <row r="23" ht="18.0" customHeight="1">
      <c r="A23" s="18"/>
      <c r="B23" s="100" t="s">
        <v>98</v>
      </c>
      <c r="C23" s="52"/>
      <c r="D23" s="52"/>
      <c r="E23" s="52"/>
      <c r="F23" s="52"/>
      <c r="G23" s="52"/>
      <c r="H23" s="52"/>
      <c r="I23" s="52"/>
      <c r="J23" s="52"/>
      <c r="K23" s="52"/>
      <c r="L23" s="52"/>
      <c r="M23" s="52"/>
      <c r="N23" s="52"/>
      <c r="O23" s="52"/>
      <c r="P23" s="52"/>
      <c r="Q23" s="52"/>
      <c r="R23" s="30"/>
      <c r="S23" s="18"/>
    </row>
    <row r="24" ht="13.5" customHeight="1"/>
    <row r="25" ht="15.75" customHeight="1"/>
    <row r="26" ht="15.75" customHeight="1"/>
    <row r="27" ht="15.75" customHeight="1">
      <c r="Q27" s="101"/>
    </row>
    <row r="28" ht="15.75" customHeight="1"/>
    <row r="29" ht="15.75" customHeight="1"/>
    <row r="30" ht="15.75" customHeight="1"/>
    <row r="31" ht="15.75" customHeight="1"/>
    <row r="32" ht="15.75" customHeight="1"/>
    <row r="33" ht="15.75" customHeight="1"/>
    <row r="34" ht="15.75" customHeight="1"/>
    <row r="35" ht="15.75" customHeight="1"/>
    <row r="36" ht="15.75" customHeight="1"/>
    <row r="37" ht="14.25" customHeight="1">
      <c r="A37" s="18"/>
      <c r="B37" s="102"/>
      <c r="C37" s="102"/>
      <c r="D37" s="102"/>
      <c r="E37" s="102"/>
      <c r="F37" s="102"/>
      <c r="G37" s="102"/>
      <c r="H37" s="102"/>
      <c r="I37" s="102"/>
      <c r="J37" s="102"/>
      <c r="K37" s="102"/>
      <c r="L37" s="102"/>
      <c r="M37" s="102"/>
      <c r="N37" s="102"/>
      <c r="O37" s="102"/>
      <c r="P37" s="102"/>
      <c r="Q37" s="102"/>
      <c r="R37" s="102"/>
      <c r="S37" s="18"/>
    </row>
    <row r="38" ht="7.5" customHeight="1">
      <c r="A38" s="18"/>
      <c r="B38" s="103"/>
      <c r="C38" s="103"/>
      <c r="D38" s="103"/>
      <c r="E38" s="103"/>
      <c r="F38" s="103"/>
      <c r="G38" s="18"/>
      <c r="H38" s="104"/>
      <c r="I38" s="104"/>
      <c r="J38" s="104"/>
      <c r="K38" s="104"/>
      <c r="L38" s="104"/>
      <c r="M38" s="18"/>
      <c r="N38" s="105"/>
      <c r="O38" s="105"/>
      <c r="P38" s="105"/>
      <c r="Q38" s="105"/>
      <c r="R38" s="105"/>
      <c r="S38" s="18"/>
    </row>
    <row r="39" ht="18.0" customHeight="1">
      <c r="A39" s="18"/>
      <c r="B39" s="106" t="s">
        <v>99</v>
      </c>
      <c r="C39" s="107" t="s">
        <v>100</v>
      </c>
      <c r="D39" s="52"/>
      <c r="E39" s="52"/>
      <c r="F39" s="30"/>
      <c r="G39" s="18"/>
      <c r="H39" s="108" t="s">
        <v>101</v>
      </c>
      <c r="I39" s="109" t="s">
        <v>102</v>
      </c>
      <c r="J39" s="52"/>
      <c r="K39" s="52"/>
      <c r="L39" s="30"/>
      <c r="M39" s="18"/>
      <c r="N39" s="110" t="s">
        <v>103</v>
      </c>
      <c r="O39" s="111" t="s">
        <v>104</v>
      </c>
      <c r="P39" s="52"/>
      <c r="Q39" s="52"/>
      <c r="R39" s="30"/>
      <c r="S39" s="18"/>
    </row>
    <row r="40" ht="12.75" customHeight="1">
      <c r="A40" s="18"/>
      <c r="B40" s="112"/>
      <c r="C40" s="113" t="s">
        <v>105</v>
      </c>
      <c r="D40" s="114"/>
      <c r="E40" s="114"/>
      <c r="F40" s="115"/>
      <c r="G40" s="18"/>
      <c r="H40" s="112"/>
      <c r="I40" s="116" t="s">
        <v>106</v>
      </c>
      <c r="J40" s="114"/>
      <c r="K40" s="114"/>
      <c r="L40" s="115"/>
      <c r="M40" s="18"/>
      <c r="N40" s="112"/>
      <c r="O40" s="117" t="s">
        <v>107</v>
      </c>
      <c r="P40" s="114"/>
      <c r="Q40" s="114"/>
      <c r="R40" s="115"/>
      <c r="S40" s="18"/>
    </row>
    <row r="41" ht="12.75" customHeight="1">
      <c r="A41" s="18"/>
      <c r="B41" s="112"/>
      <c r="C41" s="118"/>
      <c r="F41" s="119"/>
      <c r="G41" s="18"/>
      <c r="H41" s="112"/>
      <c r="I41" s="118"/>
      <c r="L41" s="119"/>
      <c r="M41" s="18"/>
      <c r="N41" s="112"/>
      <c r="O41" s="118"/>
      <c r="R41" s="119"/>
      <c r="S41" s="18"/>
    </row>
    <row r="42" ht="12.75" customHeight="1">
      <c r="A42" s="18"/>
      <c r="B42" s="112"/>
      <c r="C42" s="118"/>
      <c r="F42" s="119"/>
      <c r="G42" s="18"/>
      <c r="H42" s="112"/>
      <c r="I42" s="118"/>
      <c r="L42" s="119"/>
      <c r="M42" s="18"/>
      <c r="N42" s="112"/>
      <c r="O42" s="118"/>
      <c r="R42" s="119"/>
      <c r="S42" s="18"/>
    </row>
    <row r="43" ht="12.75" customHeight="1">
      <c r="A43" s="18"/>
      <c r="B43" s="120"/>
      <c r="C43" s="121"/>
      <c r="D43" s="122"/>
      <c r="E43" s="122"/>
      <c r="F43" s="123"/>
      <c r="G43" s="18"/>
      <c r="H43" s="120"/>
      <c r="I43" s="121"/>
      <c r="J43" s="122"/>
      <c r="K43" s="122"/>
      <c r="L43" s="123"/>
      <c r="M43" s="18"/>
      <c r="N43" s="120"/>
      <c r="O43" s="121"/>
      <c r="P43" s="122"/>
      <c r="Q43" s="122"/>
      <c r="R43" s="123"/>
      <c r="S43" s="18"/>
    </row>
    <row r="44" ht="6.0" customHeight="1">
      <c r="A44" s="18"/>
      <c r="B44" s="103"/>
      <c r="C44" s="103"/>
      <c r="D44" s="103"/>
      <c r="E44" s="103"/>
      <c r="F44" s="103"/>
      <c r="G44" s="18"/>
      <c r="H44" s="104"/>
      <c r="I44" s="104"/>
      <c r="J44" s="104"/>
      <c r="K44" s="104"/>
      <c r="L44" s="104"/>
      <c r="M44" s="18"/>
      <c r="N44" s="105"/>
      <c r="O44" s="105"/>
      <c r="P44" s="105"/>
      <c r="Q44" s="105"/>
      <c r="R44" s="105"/>
      <c r="S44" s="18"/>
    </row>
    <row r="45" ht="18.0" customHeight="1">
      <c r="A45" s="50"/>
      <c r="B45" s="124" t="s">
        <v>108</v>
      </c>
      <c r="C45" s="52"/>
      <c r="D45" s="52"/>
      <c r="E45" s="52"/>
      <c r="F45" s="52"/>
      <c r="G45" s="52"/>
      <c r="H45" s="52"/>
      <c r="I45" s="52"/>
      <c r="J45" s="52"/>
      <c r="K45" s="52"/>
      <c r="L45" s="52"/>
      <c r="M45" s="52"/>
      <c r="N45" s="52"/>
      <c r="O45" s="52"/>
      <c r="P45" s="52"/>
      <c r="Q45" s="52"/>
      <c r="R45" s="30"/>
      <c r="S45" s="50"/>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5">
    <mergeCell ref="H5:I6"/>
    <mergeCell ref="H7:I7"/>
    <mergeCell ref="I11:L11"/>
    <mergeCell ref="H12:L12"/>
    <mergeCell ref="H13:I13"/>
    <mergeCell ref="K13:L13"/>
    <mergeCell ref="K18:L18"/>
    <mergeCell ref="O11:R11"/>
    <mergeCell ref="N12:R12"/>
    <mergeCell ref="N13:O13"/>
    <mergeCell ref="Q13:R13"/>
    <mergeCell ref="N18:P18"/>
    <mergeCell ref="Q18:R18"/>
    <mergeCell ref="N19:R19"/>
    <mergeCell ref="B2:H2"/>
    <mergeCell ref="I2:R2"/>
    <mergeCell ref="E4:F4"/>
    <mergeCell ref="H4:I4"/>
    <mergeCell ref="K4:L4"/>
    <mergeCell ref="N4:O4"/>
    <mergeCell ref="Q4:R4"/>
    <mergeCell ref="B4:C4"/>
    <mergeCell ref="B5:C6"/>
    <mergeCell ref="E5:F6"/>
    <mergeCell ref="K5:L6"/>
    <mergeCell ref="N5:O6"/>
    <mergeCell ref="Q5:R6"/>
    <mergeCell ref="B9:R9"/>
    <mergeCell ref="H18:J18"/>
    <mergeCell ref="H19:L19"/>
    <mergeCell ref="H20:L20"/>
    <mergeCell ref="H21:L21"/>
    <mergeCell ref="I39:L39"/>
    <mergeCell ref="N39:N43"/>
    <mergeCell ref="I40:L43"/>
    <mergeCell ref="B19:F19"/>
    <mergeCell ref="B20:F20"/>
    <mergeCell ref="B21:F21"/>
    <mergeCell ref="B39:B43"/>
    <mergeCell ref="C39:F39"/>
    <mergeCell ref="H39:H43"/>
    <mergeCell ref="C40:F43"/>
    <mergeCell ref="B7:C7"/>
    <mergeCell ref="C11:F11"/>
    <mergeCell ref="B12:F12"/>
    <mergeCell ref="B13:C13"/>
    <mergeCell ref="E13:F13"/>
    <mergeCell ref="B18:D18"/>
    <mergeCell ref="E18:F18"/>
    <mergeCell ref="N20:R20"/>
    <mergeCell ref="N21:R21"/>
    <mergeCell ref="B23:R23"/>
    <mergeCell ref="O39:R39"/>
    <mergeCell ref="O40:R43"/>
    <mergeCell ref="B45:R45"/>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FA3"/>
    <pageSetUpPr fitToPage="1"/>
  </sheetPr>
  <sheetViews>
    <sheetView workbookViewId="0"/>
  </sheetViews>
  <sheetFormatPr customHeight="1" defaultColWidth="14.43" defaultRowHeight="15.0"/>
  <cols>
    <col customWidth="1" min="1" max="1" width="19.86"/>
    <col customWidth="1" min="2" max="2" width="4.0"/>
    <col customWidth="1" min="3" max="3" width="20.0"/>
    <col customWidth="1" min="4" max="4" width="15.29"/>
    <col customWidth="1" min="5" max="5" width="12.43"/>
    <col customWidth="1" min="6" max="6" width="4.0"/>
    <col customWidth="1" min="7" max="7" width="21.14"/>
    <col customWidth="1" min="8" max="8" width="14.0"/>
    <col customWidth="1" min="9" max="9" width="23.29"/>
    <col customWidth="1" min="10" max="10" width="2.0"/>
    <col customWidth="1" min="11" max="11" width="4.0"/>
    <col customWidth="1" min="12" max="13" width="16.0"/>
  </cols>
  <sheetData>
    <row r="1" ht="36.0" customHeight="1">
      <c r="A1" s="125" t="s">
        <v>109</v>
      </c>
      <c r="B1" s="52"/>
      <c r="C1" s="52"/>
      <c r="D1" s="52"/>
      <c r="E1" s="52"/>
      <c r="F1" s="52"/>
      <c r="G1" s="52"/>
      <c r="H1" s="52"/>
      <c r="I1" s="30"/>
      <c r="J1" s="45"/>
      <c r="K1" s="45"/>
      <c r="L1" s="45"/>
      <c r="M1" s="45"/>
    </row>
    <row r="2" ht="18.0" customHeight="1">
      <c r="A2" s="126" t="s">
        <v>110</v>
      </c>
      <c r="B2" s="52"/>
      <c r="C2" s="52"/>
      <c r="D2" s="52"/>
      <c r="E2" s="52"/>
      <c r="F2" s="52"/>
      <c r="G2" s="52"/>
      <c r="H2" s="52"/>
      <c r="I2" s="30"/>
      <c r="J2" s="45"/>
      <c r="K2" s="45"/>
      <c r="L2" s="45"/>
      <c r="M2" s="45"/>
    </row>
    <row r="3" ht="6.0" customHeight="1">
      <c r="A3" s="45"/>
      <c r="B3" s="45"/>
      <c r="C3" s="45"/>
      <c r="D3" s="45"/>
      <c r="E3" s="45"/>
      <c r="F3" s="45"/>
      <c r="G3" s="45"/>
      <c r="H3" s="45"/>
      <c r="I3" s="45"/>
      <c r="J3" s="45"/>
      <c r="K3" s="45"/>
      <c r="L3" s="45"/>
      <c r="M3" s="45"/>
    </row>
    <row r="4" ht="21.75" customHeight="1">
      <c r="A4" s="127" t="s">
        <v>111</v>
      </c>
      <c r="B4" s="52"/>
      <c r="C4" s="52"/>
      <c r="D4" s="52"/>
      <c r="E4" s="30"/>
      <c r="F4" s="127" t="s">
        <v>112</v>
      </c>
      <c r="G4" s="52"/>
      <c r="H4" s="52"/>
      <c r="I4" s="30"/>
      <c r="J4" s="45"/>
      <c r="K4" s="45"/>
      <c r="L4" s="45"/>
      <c r="M4" s="45"/>
    </row>
    <row r="5" ht="21.0" customHeight="1">
      <c r="A5" s="128" t="s">
        <v>113</v>
      </c>
      <c r="B5" s="45"/>
      <c r="C5" s="129">
        <f>'Synthèse Client - détaillée'!C5</f>
        <v>95000</v>
      </c>
      <c r="D5" s="128" t="s">
        <v>114</v>
      </c>
      <c r="E5" s="130">
        <f>'Synthèse Client - détaillée'!F5</f>
        <v>2.5</v>
      </c>
      <c r="F5" s="128" t="s">
        <v>4</v>
      </c>
      <c r="G5" s="45"/>
      <c r="H5" s="129">
        <f>'Synthèse Client - détaillée'!J5</f>
        <v>260000</v>
      </c>
      <c r="I5" s="131" t="str">
        <f>'Synthèse Client - détaillée'!M5</f>
        <v>A</v>
      </c>
      <c r="J5" s="45"/>
      <c r="K5" s="45"/>
      <c r="L5" s="45"/>
      <c r="M5" s="45"/>
    </row>
    <row r="6" ht="27.0" customHeight="1">
      <c r="A6" s="128" t="s">
        <v>115</v>
      </c>
      <c r="B6" s="45"/>
      <c r="C6" s="132">
        <f>'Synthèse Client - détaillée'!F6</f>
        <v>0.3</v>
      </c>
      <c r="D6" s="128" t="s">
        <v>116</v>
      </c>
      <c r="E6" s="129">
        <f>'Synthèse Client - détaillée'!F7</f>
        <v>5092.297705</v>
      </c>
      <c r="F6" s="133" t="s">
        <v>117</v>
      </c>
      <c r="H6" s="134">
        <f>'Synthèse Client - détaillée'!J6</f>
        <v>47.5</v>
      </c>
      <c r="I6" s="135" t="str">
        <f>'Synthèse Client - détaillée'!M7</f>
        <v/>
      </c>
      <c r="J6" s="45"/>
      <c r="K6" s="45"/>
      <c r="L6" s="45"/>
      <c r="M6" s="45"/>
    </row>
    <row r="7" ht="15.0" customHeight="1">
      <c r="A7" s="128" t="s">
        <v>118</v>
      </c>
      <c r="B7" s="45"/>
      <c r="C7" s="129">
        <f>'Synthèse Client - détaillée'!F12</f>
        <v>1312.356174</v>
      </c>
      <c r="D7" s="128" t="s">
        <v>119</v>
      </c>
      <c r="E7" s="129">
        <f>'Synthèse Client - détaillée'!C10</f>
        <v>15000</v>
      </c>
      <c r="F7" s="128" t="s">
        <v>120</v>
      </c>
      <c r="G7" s="45"/>
      <c r="H7" s="129">
        <f>'Synthèse Client - détaillée'!J7</f>
        <v>750</v>
      </c>
      <c r="I7" s="131" t="str">
        <f>'Synthèse Client - détaillée'!M6</f>
        <v>Loyer intermédiaire</v>
      </c>
      <c r="J7" s="45"/>
      <c r="K7" s="45"/>
      <c r="L7" s="45"/>
      <c r="M7" s="45"/>
    </row>
    <row r="8" ht="6.0" customHeight="1">
      <c r="A8" s="45"/>
      <c r="B8" s="45"/>
      <c r="C8" s="45"/>
      <c r="D8" s="45"/>
      <c r="E8" s="45"/>
      <c r="F8" s="45"/>
      <c r="G8" s="45"/>
      <c r="H8" s="45"/>
      <c r="I8" s="45"/>
      <c r="J8" s="45"/>
      <c r="K8" s="45"/>
      <c r="L8" s="45"/>
      <c r="M8" s="45"/>
    </row>
    <row r="9" ht="17.25" customHeight="1">
      <c r="A9" s="136"/>
      <c r="J9" s="45"/>
      <c r="K9" s="45"/>
      <c r="L9" s="45"/>
      <c r="M9" s="45"/>
    </row>
    <row r="10" ht="7.5" customHeight="1">
      <c r="A10" s="45"/>
      <c r="B10" s="45"/>
      <c r="C10" s="45"/>
      <c r="D10" s="45"/>
      <c r="E10" s="45"/>
      <c r="F10" s="45"/>
      <c r="G10" s="45"/>
      <c r="H10" s="45"/>
      <c r="I10" s="45"/>
      <c r="J10" s="45"/>
      <c r="K10" s="45"/>
      <c r="L10" s="45"/>
      <c r="M10" s="45"/>
    </row>
    <row r="11" ht="30.0" customHeight="1">
      <c r="A11" s="137" t="s">
        <v>121</v>
      </c>
      <c r="B11" s="52"/>
      <c r="C11" s="52"/>
      <c r="D11" s="52"/>
      <c r="E11" s="52"/>
      <c r="F11" s="52"/>
      <c r="G11" s="52"/>
      <c r="H11" s="52"/>
      <c r="I11" s="30"/>
      <c r="J11" s="45"/>
      <c r="K11" s="45"/>
      <c r="L11" s="45"/>
      <c r="M11" s="45"/>
    </row>
    <row r="12" ht="15.75" customHeight="1">
      <c r="A12" s="138" t="s">
        <v>122</v>
      </c>
      <c r="B12" s="52"/>
      <c r="C12" s="52"/>
      <c r="D12" s="52"/>
      <c r="E12" s="52"/>
      <c r="F12" s="52"/>
      <c r="G12" s="52"/>
      <c r="H12" s="52"/>
      <c r="I12" s="30"/>
      <c r="J12" s="45"/>
      <c r="K12" s="45"/>
      <c r="L12" s="45"/>
      <c r="M12" s="45"/>
    </row>
    <row r="13" ht="24.0" customHeight="1">
      <c r="A13" s="127" t="s">
        <v>123</v>
      </c>
      <c r="B13" s="52"/>
      <c r="C13" s="52"/>
      <c r="D13" s="30"/>
      <c r="E13" s="18"/>
      <c r="F13" s="139" t="s">
        <v>124</v>
      </c>
      <c r="G13" s="52"/>
      <c r="H13" s="52"/>
      <c r="I13" s="30"/>
      <c r="J13" s="45"/>
      <c r="K13" s="140" t="s">
        <v>125</v>
      </c>
      <c r="L13" s="52"/>
      <c r="M13" s="30"/>
    </row>
    <row r="14" ht="30.0" customHeight="1">
      <c r="A14" s="141" t="s">
        <v>126</v>
      </c>
      <c r="B14" s="52"/>
      <c r="C14" s="30"/>
      <c r="D14" s="142">
        <f>AVERAGE(Moteur!B4:B12)/12</f>
        <v>796.6109744</v>
      </c>
      <c r="E14" s="18"/>
      <c r="F14" s="143" t="s">
        <v>127</v>
      </c>
      <c r="G14" s="52"/>
      <c r="H14" s="30"/>
      <c r="I14" s="144">
        <f>'Hypothèses'!B20+'Hypothèses'!B19</f>
        <v>1312.356174</v>
      </c>
      <c r="J14" s="45"/>
      <c r="K14" s="145" t="s">
        <v>128</v>
      </c>
      <c r="L14" s="30"/>
      <c r="M14" s="146">
        <f>Moteur!AH12</f>
        <v>73286.1542</v>
      </c>
    </row>
    <row r="15" ht="30.0" customHeight="1">
      <c r="A15" s="141" t="s">
        <v>129</v>
      </c>
      <c r="B15" s="52"/>
      <c r="C15" s="30"/>
      <c r="D15" s="142">
        <f>SUM(Moteur!AG4:AG12)/(9*12)</f>
        <v>294.1196831</v>
      </c>
      <c r="E15" s="18"/>
      <c r="F15" s="143" t="s">
        <v>130</v>
      </c>
      <c r="G15" s="52"/>
      <c r="H15" s="30"/>
      <c r="I15" s="144">
        <f>AVERAGE(Moteur!C4:C12)/12</f>
        <v>238.9832923</v>
      </c>
      <c r="J15" s="45"/>
      <c r="K15" s="147" t="s">
        <v>131</v>
      </c>
      <c r="L15" s="30"/>
      <c r="M15" s="148">
        <f>SUM(Moteur!AG4:AG12)</f>
        <v>31764.92578</v>
      </c>
    </row>
    <row r="16" ht="31.5" customHeight="1">
      <c r="A16" s="149" t="s">
        <v>132</v>
      </c>
      <c r="B16" s="52"/>
      <c r="C16" s="30"/>
      <c r="D16" s="150">
        <f>D14+D15</f>
        <v>1090.730658</v>
      </c>
      <c r="E16" s="18"/>
      <c r="F16" s="151" t="s">
        <v>133</v>
      </c>
      <c r="G16" s="52"/>
      <c r="H16" s="30"/>
      <c r="I16" s="152">
        <f>I14+I15</f>
        <v>1551.339466</v>
      </c>
      <c r="J16" s="45"/>
      <c r="K16" s="153" t="s">
        <v>134</v>
      </c>
      <c r="L16" s="30"/>
      <c r="M16" s="154">
        <f>M15-M17</f>
        <v>7528.654027</v>
      </c>
    </row>
    <row r="17" ht="39.75" customHeight="1">
      <c r="A17" s="155" t="s">
        <v>135</v>
      </c>
      <c r="B17" s="52"/>
      <c r="C17" s="52"/>
      <c r="D17" s="52"/>
      <c r="E17" s="52"/>
      <c r="F17" s="30"/>
      <c r="G17" s="156">
        <f>D16-I16</f>
        <v>-460.6088084</v>
      </c>
      <c r="H17" s="52"/>
      <c r="I17" s="30"/>
      <c r="J17" s="45"/>
      <c r="K17" s="157" t="s">
        <v>136</v>
      </c>
      <c r="L17" s="30"/>
      <c r="M17" s="158">
        <f>SUM(Moteur!B125:J125)</f>
        <v>24236.27175</v>
      </c>
    </row>
    <row r="18" ht="9.75" customHeight="1">
      <c r="A18" s="45"/>
      <c r="B18" s="45"/>
      <c r="C18" s="45"/>
      <c r="D18" s="45"/>
      <c r="E18" s="45"/>
      <c r="F18" s="45"/>
      <c r="G18" s="45"/>
      <c r="H18" s="45"/>
      <c r="I18" s="45"/>
      <c r="J18" s="45"/>
      <c r="K18" s="45"/>
      <c r="L18" s="45"/>
      <c r="M18" s="45"/>
    </row>
    <row r="19" ht="30.0" customHeight="1">
      <c r="A19" s="137" t="s">
        <v>137</v>
      </c>
      <c r="B19" s="52"/>
      <c r="C19" s="52"/>
      <c r="D19" s="52"/>
      <c r="E19" s="52"/>
      <c r="F19" s="52"/>
      <c r="G19" s="52"/>
      <c r="H19" s="52"/>
      <c r="I19" s="30"/>
      <c r="J19" s="45"/>
      <c r="K19" s="45"/>
      <c r="L19" s="45"/>
      <c r="M19" s="45"/>
    </row>
    <row r="20" ht="15.75" customHeight="1">
      <c r="A20" s="138" t="s">
        <v>138</v>
      </c>
      <c r="B20" s="52"/>
      <c r="C20" s="52"/>
      <c r="D20" s="52"/>
      <c r="E20" s="52"/>
      <c r="F20" s="52"/>
      <c r="G20" s="52"/>
      <c r="H20" s="52"/>
      <c r="I20" s="30"/>
      <c r="J20" s="45"/>
      <c r="K20" s="45"/>
      <c r="L20" s="45"/>
      <c r="M20" s="45"/>
    </row>
    <row r="21" ht="24.0" customHeight="1">
      <c r="A21" s="127" t="s">
        <v>123</v>
      </c>
      <c r="B21" s="52"/>
      <c r="C21" s="52"/>
      <c r="D21" s="30"/>
      <c r="E21" s="18"/>
      <c r="F21" s="139" t="s">
        <v>124</v>
      </c>
      <c r="G21" s="52"/>
      <c r="H21" s="52"/>
      <c r="I21" s="30"/>
      <c r="J21" s="45"/>
      <c r="K21" s="140" t="s">
        <v>139</v>
      </c>
      <c r="L21" s="52"/>
      <c r="M21" s="30"/>
    </row>
    <row r="22" ht="30.0" customHeight="1">
      <c r="A22" s="141" t="s">
        <v>126</v>
      </c>
      <c r="B22" s="52"/>
      <c r="C22" s="30"/>
      <c r="D22" s="142">
        <f>AVERAGE(Moteur!B4:B18)/12</f>
        <v>834.1068888</v>
      </c>
      <c r="E22" s="18"/>
      <c r="F22" s="143" t="s">
        <v>127</v>
      </c>
      <c r="G22" s="52"/>
      <c r="H22" s="30"/>
      <c r="I22" s="144">
        <f>'Hypothèses'!B20+'Hypothèses'!B19</f>
        <v>1312.356174</v>
      </c>
      <c r="J22" s="45"/>
      <c r="K22" s="145" t="s">
        <v>128</v>
      </c>
      <c r="L22" s="30"/>
      <c r="M22" s="146">
        <f>Moteur!AH18</f>
        <v>122412.8739</v>
      </c>
    </row>
    <row r="23" ht="30.0" customHeight="1">
      <c r="A23" s="141" t="s">
        <v>129</v>
      </c>
      <c r="B23" s="52"/>
      <c r="C23" s="30"/>
      <c r="D23" s="142">
        <f>SUM(Moteur!AG4:AG18)/(15*12)</f>
        <v>260.1417782</v>
      </c>
      <c r="E23" s="18"/>
      <c r="F23" s="143" t="s">
        <v>130</v>
      </c>
      <c r="G23" s="52"/>
      <c r="H23" s="30"/>
      <c r="I23" s="144">
        <f>AVERAGE(Moteur!C4:C18)/12</f>
        <v>250.2320667</v>
      </c>
      <c r="J23" s="45"/>
      <c r="K23" s="147" t="s">
        <v>131</v>
      </c>
      <c r="L23" s="30"/>
      <c r="M23" s="148">
        <f>SUM(Moteur!AG4:AG18)</f>
        <v>46825.52007</v>
      </c>
    </row>
    <row r="24" ht="31.5" customHeight="1">
      <c r="A24" s="149" t="s">
        <v>132</v>
      </c>
      <c r="B24" s="52"/>
      <c r="C24" s="30"/>
      <c r="D24" s="150">
        <f>D22+D23</f>
        <v>1094.248667</v>
      </c>
      <c r="E24" s="18"/>
      <c r="F24" s="151" t="s">
        <v>133</v>
      </c>
      <c r="G24" s="52"/>
      <c r="H24" s="30"/>
      <c r="I24" s="152">
        <f>I22+I23</f>
        <v>1562.58824</v>
      </c>
      <c r="J24" s="45"/>
      <c r="K24" s="153" t="s">
        <v>134</v>
      </c>
      <c r="L24" s="30"/>
      <c r="M24" s="154">
        <f>M23-M25</f>
        <v>3636.260489</v>
      </c>
    </row>
    <row r="25" ht="39.75" customHeight="1">
      <c r="A25" s="155" t="s">
        <v>135</v>
      </c>
      <c r="B25" s="52"/>
      <c r="C25" s="52"/>
      <c r="D25" s="52"/>
      <c r="E25" s="52"/>
      <c r="F25" s="30"/>
      <c r="G25" s="156">
        <f>D24-I24</f>
        <v>-468.3395733</v>
      </c>
      <c r="H25" s="52"/>
      <c r="I25" s="30"/>
      <c r="J25" s="45"/>
      <c r="K25" s="157" t="s">
        <v>136</v>
      </c>
      <c r="L25" s="30"/>
      <c r="M25" s="158">
        <f>SUM(Moteur!B125:P125)</f>
        <v>43189.25958</v>
      </c>
    </row>
    <row r="26" ht="9.75" customHeight="1">
      <c r="A26" s="45"/>
      <c r="B26" s="45"/>
      <c r="C26" s="45"/>
      <c r="D26" s="45"/>
      <c r="E26" s="45"/>
      <c r="F26" s="45"/>
      <c r="G26" s="45"/>
      <c r="H26" s="45"/>
      <c r="I26" s="45"/>
      <c r="J26" s="45"/>
      <c r="K26" s="45"/>
      <c r="L26" s="45"/>
      <c r="M26" s="45"/>
    </row>
    <row r="27" ht="30.0" customHeight="1">
      <c r="A27" s="137" t="s">
        <v>140</v>
      </c>
      <c r="B27" s="52"/>
      <c r="C27" s="52"/>
      <c r="D27" s="52"/>
      <c r="E27" s="52"/>
      <c r="F27" s="52"/>
      <c r="G27" s="52"/>
      <c r="H27" s="52"/>
      <c r="I27" s="30"/>
      <c r="J27" s="45"/>
      <c r="K27" s="45"/>
      <c r="L27" s="45"/>
      <c r="M27" s="45"/>
    </row>
    <row r="28" ht="15.75" customHeight="1">
      <c r="A28" s="138" t="s">
        <v>141</v>
      </c>
      <c r="B28" s="52"/>
      <c r="C28" s="52"/>
      <c r="D28" s="52"/>
      <c r="E28" s="52"/>
      <c r="F28" s="52"/>
      <c r="G28" s="52"/>
      <c r="H28" s="52"/>
      <c r="I28" s="30"/>
      <c r="J28" s="45"/>
      <c r="K28" s="45"/>
      <c r="L28" s="45"/>
      <c r="M28" s="45"/>
    </row>
    <row r="29" ht="24.0" customHeight="1">
      <c r="A29" s="127" t="s">
        <v>123</v>
      </c>
      <c r="B29" s="52"/>
      <c r="C29" s="52"/>
      <c r="D29" s="30"/>
      <c r="E29" s="18"/>
      <c r="F29" s="139" t="s">
        <v>124</v>
      </c>
      <c r="G29" s="52"/>
      <c r="H29" s="52"/>
      <c r="I29" s="30"/>
      <c r="J29" s="45"/>
      <c r="K29" s="140" t="s">
        <v>142</v>
      </c>
      <c r="L29" s="52"/>
      <c r="M29" s="30"/>
    </row>
    <row r="30" ht="30.0" customHeight="1">
      <c r="A30" s="141" t="s">
        <v>126</v>
      </c>
      <c r="B30" s="52"/>
      <c r="C30" s="30"/>
      <c r="D30" s="142">
        <f>AVERAGE(Moteur!B4:B28)/12</f>
        <v>901.8907082</v>
      </c>
      <c r="E30" s="18"/>
      <c r="F30" s="143" t="s">
        <v>127</v>
      </c>
      <c r="G30" s="52"/>
      <c r="H30" s="30"/>
      <c r="I30" s="144">
        <f>'Hypothèses'!B20+'Hypothèses'!B19</f>
        <v>1312.356174</v>
      </c>
      <c r="J30" s="45"/>
      <c r="K30" s="145" t="s">
        <v>128</v>
      </c>
      <c r="L30" s="30"/>
      <c r="M30" s="146">
        <f>Moteur!AH28</f>
        <v>250441.1</v>
      </c>
    </row>
    <row r="31" ht="30.0" customHeight="1">
      <c r="A31" s="141" t="s">
        <v>129</v>
      </c>
      <c r="B31" s="52"/>
      <c r="C31" s="30"/>
      <c r="D31" s="142">
        <f>SUM(Moteur!AG4:AG28)/(25*12)</f>
        <v>185.1219167</v>
      </c>
      <c r="E31" s="18"/>
      <c r="F31" s="143" t="s">
        <v>130</v>
      </c>
      <c r="G31" s="52"/>
      <c r="H31" s="30"/>
      <c r="I31" s="144">
        <f>AVERAGE(Moteur!C4:C28)/12</f>
        <v>270.5672125</v>
      </c>
      <c r="J31" s="45"/>
      <c r="K31" s="147" t="s">
        <v>131</v>
      </c>
      <c r="L31" s="30"/>
      <c r="M31" s="148">
        <f>SUM(Moteur!AG4:AG28)</f>
        <v>55536.57502</v>
      </c>
    </row>
    <row r="32" ht="31.5" customHeight="1">
      <c r="A32" s="149" t="s">
        <v>132</v>
      </c>
      <c r="B32" s="52"/>
      <c r="C32" s="30"/>
      <c r="D32" s="150">
        <f>D30+D31</f>
        <v>1087.012625</v>
      </c>
      <c r="E32" s="18"/>
      <c r="F32" s="151" t="s">
        <v>133</v>
      </c>
      <c r="G32" s="52"/>
      <c r="H32" s="30"/>
      <c r="I32" s="152">
        <f>I30+I31</f>
        <v>1582.923386</v>
      </c>
      <c r="J32" s="45"/>
      <c r="K32" s="153" t="s">
        <v>134</v>
      </c>
      <c r="L32" s="30"/>
      <c r="M32" s="154">
        <f>M31-M33</f>
        <v>-20529.16456</v>
      </c>
    </row>
    <row r="33" ht="39.75" customHeight="1">
      <c r="A33" s="155" t="s">
        <v>135</v>
      </c>
      <c r="B33" s="52"/>
      <c r="C33" s="52"/>
      <c r="D33" s="52"/>
      <c r="E33" s="52"/>
      <c r="F33" s="30"/>
      <c r="G33" s="156">
        <f>D32-I32</f>
        <v>-495.9107612</v>
      </c>
      <c r="H33" s="52"/>
      <c r="I33" s="30"/>
      <c r="J33" s="45"/>
      <c r="K33" s="157" t="s">
        <v>136</v>
      </c>
      <c r="L33" s="30"/>
      <c r="M33" s="158">
        <f>SUM(Moteur!B125:Z125)</f>
        <v>76065.73958</v>
      </c>
    </row>
    <row r="34" ht="9.75" customHeight="1">
      <c r="A34" s="45"/>
      <c r="B34" s="45"/>
      <c r="C34" s="45"/>
      <c r="D34" s="45"/>
      <c r="E34" s="45"/>
      <c r="F34" s="45"/>
      <c r="G34" s="45"/>
      <c r="H34" s="45"/>
      <c r="I34" s="45"/>
      <c r="J34" s="45"/>
      <c r="K34" s="45"/>
      <c r="L34" s="45"/>
      <c r="M34" s="45"/>
    </row>
    <row r="35" ht="6.0" customHeight="1">
      <c r="A35" s="45"/>
      <c r="B35" s="45"/>
      <c r="C35" s="45"/>
      <c r="D35" s="45"/>
      <c r="E35" s="45"/>
      <c r="F35" s="45"/>
      <c r="G35" s="45"/>
      <c r="H35" s="45"/>
      <c r="I35" s="45"/>
      <c r="J35" s="45"/>
      <c r="K35" s="45"/>
      <c r="L35" s="45"/>
      <c r="M35" s="45"/>
    </row>
    <row r="36" ht="21.75" customHeight="1">
      <c r="A36" s="159" t="s">
        <v>143</v>
      </c>
      <c r="B36" s="52"/>
      <c r="C36" s="52"/>
      <c r="D36" s="52"/>
      <c r="E36" s="52"/>
      <c r="F36" s="52"/>
      <c r="G36" s="52"/>
      <c r="H36" s="52"/>
      <c r="I36" s="52"/>
      <c r="J36" s="52"/>
      <c r="K36" s="52"/>
      <c r="L36" s="52"/>
      <c r="M36" s="30"/>
    </row>
    <row r="37" ht="15.0" customHeight="1">
      <c r="A37" s="160" t="s">
        <v>144</v>
      </c>
    </row>
    <row r="38" ht="15.0" customHeight="1">
      <c r="A38" s="160" t="s">
        <v>145</v>
      </c>
    </row>
    <row r="39" ht="15.0" customHeight="1">
      <c r="A39" s="160" t="s">
        <v>146</v>
      </c>
    </row>
    <row r="40" ht="15.0" customHeight="1">
      <c r="A40" s="160" t="s">
        <v>147</v>
      </c>
    </row>
    <row r="41" ht="15.0" customHeight="1">
      <c r="A41" s="161" t="s">
        <v>148</v>
      </c>
    </row>
    <row r="42" ht="15.75" customHeight="1">
      <c r="A42" s="161" t="s">
        <v>149</v>
      </c>
    </row>
    <row r="43" ht="15.0" customHeight="1">
      <c r="A43" s="162" t="s">
        <v>150</v>
      </c>
    </row>
    <row r="44" ht="15.75" customHeight="1">
      <c r="A44" s="163"/>
      <c r="B44" s="45"/>
      <c r="C44" s="45"/>
      <c r="D44" s="45"/>
      <c r="E44" s="45"/>
      <c r="F44" s="45"/>
      <c r="G44" s="45"/>
      <c r="H44" s="45"/>
      <c r="I44" s="45"/>
      <c r="J44" s="45"/>
      <c r="K44" s="45"/>
      <c r="L44" s="45"/>
      <c r="M44" s="45"/>
    </row>
    <row r="45" ht="15.75" customHeight="1">
      <c r="A45" s="163" t="s">
        <v>151</v>
      </c>
    </row>
    <row r="46" ht="15.75" customHeight="1">
      <c r="A46" s="164" t="s">
        <v>152</v>
      </c>
    </row>
    <row r="47" ht="15.75" customHeight="1">
      <c r="A47" s="45"/>
      <c r="B47" s="45"/>
      <c r="C47" s="45"/>
      <c r="D47" s="45"/>
      <c r="E47" s="45"/>
      <c r="F47" s="45"/>
      <c r="G47" s="45"/>
      <c r="H47" s="45"/>
      <c r="I47" s="45"/>
      <c r="J47" s="45"/>
      <c r="K47" s="45"/>
      <c r="L47" s="45"/>
      <c r="M47" s="45"/>
    </row>
    <row r="48" ht="15.75" customHeight="1">
      <c r="A48" s="45"/>
      <c r="B48" s="45"/>
      <c r="C48" s="45"/>
      <c r="D48" s="45"/>
      <c r="E48" s="45"/>
      <c r="F48" s="45"/>
      <c r="G48" s="45"/>
      <c r="H48" s="45"/>
      <c r="I48" s="45"/>
      <c r="J48" s="45"/>
      <c r="K48" s="45"/>
      <c r="L48" s="45"/>
      <c r="M48" s="45"/>
    </row>
    <row r="49" ht="15.75" customHeight="1">
      <c r="A49" s="45"/>
      <c r="B49" s="45"/>
      <c r="C49" s="45"/>
      <c r="D49" s="45"/>
      <c r="E49" s="45"/>
      <c r="F49" s="45"/>
      <c r="G49" s="45"/>
      <c r="H49" s="45"/>
      <c r="I49" s="45"/>
      <c r="J49" s="45"/>
      <c r="K49" s="45"/>
      <c r="L49" s="45"/>
      <c r="M49" s="45"/>
    </row>
    <row r="50" ht="15.75" customHeight="1">
      <c r="A50" s="45"/>
      <c r="B50" s="45"/>
      <c r="C50" s="45"/>
      <c r="D50" s="45"/>
      <c r="E50" s="45"/>
      <c r="F50" s="45"/>
      <c r="G50" s="45"/>
      <c r="H50" s="45"/>
      <c r="I50" s="45"/>
      <c r="J50" s="45"/>
      <c r="K50" s="45"/>
      <c r="L50" s="45"/>
      <c r="M50" s="45"/>
    </row>
    <row r="51" ht="15.75" customHeight="1">
      <c r="A51" s="45"/>
      <c r="B51" s="45"/>
      <c r="C51" s="45"/>
      <c r="D51" s="45"/>
      <c r="E51" s="45"/>
      <c r="F51" s="45"/>
      <c r="G51" s="45"/>
      <c r="H51" s="45"/>
      <c r="I51" s="45"/>
      <c r="J51" s="45"/>
      <c r="K51" s="45"/>
      <c r="L51" s="45"/>
      <c r="M51" s="45"/>
    </row>
    <row r="52" ht="15.75" customHeight="1">
      <c r="A52" s="45"/>
      <c r="B52" s="45"/>
      <c r="C52" s="45"/>
      <c r="D52" s="45"/>
      <c r="E52" s="45"/>
      <c r="F52" s="45"/>
      <c r="G52" s="45"/>
      <c r="H52" s="45"/>
      <c r="I52" s="45"/>
      <c r="J52" s="45"/>
      <c r="K52" s="45"/>
      <c r="L52" s="45"/>
      <c r="M52" s="45"/>
    </row>
    <row r="53" ht="15.75" customHeight="1">
      <c r="A53" s="45"/>
      <c r="B53" s="45"/>
      <c r="C53" s="45"/>
      <c r="D53" s="45"/>
      <c r="E53" s="45"/>
      <c r="F53" s="45"/>
      <c r="G53" s="45"/>
      <c r="H53" s="45"/>
      <c r="I53" s="45"/>
      <c r="J53" s="45"/>
      <c r="K53" s="45"/>
      <c r="L53" s="45"/>
      <c r="M53" s="45"/>
    </row>
    <row r="54" ht="15.75" customHeight="1">
      <c r="A54" s="45"/>
      <c r="B54" s="45"/>
      <c r="C54" s="45"/>
      <c r="D54" s="45"/>
      <c r="E54" s="45"/>
      <c r="F54" s="45"/>
      <c r="G54" s="45"/>
      <c r="H54" s="45"/>
      <c r="I54" s="45"/>
      <c r="J54" s="45"/>
      <c r="K54" s="45"/>
      <c r="L54" s="45"/>
      <c r="M54" s="45"/>
    </row>
    <row r="55" ht="15.75" customHeight="1">
      <c r="A55" s="45"/>
      <c r="B55" s="45"/>
      <c r="C55" s="45"/>
      <c r="D55" s="45"/>
      <c r="E55" s="45"/>
      <c r="F55" s="45"/>
      <c r="G55" s="45"/>
      <c r="H55" s="45"/>
      <c r="I55" s="45"/>
      <c r="J55" s="45"/>
      <c r="K55" s="45"/>
      <c r="L55" s="45"/>
      <c r="M55" s="45"/>
    </row>
    <row r="56" ht="15.75" customHeight="1">
      <c r="A56" s="45"/>
      <c r="B56" s="45"/>
      <c r="C56" s="45"/>
      <c r="D56" s="45"/>
      <c r="E56" s="45"/>
      <c r="F56" s="45"/>
      <c r="G56" s="45"/>
      <c r="H56" s="45"/>
      <c r="I56" s="45"/>
      <c r="J56" s="45"/>
      <c r="K56" s="45"/>
      <c r="L56" s="45"/>
      <c r="M56" s="45"/>
    </row>
    <row r="57" ht="15.75" customHeight="1">
      <c r="A57" s="45"/>
      <c r="B57" s="45"/>
      <c r="C57" s="45"/>
      <c r="D57" s="45"/>
      <c r="E57" s="45"/>
      <c r="F57" s="45"/>
      <c r="G57" s="45"/>
      <c r="H57" s="45"/>
      <c r="I57" s="45"/>
      <c r="J57" s="45"/>
      <c r="K57" s="45"/>
      <c r="L57" s="45"/>
      <c r="M57" s="45"/>
    </row>
    <row r="58" ht="15.75" customHeight="1">
      <c r="A58" s="45"/>
      <c r="B58" s="45"/>
      <c r="C58" s="45"/>
      <c r="D58" s="45"/>
      <c r="E58" s="45"/>
      <c r="F58" s="45"/>
      <c r="G58" s="45"/>
      <c r="H58" s="45"/>
      <c r="I58" s="45"/>
      <c r="J58" s="45"/>
      <c r="K58" s="45"/>
      <c r="L58" s="45"/>
      <c r="M58" s="45"/>
    </row>
    <row r="59" ht="15.75" customHeight="1">
      <c r="A59" s="45"/>
      <c r="B59" s="45"/>
      <c r="C59" s="45"/>
      <c r="D59" s="45"/>
      <c r="E59" s="45"/>
      <c r="F59" s="45"/>
      <c r="G59" s="45"/>
      <c r="H59" s="45"/>
      <c r="I59" s="45"/>
      <c r="J59" s="45"/>
      <c r="K59" s="45"/>
      <c r="L59" s="45"/>
      <c r="M59" s="45"/>
    </row>
    <row r="60" ht="15.75" customHeight="1">
      <c r="A60" s="45"/>
      <c r="B60" s="45"/>
      <c r="C60" s="45"/>
      <c r="D60" s="45"/>
      <c r="E60" s="45"/>
      <c r="F60" s="45"/>
      <c r="G60" s="45"/>
      <c r="H60" s="45"/>
      <c r="I60" s="45"/>
      <c r="J60" s="45"/>
      <c r="K60" s="45"/>
      <c r="L60" s="45"/>
      <c r="M60" s="45"/>
    </row>
    <row r="61" ht="15.75" customHeight="1">
      <c r="A61" s="45"/>
      <c r="B61" s="45"/>
      <c r="C61" s="45"/>
      <c r="D61" s="45"/>
      <c r="E61" s="45"/>
      <c r="F61" s="45"/>
      <c r="G61" s="45"/>
      <c r="H61" s="45"/>
      <c r="I61" s="45"/>
      <c r="J61" s="45"/>
      <c r="K61" s="45"/>
      <c r="L61" s="45"/>
      <c r="M61" s="45"/>
    </row>
    <row r="62" ht="15.75" customHeight="1">
      <c r="A62" s="45"/>
      <c r="B62" s="45"/>
      <c r="C62" s="45"/>
      <c r="D62" s="45"/>
      <c r="E62" s="45"/>
      <c r="F62" s="45"/>
      <c r="G62" s="45"/>
      <c r="H62" s="45"/>
      <c r="I62" s="45"/>
      <c r="J62" s="45"/>
      <c r="K62" s="45"/>
      <c r="L62" s="45"/>
      <c r="M62" s="45"/>
    </row>
    <row r="63" ht="15.75" customHeight="1">
      <c r="A63" s="45"/>
      <c r="B63" s="45"/>
      <c r="C63" s="45"/>
      <c r="D63" s="45"/>
      <c r="E63" s="45"/>
      <c r="F63" s="45"/>
      <c r="G63" s="45"/>
      <c r="H63" s="45"/>
      <c r="I63" s="45"/>
      <c r="J63" s="45"/>
      <c r="K63" s="45"/>
      <c r="L63" s="45"/>
      <c r="M63" s="45"/>
    </row>
    <row r="64" ht="15.75" customHeight="1">
      <c r="A64" s="45"/>
      <c r="B64" s="45"/>
      <c r="C64" s="45"/>
      <c r="D64" s="45"/>
      <c r="E64" s="45"/>
      <c r="F64" s="45"/>
      <c r="G64" s="45"/>
      <c r="H64" s="45"/>
      <c r="I64" s="45"/>
      <c r="J64" s="45"/>
      <c r="K64" s="45"/>
      <c r="L64" s="45"/>
      <c r="M64" s="45"/>
    </row>
    <row r="65" ht="15.75" customHeight="1">
      <c r="A65" s="45"/>
      <c r="B65" s="45"/>
      <c r="C65" s="45"/>
      <c r="D65" s="45"/>
      <c r="E65" s="45"/>
      <c r="F65" s="45"/>
      <c r="G65" s="45"/>
      <c r="H65" s="45"/>
      <c r="I65" s="45"/>
      <c r="J65" s="45"/>
      <c r="K65" s="45"/>
      <c r="L65" s="45"/>
      <c r="M65" s="45"/>
    </row>
    <row r="66" ht="15.75" customHeight="1">
      <c r="A66" s="45"/>
      <c r="B66" s="45"/>
      <c r="C66" s="45"/>
      <c r="D66" s="45"/>
      <c r="E66" s="45"/>
      <c r="F66" s="45"/>
      <c r="G66" s="45"/>
      <c r="H66" s="45"/>
      <c r="I66" s="45"/>
      <c r="J66" s="45"/>
      <c r="K66" s="45"/>
      <c r="L66" s="45"/>
      <c r="M66" s="45"/>
    </row>
    <row r="67" ht="15.75" customHeight="1">
      <c r="A67" s="45"/>
      <c r="B67" s="45"/>
      <c r="C67" s="45"/>
      <c r="D67" s="45"/>
      <c r="E67" s="45"/>
      <c r="F67" s="45"/>
      <c r="G67" s="45"/>
      <c r="H67" s="45"/>
      <c r="I67" s="45"/>
      <c r="J67" s="45"/>
      <c r="K67" s="45"/>
      <c r="L67" s="45"/>
      <c r="M67" s="45"/>
    </row>
    <row r="68" ht="15.75" customHeight="1">
      <c r="A68" s="45"/>
      <c r="B68" s="45"/>
      <c r="C68" s="45"/>
      <c r="D68" s="45"/>
      <c r="E68" s="45"/>
      <c r="F68" s="45"/>
      <c r="G68" s="45"/>
      <c r="H68" s="45"/>
      <c r="I68" s="45"/>
      <c r="J68" s="45"/>
      <c r="K68" s="45"/>
      <c r="L68" s="45"/>
      <c r="M68" s="45"/>
    </row>
    <row r="69" ht="15.75" customHeight="1">
      <c r="A69" s="45"/>
      <c r="B69" s="45"/>
      <c r="C69" s="45"/>
      <c r="D69" s="45"/>
      <c r="E69" s="45"/>
      <c r="F69" s="45"/>
      <c r="G69" s="45"/>
      <c r="H69" s="45"/>
      <c r="I69" s="45"/>
      <c r="J69" s="45"/>
      <c r="K69" s="45"/>
      <c r="L69" s="45"/>
      <c r="M69" s="45"/>
    </row>
    <row r="70" ht="15.75" customHeight="1">
      <c r="A70" s="45"/>
      <c r="B70" s="45"/>
      <c r="C70" s="45"/>
      <c r="D70" s="45"/>
      <c r="E70" s="45"/>
      <c r="F70" s="45"/>
      <c r="G70" s="45"/>
      <c r="H70" s="45"/>
      <c r="I70" s="45"/>
      <c r="J70" s="45"/>
      <c r="K70" s="45"/>
      <c r="L70" s="45"/>
      <c r="M70" s="45"/>
    </row>
    <row r="71" ht="15.75" customHeight="1">
      <c r="A71" s="45"/>
      <c r="B71" s="45"/>
      <c r="C71" s="45"/>
      <c r="D71" s="45"/>
      <c r="E71" s="45"/>
      <c r="F71" s="45"/>
      <c r="G71" s="45"/>
      <c r="H71" s="45"/>
      <c r="I71" s="45"/>
      <c r="J71" s="45"/>
      <c r="K71" s="45"/>
      <c r="L71" s="45"/>
      <c r="M71" s="45"/>
    </row>
    <row r="72" ht="15.75" customHeight="1">
      <c r="A72" s="45"/>
      <c r="B72" s="45"/>
      <c r="C72" s="45"/>
      <c r="D72" s="45"/>
      <c r="E72" s="45"/>
      <c r="F72" s="45"/>
      <c r="G72" s="45"/>
      <c r="H72" s="45"/>
      <c r="I72" s="45"/>
      <c r="J72" s="45"/>
      <c r="K72" s="45"/>
      <c r="L72" s="45"/>
      <c r="M72" s="45"/>
    </row>
    <row r="73" ht="15.75" customHeight="1">
      <c r="A73" s="45"/>
      <c r="B73" s="45"/>
      <c r="C73" s="45"/>
      <c r="D73" s="45"/>
      <c r="E73" s="45"/>
      <c r="F73" s="45"/>
      <c r="G73" s="45"/>
      <c r="H73" s="45"/>
      <c r="I73" s="45"/>
      <c r="J73" s="45"/>
      <c r="K73" s="45"/>
      <c r="L73" s="45"/>
      <c r="M73" s="45"/>
    </row>
    <row r="74" ht="15.75" customHeight="1">
      <c r="A74" s="45"/>
      <c r="B74" s="45"/>
      <c r="C74" s="45"/>
      <c r="D74" s="45"/>
      <c r="E74" s="45"/>
      <c r="F74" s="45"/>
      <c r="G74" s="45"/>
      <c r="H74" s="45"/>
      <c r="I74" s="45"/>
      <c r="J74" s="45"/>
      <c r="K74" s="45"/>
      <c r="L74" s="45"/>
      <c r="M74" s="45"/>
    </row>
    <row r="75" ht="15.75" customHeight="1">
      <c r="A75" s="45"/>
      <c r="B75" s="45"/>
      <c r="C75" s="45"/>
      <c r="D75" s="45"/>
      <c r="E75" s="45"/>
      <c r="F75" s="45"/>
      <c r="G75" s="45"/>
      <c r="H75" s="45"/>
      <c r="I75" s="45"/>
      <c r="J75" s="45"/>
      <c r="K75" s="45"/>
      <c r="L75" s="45"/>
      <c r="M75" s="45"/>
    </row>
    <row r="76" ht="15.75" customHeight="1">
      <c r="A76" s="45"/>
      <c r="B76" s="45"/>
      <c r="C76" s="45"/>
      <c r="D76" s="45"/>
      <c r="E76" s="45"/>
      <c r="F76" s="45"/>
      <c r="G76" s="45"/>
      <c r="H76" s="45"/>
      <c r="I76" s="45"/>
      <c r="J76" s="45"/>
      <c r="K76" s="45"/>
      <c r="L76" s="45"/>
      <c r="M76" s="45"/>
    </row>
    <row r="77" ht="15.75" customHeight="1">
      <c r="A77" s="45"/>
      <c r="B77" s="45"/>
      <c r="C77" s="45"/>
      <c r="D77" s="45"/>
      <c r="E77" s="45"/>
      <c r="F77" s="45"/>
      <c r="G77" s="45"/>
      <c r="H77" s="45"/>
      <c r="I77" s="45"/>
      <c r="J77" s="45"/>
      <c r="K77" s="45"/>
      <c r="L77" s="45"/>
      <c r="M77" s="45"/>
    </row>
    <row r="78" ht="15.75" customHeight="1">
      <c r="A78" s="45"/>
      <c r="B78" s="45"/>
      <c r="C78" s="45"/>
      <c r="D78" s="45"/>
      <c r="E78" s="45"/>
      <c r="F78" s="45"/>
      <c r="G78" s="45"/>
      <c r="H78" s="45"/>
      <c r="I78" s="45"/>
      <c r="J78" s="45"/>
      <c r="K78" s="45"/>
      <c r="L78" s="45"/>
      <c r="M78" s="45"/>
    </row>
    <row r="79" ht="15.75" customHeight="1">
      <c r="A79" s="45"/>
      <c r="B79" s="45"/>
      <c r="C79" s="45"/>
      <c r="D79" s="45"/>
      <c r="E79" s="45"/>
      <c r="F79" s="45"/>
      <c r="G79" s="45"/>
      <c r="H79" s="45"/>
      <c r="I79" s="45"/>
      <c r="J79" s="45"/>
      <c r="K79" s="45"/>
      <c r="L79" s="45"/>
      <c r="M79" s="45"/>
    </row>
    <row r="80" ht="15.75" customHeight="1">
      <c r="A80" s="45"/>
      <c r="B80" s="45"/>
      <c r="C80" s="45"/>
      <c r="D80" s="45"/>
      <c r="E80" s="45"/>
      <c r="F80" s="45"/>
      <c r="G80" s="45"/>
      <c r="H80" s="45"/>
      <c r="I80" s="45"/>
      <c r="J80" s="45"/>
      <c r="K80" s="45"/>
      <c r="L80" s="45"/>
      <c r="M80" s="45"/>
    </row>
    <row r="81" ht="15.75" customHeight="1">
      <c r="A81" s="45"/>
      <c r="B81" s="45"/>
      <c r="C81" s="45"/>
      <c r="D81" s="45"/>
      <c r="E81" s="45"/>
      <c r="F81" s="45"/>
      <c r="G81" s="45"/>
      <c r="H81" s="45"/>
      <c r="I81" s="45"/>
      <c r="J81" s="45"/>
      <c r="K81" s="45"/>
      <c r="L81" s="45"/>
      <c r="M81" s="45"/>
    </row>
    <row r="82" ht="15.75" customHeight="1">
      <c r="A82" s="45"/>
      <c r="B82" s="45"/>
      <c r="C82" s="45"/>
      <c r="D82" s="45"/>
      <c r="E82" s="45"/>
      <c r="F82" s="45"/>
      <c r="G82" s="45"/>
      <c r="H82" s="45"/>
      <c r="I82" s="45"/>
      <c r="J82" s="45"/>
      <c r="K82" s="45"/>
      <c r="L82" s="45"/>
      <c r="M82" s="45"/>
    </row>
    <row r="83" ht="15.75" customHeight="1">
      <c r="A83" s="45"/>
      <c r="B83" s="45"/>
      <c r="C83" s="45"/>
      <c r="D83" s="45"/>
      <c r="E83" s="45"/>
      <c r="F83" s="45"/>
      <c r="G83" s="45"/>
      <c r="H83" s="45"/>
      <c r="I83" s="45"/>
      <c r="J83" s="45"/>
      <c r="K83" s="45"/>
      <c r="L83" s="45"/>
      <c r="M83" s="45"/>
    </row>
    <row r="84" ht="15.75" customHeight="1">
      <c r="A84" s="45"/>
      <c r="B84" s="45"/>
      <c r="C84" s="45"/>
      <c r="D84" s="45"/>
      <c r="E84" s="45"/>
      <c r="F84" s="45"/>
      <c r="G84" s="45"/>
      <c r="H84" s="45"/>
      <c r="I84" s="45"/>
      <c r="J84" s="45"/>
      <c r="K84" s="45"/>
      <c r="L84" s="45"/>
      <c r="M84" s="45"/>
    </row>
    <row r="85" ht="15.75" customHeight="1">
      <c r="A85" s="45"/>
      <c r="B85" s="45"/>
      <c r="C85" s="45"/>
      <c r="D85" s="45"/>
      <c r="E85" s="45"/>
      <c r="F85" s="45"/>
      <c r="G85" s="45"/>
      <c r="H85" s="45"/>
      <c r="I85" s="45"/>
      <c r="J85" s="45"/>
      <c r="K85" s="45"/>
      <c r="L85" s="45"/>
      <c r="M85" s="45"/>
    </row>
    <row r="86" ht="15.75" customHeight="1">
      <c r="A86" s="45"/>
      <c r="B86" s="45"/>
      <c r="C86" s="45"/>
      <c r="D86" s="45"/>
      <c r="E86" s="45"/>
      <c r="F86" s="45"/>
      <c r="G86" s="45"/>
      <c r="H86" s="45"/>
      <c r="I86" s="45"/>
      <c r="J86" s="45"/>
      <c r="K86" s="45"/>
      <c r="L86" s="45"/>
      <c r="M86" s="45"/>
    </row>
    <row r="87" ht="15.75" customHeight="1">
      <c r="A87" s="45"/>
      <c r="B87" s="45"/>
      <c r="C87" s="45"/>
      <c r="D87" s="45"/>
      <c r="E87" s="45"/>
      <c r="F87" s="45"/>
      <c r="G87" s="45"/>
      <c r="H87" s="45"/>
      <c r="I87" s="45"/>
      <c r="J87" s="45"/>
      <c r="K87" s="45"/>
      <c r="L87" s="45"/>
      <c r="M87" s="45"/>
    </row>
    <row r="88" ht="15.75" customHeight="1">
      <c r="A88" s="45"/>
      <c r="B88" s="45"/>
      <c r="C88" s="45"/>
      <c r="D88" s="45"/>
      <c r="E88" s="45"/>
      <c r="F88" s="45"/>
      <c r="G88" s="45"/>
      <c r="H88" s="45"/>
      <c r="I88" s="45"/>
      <c r="J88" s="45"/>
      <c r="K88" s="45"/>
      <c r="L88" s="45"/>
      <c r="M88" s="45"/>
    </row>
    <row r="89" ht="15.75" customHeight="1">
      <c r="A89" s="45"/>
      <c r="B89" s="45"/>
      <c r="C89" s="45"/>
      <c r="D89" s="45"/>
      <c r="E89" s="45"/>
      <c r="F89" s="45"/>
      <c r="G89" s="45"/>
      <c r="H89" s="45"/>
      <c r="I89" s="45"/>
      <c r="J89" s="45"/>
      <c r="K89" s="45"/>
      <c r="L89" s="45"/>
      <c r="M89" s="45"/>
    </row>
    <row r="90" ht="15.75" customHeight="1">
      <c r="A90" s="45"/>
      <c r="B90" s="45"/>
      <c r="C90" s="45"/>
      <c r="D90" s="45"/>
      <c r="E90" s="45"/>
      <c r="F90" s="45"/>
      <c r="G90" s="45"/>
      <c r="H90" s="45"/>
      <c r="I90" s="45"/>
      <c r="J90" s="45"/>
      <c r="K90" s="45"/>
      <c r="L90" s="45"/>
      <c r="M90" s="45"/>
    </row>
    <row r="91" ht="15.75" customHeight="1">
      <c r="A91" s="45"/>
      <c r="B91" s="45"/>
      <c r="C91" s="45"/>
      <c r="D91" s="45"/>
      <c r="E91" s="45"/>
      <c r="F91" s="45"/>
      <c r="G91" s="45"/>
      <c r="H91" s="45"/>
      <c r="I91" s="45"/>
      <c r="J91" s="45"/>
      <c r="K91" s="45"/>
      <c r="L91" s="45"/>
      <c r="M91" s="45"/>
    </row>
    <row r="92" ht="15.75" customHeight="1">
      <c r="A92" s="165" t="s">
        <v>153</v>
      </c>
      <c r="B92" s="45"/>
      <c r="C92" s="45"/>
      <c r="D92" s="45"/>
      <c r="E92" s="45"/>
      <c r="F92" s="45"/>
      <c r="G92" s="45"/>
      <c r="H92" s="45"/>
      <c r="I92" s="45"/>
      <c r="J92" s="45"/>
      <c r="K92" s="45"/>
      <c r="L92" s="45"/>
      <c r="M92" s="45"/>
    </row>
    <row r="93" ht="15.75" customHeight="1">
      <c r="A93" s="166" t="s">
        <v>154</v>
      </c>
      <c r="B93" s="166">
        <v>1.0</v>
      </c>
      <c r="C93" s="166">
        <v>2.0</v>
      </c>
      <c r="D93" s="166">
        <v>3.0</v>
      </c>
      <c r="E93" s="166">
        <v>4.0</v>
      </c>
      <c r="F93" s="166">
        <v>5.0</v>
      </c>
      <c r="G93" s="166">
        <v>6.0</v>
      </c>
      <c r="H93" s="166">
        <v>7.0</v>
      </c>
      <c r="I93" s="166">
        <v>8.0</v>
      </c>
      <c r="J93" s="166">
        <v>9.0</v>
      </c>
      <c r="K93" s="166">
        <v>10.0</v>
      </c>
      <c r="L93" s="166">
        <v>11.0</v>
      </c>
      <c r="M93" s="166">
        <v>12.0</v>
      </c>
      <c r="N93" s="166">
        <v>13.0</v>
      </c>
      <c r="O93" s="166">
        <v>14.0</v>
      </c>
      <c r="P93" s="166">
        <v>15.0</v>
      </c>
      <c r="Q93" s="166">
        <v>16.0</v>
      </c>
      <c r="R93" s="166">
        <v>17.0</v>
      </c>
      <c r="S93" s="166">
        <v>18.0</v>
      </c>
      <c r="T93" s="166">
        <v>19.0</v>
      </c>
      <c r="U93" s="166">
        <v>20.0</v>
      </c>
      <c r="V93" s="166">
        <v>21.0</v>
      </c>
      <c r="W93" s="166">
        <v>22.0</v>
      </c>
      <c r="X93" s="166">
        <v>23.0</v>
      </c>
      <c r="Y93" s="166">
        <v>24.0</v>
      </c>
      <c r="Z93" s="166">
        <v>25.0</v>
      </c>
    </row>
    <row r="94" ht="15.75" customHeight="1">
      <c r="A94" s="166" t="s">
        <v>155</v>
      </c>
      <c r="B94" s="167">
        <f>Moteur!B102</f>
        <v>13820.61507</v>
      </c>
      <c r="C94" s="167">
        <f>Moteur!C102</f>
        <v>20663.04543</v>
      </c>
      <c r="D94" s="167">
        <f>Moteur!D102</f>
        <v>26887.64272</v>
      </c>
      <c r="E94" s="167">
        <f>Moteur!E102</f>
        <v>31560.88757</v>
      </c>
      <c r="F94" s="167">
        <f>Moteur!F102</f>
        <v>36478.99793</v>
      </c>
      <c r="G94" s="167">
        <f>Moteur!G102</f>
        <v>50403.33771</v>
      </c>
      <c r="H94" s="167">
        <f>Moteur!H102</f>
        <v>58471.42569</v>
      </c>
      <c r="I94" s="167">
        <f>Moteur!I102</f>
        <v>66809.8247</v>
      </c>
      <c r="J94" s="167">
        <f>Moteur!J102</f>
        <v>73286.1542</v>
      </c>
      <c r="K94" s="167">
        <f>Moteur!K102</f>
        <v>80175.50194</v>
      </c>
      <c r="L94" s="167">
        <f>Moteur!L102</f>
        <v>87570.5557</v>
      </c>
      <c r="M94" s="167">
        <f>Moteur!M102</f>
        <v>95481.31304</v>
      </c>
      <c r="N94" s="167">
        <f>Moteur!N102</f>
        <v>103918.1064</v>
      </c>
      <c r="O94" s="167">
        <f>Moteur!O102</f>
        <v>112891.6146</v>
      </c>
      <c r="P94" s="167">
        <f>Moteur!P102</f>
        <v>122412.8739</v>
      </c>
      <c r="Q94" s="167">
        <f>Moteur!Q102</f>
        <v>132493.2906</v>
      </c>
      <c r="R94" s="167">
        <f>Moteur!R102</f>
        <v>143144.653</v>
      </c>
      <c r="S94" s="167">
        <f>Moteur!S102</f>
        <v>154379.1445</v>
      </c>
      <c r="T94" s="167">
        <f>Moteur!T102</f>
        <v>166209.3565</v>
      </c>
      <c r="U94" s="167">
        <f>Moteur!U102</f>
        <v>178648.3025</v>
      </c>
      <c r="V94" s="167">
        <f>Moteur!V102</f>
        <v>191709.4317</v>
      </c>
      <c r="W94" s="167">
        <f>Moteur!W102</f>
        <v>205011.5933</v>
      </c>
      <c r="X94" s="167">
        <f>Moteur!X102</f>
        <v>219466.2681</v>
      </c>
      <c r="Y94" s="167">
        <f>Moteur!Y102</f>
        <v>234604.3222</v>
      </c>
      <c r="Z94" s="167">
        <f>Moteur!Z102</f>
        <v>250441.1</v>
      </c>
    </row>
    <row r="95" ht="15.75" customHeight="1">
      <c r="A95" s="166" t="s">
        <v>156</v>
      </c>
      <c r="B95" s="167">
        <f>Moteur!B107</f>
        <v>17720.61507</v>
      </c>
      <c r="C95" s="167">
        <f>Moteur!C107</f>
        <v>27465.04843</v>
      </c>
      <c r="D95" s="167">
        <f>Moteur!D107</f>
        <v>34464.77156</v>
      </c>
      <c r="E95" s="167">
        <f>Moteur!E107</f>
        <v>41739.87334</v>
      </c>
      <c r="F95" s="167">
        <f>Moteur!F107</f>
        <v>49298.86849</v>
      </c>
      <c r="G95" s="167">
        <f>Moteur!G107</f>
        <v>71403.45493</v>
      </c>
      <c r="H95" s="167">
        <f>Moteur!H107</f>
        <v>80020.53617</v>
      </c>
      <c r="I95" s="167">
        <f>Moteur!I107</f>
        <v>89280.21045</v>
      </c>
      <c r="J95" s="167">
        <f>Moteur!J107</f>
        <v>99194.93325</v>
      </c>
      <c r="K95" s="167">
        <f>Moteur!K107</f>
        <v>109777.5283</v>
      </c>
      <c r="L95" s="167">
        <f>Moteur!L107</f>
        <v>121041.1991</v>
      </c>
      <c r="M95" s="167">
        <f>Moteur!M107</f>
        <v>132999.5403</v>
      </c>
      <c r="N95" s="167">
        <f>Moteur!N107</f>
        <v>145666.55</v>
      </c>
      <c r="O95" s="167">
        <f>Moteur!O107</f>
        <v>159056.6423</v>
      </c>
      <c r="P95" s="167">
        <f>Moteur!P107</f>
        <v>173184.6599</v>
      </c>
      <c r="Q95" s="167">
        <f>Moteur!Q107</f>
        <v>188065.8876</v>
      </c>
      <c r="R95" s="167">
        <f>Moteur!R107</f>
        <v>203716.0659</v>
      </c>
      <c r="S95" s="167">
        <f>Moteur!S107</f>
        <v>220151.4051</v>
      </c>
      <c r="T95" s="167">
        <f>Moteur!T107</f>
        <v>237388.6001</v>
      </c>
      <c r="U95" s="167">
        <f>Moteur!U107</f>
        <v>255444.8451</v>
      </c>
      <c r="V95" s="167">
        <f>Moteur!V107</f>
        <v>274337.8495</v>
      </c>
      <c r="W95" s="167">
        <f>Moteur!W107</f>
        <v>293299.2241</v>
      </c>
      <c r="X95" s="167">
        <f>Moteur!X107</f>
        <v>314138.8737</v>
      </c>
      <c r="Y95" s="167">
        <f>Moteur!Y107</f>
        <v>335903.0757</v>
      </c>
      <c r="Z95" s="167">
        <f>Moteur!Z107</f>
        <v>358612.0678</v>
      </c>
    </row>
    <row r="96" ht="15.75" customHeight="1">
      <c r="A96" s="166" t="s">
        <v>157</v>
      </c>
      <c r="B96" s="167">
        <f>Moteur!B146</f>
        <v>13820.61507</v>
      </c>
      <c r="C96" s="167">
        <f>Moteur!C146</f>
        <v>20663.04543</v>
      </c>
      <c r="D96" s="167">
        <f>Moteur!D146</f>
        <v>27734.72272</v>
      </c>
      <c r="E96" s="167">
        <f>Moteur!E146</f>
        <v>35043.32757</v>
      </c>
      <c r="F96" s="167">
        <f>Moteur!F146</f>
        <v>42596.79793</v>
      </c>
      <c r="G96" s="167">
        <f>Moteur!G146</f>
        <v>50403.33771</v>
      </c>
      <c r="H96" s="167">
        <f>Moteur!H146</f>
        <v>58471.42569</v>
      </c>
      <c r="I96" s="167">
        <f>Moteur!I146</f>
        <v>66809.8247</v>
      </c>
      <c r="J96" s="167">
        <f>Moteur!J146</f>
        <v>75427.59116</v>
      </c>
      <c r="K96" s="167">
        <f>Moteur!K146</f>
        <v>84334.08494</v>
      </c>
      <c r="L96" s="167">
        <f>Moteur!L146</f>
        <v>93538.97946</v>
      </c>
      <c r="M96" s="167">
        <f>Moteur!M146</f>
        <v>103052.2723</v>
      </c>
      <c r="N96" s="167">
        <f>Moteur!N146</f>
        <v>112884.2959</v>
      </c>
      <c r="O96" s="167">
        <f>Moteur!O146</f>
        <v>123045.7289</v>
      </c>
      <c r="P96" s="167">
        <f>Moteur!P146</f>
        <v>133547.6079</v>
      </c>
      <c r="Q96" s="167">
        <f>Moteur!Q146</f>
        <v>144401.3389</v>
      </c>
      <c r="R96" s="167">
        <f>Moteur!R146</f>
        <v>155618.7104</v>
      </c>
      <c r="S96" s="167">
        <f>Moteur!S146</f>
        <v>167211.9057</v>
      </c>
      <c r="T96" s="167">
        <f>Moteur!T146</f>
        <v>179193.5163</v>
      </c>
      <c r="U96" s="167">
        <f>Moteur!U146</f>
        <v>191576.5555</v>
      </c>
      <c r="V96" s="167">
        <f>Moteur!V146</f>
        <v>204374.4726</v>
      </c>
      <c r="W96" s="167">
        <f>Moteur!W146</f>
        <v>217601.1677</v>
      </c>
      <c r="X96" s="167">
        <f>Moteur!X146</f>
        <v>231271.0065</v>
      </c>
      <c r="Y96" s="167">
        <f>Moteur!Y146</f>
        <v>245398.8358</v>
      </c>
      <c r="Z96" s="167">
        <f>Moteur!Z146</f>
        <v>260000</v>
      </c>
    </row>
    <row r="97" ht="15.75" customHeight="1">
      <c r="A97" s="166" t="s">
        <v>158</v>
      </c>
      <c r="B97" s="167">
        <f>Moteur!B147</f>
        <v>17720.61507</v>
      </c>
      <c r="C97" s="167">
        <f>Moteur!C147</f>
        <v>28521.54543</v>
      </c>
      <c r="D97" s="167">
        <f>Moteur!D147</f>
        <v>39611.10022</v>
      </c>
      <c r="E97" s="167">
        <f>Moteur!E147</f>
        <v>50997.85073</v>
      </c>
      <c r="F97" s="167">
        <f>Moteur!F147</f>
        <v>62475.66849</v>
      </c>
      <c r="G97" s="167">
        <f>Moteur!G147</f>
        <v>74698.58634</v>
      </c>
      <c r="H97" s="167">
        <f>Moteur!H147</f>
        <v>87031.10304</v>
      </c>
      <c r="I97" s="167">
        <f>Moteur!I147</f>
        <v>99697.89721</v>
      </c>
      <c r="J97" s="167">
        <f>Moteur!J147</f>
        <v>112708.9848</v>
      </c>
      <c r="K97" s="167">
        <f>Moteur!K147</f>
        <v>126074.6994</v>
      </c>
      <c r="L97" s="167">
        <f>Moteur!L147</f>
        <v>139805.7032</v>
      </c>
      <c r="M97" s="167">
        <f>Moteur!M147</f>
        <v>153912.9969</v>
      </c>
      <c r="N97" s="167">
        <f>Moteur!N147</f>
        <v>168407.9313</v>
      </c>
      <c r="O97" s="167">
        <f>Moteur!O147</f>
        <v>182891.4497</v>
      </c>
      <c r="P97" s="167">
        <f>Moteur!P147</f>
        <v>197167.1639</v>
      </c>
      <c r="Q97" s="167">
        <f>Moteur!Q147</f>
        <v>211988.783</v>
      </c>
      <c r="R97" s="167">
        <f>Moteur!R147</f>
        <v>227372.0474</v>
      </c>
      <c r="S97" s="167">
        <f>Moteur!S147</f>
        <v>243333.1674</v>
      </c>
      <c r="T97" s="167">
        <f>Moteur!T147</f>
        <v>259888.8379</v>
      </c>
      <c r="U97" s="167">
        <f>Moteur!U147</f>
        <v>277056.2531</v>
      </c>
      <c r="V97" s="167">
        <f>Moteur!V147</f>
        <v>294853.1225</v>
      </c>
      <c r="W97" s="167">
        <f>Moteur!W147</f>
        <v>313133.4385</v>
      </c>
      <c r="X97" s="167">
        <f>Moteur!X147</f>
        <v>332282.6721</v>
      </c>
      <c r="Y97" s="167">
        <f>Moteur!Y147</f>
        <v>352131.0693</v>
      </c>
      <c r="Z97" s="167">
        <f>Moteur!Z147</f>
        <v>372698.8678</v>
      </c>
    </row>
    <row r="98" ht="15.75" customHeight="1">
      <c r="A98" s="166"/>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ht="15.75" customHeight="1">
      <c r="A99" s="168" t="s">
        <v>159</v>
      </c>
      <c r="B99" s="167">
        <f>Moteur!B162</f>
        <v>3176.591447</v>
      </c>
      <c r="C99" s="167">
        <f>Moteur!C162</f>
        <v>4360.65084</v>
      </c>
      <c r="D99" s="167">
        <f>Moteur!D162</f>
        <v>4925.245335</v>
      </c>
      <c r="E99" s="167">
        <f>Moteur!E162</f>
        <v>3935.558503</v>
      </c>
      <c r="F99" s="167">
        <f>Moteur!F162</f>
        <v>3186.449156</v>
      </c>
      <c r="G99" s="167">
        <f>Moteur!G162</f>
        <v>11437.8576</v>
      </c>
      <c r="H99" s="167">
        <f>Moteur!H162</f>
        <v>13825.81212</v>
      </c>
      <c r="I99" s="167">
        <f>Moteur!I162</f>
        <v>16475.31563</v>
      </c>
      <c r="J99" s="167">
        <f>Moteur!J162</f>
        <v>17252.35565</v>
      </c>
      <c r="K99" s="167">
        <f>Moteur!K162</f>
        <v>18430.31318</v>
      </c>
      <c r="L99" s="167">
        <f>Moteur!L162</f>
        <v>20100.09177</v>
      </c>
      <c r="M99" s="167">
        <f>Moteur!M162</f>
        <v>22269.82422</v>
      </c>
      <c r="N99" s="167">
        <f>Moteur!N162</f>
        <v>24947.89482</v>
      </c>
      <c r="O99" s="167">
        <f>Moteur!O162</f>
        <v>28142.94745</v>
      </c>
      <c r="P99" s="167">
        <f>Moteur!P162</f>
        <v>31823.70344</v>
      </c>
      <c r="Q99" s="167">
        <f>Moteur!Q162</f>
        <v>35963.76909</v>
      </c>
      <c r="R99" s="167">
        <f>Moteur!R162</f>
        <v>40575.07612</v>
      </c>
      <c r="S99" s="167">
        <f>Moteur!S162</f>
        <v>45665.26916</v>
      </c>
      <c r="T99" s="167">
        <f>Moteur!T162</f>
        <v>51242.23095</v>
      </c>
      <c r="U99" s="167">
        <f>Moteur!U162</f>
        <v>57314.09012</v>
      </c>
      <c r="V99" s="167">
        <f>Moteur!V162</f>
        <v>63889.22912</v>
      </c>
      <c r="W99" s="167">
        <f>Moteur!W162</f>
        <v>70581.24168</v>
      </c>
      <c r="X99" s="167">
        <f>Moteur!X162</f>
        <v>78296.15776</v>
      </c>
      <c r="Y99" s="167">
        <f>Moteur!Y162</f>
        <v>86559.19108</v>
      </c>
      <c r="Z99" s="167">
        <f>Moteur!Z162</f>
        <v>95379.8244</v>
      </c>
    </row>
    <row r="100" ht="15.75" customHeight="1">
      <c r="A100" s="168" t="s">
        <v>160</v>
      </c>
      <c r="B100" s="167">
        <f>Moteur!B163</f>
        <v>7076.591447</v>
      </c>
      <c r="C100" s="167">
        <f>Moteur!C163</f>
        <v>11162.65384</v>
      </c>
      <c r="D100" s="167">
        <f>Moteur!D163</f>
        <v>12502.37418</v>
      </c>
      <c r="E100" s="167">
        <f>Moteur!E163</f>
        <v>14114.54428</v>
      </c>
      <c r="F100" s="167">
        <f>Moteur!F163</f>
        <v>16006.31972</v>
      </c>
      <c r="G100" s="167">
        <f>Moteur!G163</f>
        <v>32437.97482</v>
      </c>
      <c r="H100" s="167">
        <f>Moteur!H163</f>
        <v>35374.92261</v>
      </c>
      <c r="I100" s="167">
        <f>Moteur!I163</f>
        <v>38945.70139</v>
      </c>
      <c r="J100" s="167">
        <f>Moteur!J163</f>
        <v>43161.13469</v>
      </c>
      <c r="K100" s="167">
        <f>Moteur!K163</f>
        <v>48032.33959</v>
      </c>
      <c r="L100" s="167">
        <f>Moteur!L163</f>
        <v>53570.73518</v>
      </c>
      <c r="M100" s="167">
        <f>Moteur!M163</f>
        <v>59788.05148</v>
      </c>
      <c r="N100" s="167">
        <f>Moteur!N163</f>
        <v>66696.3384</v>
      </c>
      <c r="O100" s="167">
        <f>Moteur!O163</f>
        <v>74307.9752</v>
      </c>
      <c r="P100" s="167">
        <f>Moteur!P163</f>
        <v>82595.48949</v>
      </c>
      <c r="Q100" s="167">
        <f>Moteur!Q163</f>
        <v>91536.36615</v>
      </c>
      <c r="R100" s="167">
        <f>Moteur!R163</f>
        <v>101146.489</v>
      </c>
      <c r="S100" s="167">
        <f>Moteur!S163</f>
        <v>111437.5298</v>
      </c>
      <c r="T100" s="167">
        <f>Moteur!T163</f>
        <v>122421.4745</v>
      </c>
      <c r="U100" s="167">
        <f>Moteur!U163</f>
        <v>134110.6328</v>
      </c>
      <c r="V100" s="167">
        <f>Moteur!V163</f>
        <v>146517.647</v>
      </c>
      <c r="W100" s="167">
        <f>Moteur!W163</f>
        <v>158868.8724</v>
      </c>
      <c r="X100" s="167">
        <f>Moteur!X163</f>
        <v>172968.7634</v>
      </c>
      <c r="Y100" s="167">
        <f>Moteur!Y163</f>
        <v>187857.9447</v>
      </c>
      <c r="Z100" s="167">
        <f>Moteur!Z163</f>
        <v>203550.7922</v>
      </c>
    </row>
    <row r="101" ht="15.75" customHeight="1">
      <c r="A101" s="168" t="s">
        <v>161</v>
      </c>
      <c r="B101" s="167">
        <f>Moteur!B164</f>
        <v>-7719.361311</v>
      </c>
      <c r="C101" s="167">
        <f>Moteur!C164</f>
        <v>-9147.350798</v>
      </c>
      <c r="D101" s="167">
        <f>Moteur!D164</f>
        <v>-10352.88488</v>
      </c>
      <c r="E101" s="167">
        <f>Moteur!E164</f>
        <v>-11375.28374</v>
      </c>
      <c r="F101" s="167">
        <f>Moteur!F164</f>
        <v>-12209.39906</v>
      </c>
      <c r="G101" s="167">
        <f>Moteur!G164</f>
        <v>-12849.92481</v>
      </c>
      <c r="H101" s="167">
        <f>Moteur!H164</f>
        <v>-13291.39225</v>
      </c>
      <c r="I101" s="167">
        <f>Moteur!I164</f>
        <v>-13528.16464</v>
      </c>
      <c r="J101" s="167">
        <f>Moteur!J164</f>
        <v>-13554.4319</v>
      </c>
      <c r="K101" s="167">
        <f>Moteur!K164</f>
        <v>-13364.20502</v>
      </c>
      <c r="L101" s="167">
        <f>Moteur!L164</f>
        <v>-12951.31026</v>
      </c>
      <c r="M101" s="167">
        <f>Moteur!M164</f>
        <v>-12309.38326</v>
      </c>
      <c r="N101" s="167">
        <f>Moteur!N164</f>
        <v>-11431.86285</v>
      </c>
      <c r="O101" s="167">
        <f>Moteur!O164</f>
        <v>-10311.98473</v>
      </c>
      <c r="P101" s="167">
        <f>Moteur!P164</f>
        <v>-8942.7749</v>
      </c>
      <c r="Q101" s="167">
        <f>Moteur!Q164</f>
        <v>-7317.04289</v>
      </c>
      <c r="R101" s="167">
        <f>Moteur!R164</f>
        <v>-5427.374775</v>
      </c>
      <c r="S101" s="167">
        <f>Moteur!S164</f>
        <v>-3266.125943</v>
      </c>
      <c r="T101" s="167">
        <f>Moteur!T164</f>
        <v>-825.4136303</v>
      </c>
      <c r="U101" s="167">
        <f>Moteur!U164</f>
        <v>1902.890784</v>
      </c>
      <c r="V101" s="167">
        <f>Moteur!V164</f>
        <v>4927.169745</v>
      </c>
      <c r="W101" s="167">
        <f>Moteur!W164</f>
        <v>8256.067745</v>
      </c>
      <c r="X101" s="167">
        <f>Moteur!X164</f>
        <v>11898.49982</v>
      </c>
      <c r="Y101" s="167">
        <f>Moteur!Y164</f>
        <v>15863.66034</v>
      </c>
      <c r="Z101" s="167">
        <f>Moteur!Z164</f>
        <v>20161.03206</v>
      </c>
    </row>
    <row r="102" ht="15.75" customHeight="1">
      <c r="A102" s="45"/>
      <c r="B102" s="45"/>
      <c r="C102" s="45"/>
      <c r="D102" s="45"/>
      <c r="E102" s="45"/>
      <c r="F102" s="45"/>
      <c r="G102" s="45"/>
      <c r="H102" s="45"/>
      <c r="I102" s="45"/>
      <c r="J102" s="45"/>
      <c r="K102" s="45"/>
      <c r="L102" s="45"/>
      <c r="M102" s="45"/>
    </row>
    <row r="103" ht="15.75" customHeight="1">
      <c r="A103" s="45"/>
      <c r="B103" s="45"/>
      <c r="C103" s="45"/>
      <c r="D103" s="45"/>
      <c r="E103" s="45"/>
      <c r="F103" s="45"/>
      <c r="G103" s="45"/>
      <c r="H103" s="45"/>
      <c r="I103" s="45"/>
      <c r="J103" s="45"/>
      <c r="K103" s="45"/>
      <c r="L103" s="45"/>
      <c r="M103" s="45"/>
    </row>
    <row r="104" ht="15.75" customHeight="1">
      <c r="A104" s="45"/>
      <c r="B104" s="45"/>
      <c r="C104" s="45"/>
      <c r="D104" s="45"/>
      <c r="E104" s="45"/>
      <c r="F104" s="45"/>
      <c r="G104" s="45"/>
      <c r="H104" s="45"/>
      <c r="I104" s="45"/>
      <c r="J104" s="45"/>
      <c r="K104" s="45"/>
      <c r="L104" s="45"/>
      <c r="M104" s="45"/>
    </row>
    <row r="105" ht="15.75" customHeight="1">
      <c r="A105" s="45"/>
      <c r="B105" s="45"/>
      <c r="C105" s="45"/>
      <c r="D105" s="45"/>
      <c r="E105" s="45"/>
      <c r="F105" s="45"/>
      <c r="G105" s="45"/>
      <c r="H105" s="45"/>
      <c r="I105" s="45"/>
      <c r="J105" s="45"/>
      <c r="K105" s="45"/>
      <c r="L105" s="45"/>
      <c r="M105" s="45"/>
    </row>
    <row r="106" ht="15.75" customHeight="1">
      <c r="A106" s="45"/>
      <c r="B106" s="45"/>
      <c r="C106" s="45"/>
      <c r="D106" s="45"/>
      <c r="E106" s="45"/>
      <c r="F106" s="45"/>
      <c r="G106" s="45"/>
      <c r="H106" s="45"/>
      <c r="I106" s="45"/>
      <c r="J106" s="45"/>
      <c r="K106" s="45"/>
      <c r="L106" s="45"/>
      <c r="M106" s="45"/>
    </row>
    <row r="107" ht="15.75" customHeight="1">
      <c r="A107" s="45"/>
      <c r="B107" s="45"/>
      <c r="C107" s="45"/>
      <c r="D107" s="45"/>
      <c r="E107" s="45"/>
      <c r="F107" s="45"/>
      <c r="G107" s="45"/>
      <c r="H107" s="45"/>
      <c r="I107" s="45"/>
      <c r="J107" s="45"/>
      <c r="K107" s="45"/>
      <c r="L107" s="45"/>
      <c r="M107" s="45"/>
    </row>
    <row r="108" ht="15.75" customHeight="1">
      <c r="A108" s="45"/>
      <c r="B108" s="45"/>
      <c r="C108" s="45"/>
      <c r="D108" s="45"/>
      <c r="E108" s="45"/>
      <c r="F108" s="45"/>
      <c r="G108" s="45"/>
      <c r="H108" s="45"/>
      <c r="I108" s="45"/>
      <c r="J108" s="45"/>
      <c r="K108" s="45"/>
      <c r="L108" s="45"/>
      <c r="M108" s="45"/>
    </row>
    <row r="109" ht="15.75" customHeight="1">
      <c r="A109" s="45"/>
      <c r="B109" s="45"/>
      <c r="C109" s="45"/>
      <c r="D109" s="45"/>
      <c r="E109" s="45"/>
      <c r="F109" s="45"/>
      <c r="G109" s="45"/>
      <c r="H109" s="45"/>
      <c r="I109" s="45"/>
      <c r="J109" s="45"/>
      <c r="K109" s="45"/>
      <c r="L109" s="45"/>
      <c r="M109" s="45"/>
    </row>
    <row r="110" ht="15.75" customHeight="1">
      <c r="A110" s="45"/>
      <c r="B110" s="45"/>
      <c r="C110" s="45"/>
      <c r="D110" s="45"/>
      <c r="E110" s="45"/>
      <c r="F110" s="45"/>
      <c r="G110" s="45"/>
      <c r="H110" s="45"/>
      <c r="I110" s="45"/>
      <c r="J110" s="45"/>
      <c r="K110" s="45"/>
      <c r="L110" s="45"/>
      <c r="M110" s="45"/>
    </row>
    <row r="111" ht="15.75" customHeight="1">
      <c r="A111" s="45"/>
      <c r="B111" s="45"/>
      <c r="C111" s="45"/>
      <c r="D111" s="45"/>
      <c r="E111" s="45"/>
      <c r="F111" s="45"/>
      <c r="G111" s="45"/>
      <c r="H111" s="45"/>
      <c r="I111" s="45"/>
      <c r="J111" s="45"/>
      <c r="K111" s="45"/>
      <c r="L111" s="45"/>
      <c r="M111" s="45"/>
    </row>
    <row r="112" ht="15.75" customHeight="1">
      <c r="A112" s="45"/>
      <c r="B112" s="45"/>
      <c r="C112" s="45"/>
      <c r="D112" s="45"/>
      <c r="E112" s="45"/>
      <c r="F112" s="45"/>
      <c r="G112" s="45"/>
      <c r="H112" s="45"/>
      <c r="I112" s="45"/>
      <c r="J112" s="45"/>
      <c r="K112" s="45"/>
      <c r="L112" s="45"/>
      <c r="M112" s="45"/>
    </row>
    <row r="113" ht="15.75" customHeight="1">
      <c r="A113" s="45"/>
      <c r="B113" s="45"/>
      <c r="C113" s="45"/>
      <c r="D113" s="45"/>
      <c r="E113" s="45"/>
      <c r="F113" s="45"/>
      <c r="G113" s="45"/>
      <c r="H113" s="45"/>
      <c r="I113" s="45"/>
      <c r="J113" s="45"/>
      <c r="K113" s="45"/>
      <c r="L113" s="45"/>
      <c r="M113" s="45"/>
    </row>
    <row r="114" ht="15.75" customHeight="1">
      <c r="A114" s="45"/>
      <c r="B114" s="45"/>
      <c r="C114" s="45"/>
      <c r="D114" s="45"/>
      <c r="E114" s="45"/>
      <c r="F114" s="45"/>
      <c r="G114" s="45"/>
      <c r="H114" s="45"/>
      <c r="I114" s="45"/>
      <c r="J114" s="45"/>
      <c r="K114" s="45"/>
      <c r="L114" s="45"/>
      <c r="M114" s="45"/>
    </row>
    <row r="115" ht="15.75" customHeight="1">
      <c r="A115" s="45"/>
      <c r="B115" s="45"/>
      <c r="C115" s="45"/>
      <c r="D115" s="45"/>
      <c r="E115" s="45"/>
      <c r="F115" s="45"/>
      <c r="G115" s="45"/>
      <c r="H115" s="45"/>
      <c r="I115" s="45"/>
      <c r="J115" s="45"/>
      <c r="K115" s="45"/>
      <c r="L115" s="45"/>
      <c r="M115" s="45"/>
    </row>
    <row r="116" ht="15.75" customHeight="1">
      <c r="A116" s="45"/>
      <c r="B116" s="45"/>
      <c r="C116" s="45"/>
      <c r="D116" s="45"/>
      <c r="E116" s="45"/>
      <c r="F116" s="45"/>
      <c r="G116" s="45"/>
      <c r="H116" s="45"/>
      <c r="I116" s="45"/>
      <c r="J116" s="45"/>
      <c r="K116" s="45"/>
      <c r="L116" s="45"/>
      <c r="M116" s="45"/>
    </row>
    <row r="117" ht="15.75" customHeight="1">
      <c r="A117" s="45"/>
      <c r="B117" s="45"/>
      <c r="C117" s="45"/>
      <c r="D117" s="45"/>
      <c r="E117" s="45"/>
      <c r="F117" s="45"/>
      <c r="G117" s="45"/>
      <c r="H117" s="45"/>
      <c r="I117" s="45"/>
      <c r="J117" s="45"/>
      <c r="K117" s="45"/>
      <c r="L117" s="45"/>
      <c r="M117" s="45"/>
    </row>
    <row r="118" ht="15.75" customHeight="1">
      <c r="A118" s="45"/>
      <c r="B118" s="45"/>
      <c r="C118" s="45"/>
      <c r="D118" s="45"/>
      <c r="E118" s="45"/>
      <c r="F118" s="45"/>
      <c r="G118" s="45"/>
      <c r="H118" s="45"/>
      <c r="I118" s="45"/>
      <c r="J118" s="45"/>
      <c r="K118" s="45"/>
      <c r="L118" s="45"/>
      <c r="M118" s="45"/>
    </row>
    <row r="119" ht="15.75" customHeight="1">
      <c r="A119" s="45"/>
      <c r="B119" s="45"/>
      <c r="C119" s="45"/>
      <c r="D119" s="45"/>
      <c r="E119" s="45"/>
      <c r="F119" s="45"/>
      <c r="G119" s="45"/>
      <c r="H119" s="45"/>
      <c r="I119" s="45"/>
      <c r="J119" s="45"/>
      <c r="K119" s="45"/>
      <c r="L119" s="45"/>
      <c r="M119" s="45"/>
    </row>
    <row r="120" ht="15.75" customHeight="1">
      <c r="A120" s="45"/>
      <c r="B120" s="45"/>
      <c r="C120" s="45"/>
      <c r="D120" s="45"/>
      <c r="E120" s="45"/>
      <c r="F120" s="45"/>
      <c r="G120" s="45"/>
      <c r="H120" s="45"/>
      <c r="I120" s="45"/>
      <c r="J120" s="45"/>
      <c r="K120" s="45"/>
      <c r="L120" s="45"/>
      <c r="M120" s="45"/>
    </row>
    <row r="121" ht="15.75" customHeight="1">
      <c r="A121" s="45"/>
      <c r="B121" s="45"/>
      <c r="C121" s="45"/>
      <c r="D121" s="45"/>
      <c r="E121" s="45"/>
      <c r="F121" s="45"/>
      <c r="G121" s="45"/>
      <c r="H121" s="45"/>
      <c r="I121" s="45"/>
      <c r="J121" s="45"/>
      <c r="K121" s="45"/>
      <c r="L121" s="45"/>
      <c r="M121" s="45"/>
    </row>
    <row r="122" ht="15.75" customHeight="1">
      <c r="A122" s="45"/>
      <c r="B122" s="45"/>
      <c r="C122" s="45"/>
      <c r="D122" s="45"/>
      <c r="E122" s="45"/>
      <c r="F122" s="45"/>
      <c r="G122" s="45"/>
      <c r="H122" s="45"/>
      <c r="I122" s="45"/>
      <c r="J122" s="45"/>
      <c r="K122" s="45"/>
      <c r="L122" s="45"/>
      <c r="M122" s="45"/>
    </row>
    <row r="123" ht="15.75" customHeight="1">
      <c r="A123" s="45"/>
      <c r="B123" s="45"/>
      <c r="C123" s="45"/>
      <c r="D123" s="45"/>
      <c r="E123" s="45"/>
      <c r="F123" s="45"/>
      <c r="G123" s="45"/>
      <c r="H123" s="45"/>
      <c r="I123" s="45"/>
      <c r="J123" s="45"/>
      <c r="K123" s="45"/>
      <c r="L123" s="45"/>
      <c r="M123" s="45"/>
    </row>
    <row r="124" ht="15.75" customHeight="1">
      <c r="A124" s="45"/>
      <c r="B124" s="45"/>
      <c r="C124" s="45"/>
      <c r="D124" s="45"/>
      <c r="E124" s="45"/>
      <c r="F124" s="45"/>
      <c r="G124" s="45"/>
      <c r="H124" s="45"/>
      <c r="I124" s="45"/>
      <c r="J124" s="45"/>
      <c r="K124" s="45"/>
      <c r="L124" s="45"/>
      <c r="M124" s="45"/>
    </row>
    <row r="125" ht="15.75" customHeight="1">
      <c r="A125" s="45"/>
      <c r="B125" s="45"/>
      <c r="C125" s="45"/>
      <c r="D125" s="45"/>
      <c r="E125" s="45"/>
      <c r="F125" s="45"/>
      <c r="G125" s="45"/>
      <c r="H125" s="45"/>
      <c r="I125" s="45"/>
      <c r="J125" s="45"/>
      <c r="K125" s="45"/>
      <c r="L125" s="45"/>
      <c r="M125" s="45"/>
    </row>
    <row r="126" ht="15.75" customHeight="1">
      <c r="A126" s="45"/>
      <c r="B126" s="45"/>
      <c r="C126" s="45"/>
      <c r="D126" s="45"/>
      <c r="E126" s="45"/>
      <c r="F126" s="45"/>
      <c r="G126" s="45"/>
      <c r="H126" s="45"/>
      <c r="I126" s="45"/>
      <c r="J126" s="45"/>
      <c r="K126" s="45"/>
      <c r="L126" s="45"/>
      <c r="M126" s="45"/>
    </row>
    <row r="127" ht="15.75" customHeight="1">
      <c r="A127" s="45"/>
      <c r="B127" s="45"/>
      <c r="C127" s="45"/>
      <c r="D127" s="45"/>
      <c r="E127" s="45"/>
      <c r="F127" s="45"/>
      <c r="G127" s="45"/>
      <c r="H127" s="45"/>
      <c r="I127" s="45"/>
      <c r="J127" s="45"/>
      <c r="K127" s="45"/>
      <c r="L127" s="45"/>
      <c r="M127" s="45"/>
    </row>
    <row r="128" ht="15.75" customHeight="1">
      <c r="A128" s="45"/>
      <c r="B128" s="45"/>
      <c r="C128" s="45"/>
      <c r="D128" s="45"/>
      <c r="E128" s="45"/>
      <c r="F128" s="45"/>
      <c r="G128" s="45"/>
      <c r="H128" s="45"/>
      <c r="I128" s="45"/>
      <c r="J128" s="45"/>
      <c r="K128" s="45"/>
      <c r="L128" s="45"/>
      <c r="M128" s="45"/>
    </row>
    <row r="129" ht="15.75" customHeight="1">
      <c r="A129" s="45"/>
      <c r="B129" s="45"/>
      <c r="C129" s="45"/>
      <c r="D129" s="45"/>
      <c r="E129" s="45"/>
      <c r="F129" s="45"/>
      <c r="G129" s="45"/>
      <c r="H129" s="45"/>
      <c r="I129" s="45"/>
      <c r="J129" s="45"/>
      <c r="K129" s="45"/>
      <c r="L129" s="45"/>
      <c r="M129" s="45"/>
    </row>
    <row r="130" ht="15.75" customHeight="1">
      <c r="A130" s="45"/>
      <c r="B130" s="45"/>
      <c r="C130" s="45"/>
      <c r="D130" s="45"/>
      <c r="E130" s="45"/>
      <c r="F130" s="45"/>
      <c r="G130" s="45"/>
      <c r="H130" s="45"/>
      <c r="I130" s="45"/>
      <c r="J130" s="45"/>
      <c r="K130" s="45"/>
      <c r="L130" s="45"/>
      <c r="M130" s="45"/>
    </row>
    <row r="131" ht="15.75" customHeight="1">
      <c r="A131" s="45"/>
      <c r="B131" s="45"/>
      <c r="C131" s="45"/>
      <c r="D131" s="45"/>
      <c r="E131" s="45"/>
      <c r="F131" s="45"/>
      <c r="G131" s="45"/>
      <c r="H131" s="45"/>
      <c r="I131" s="45"/>
      <c r="J131" s="45"/>
      <c r="K131" s="45"/>
      <c r="L131" s="45"/>
      <c r="M131" s="45"/>
    </row>
    <row r="132" ht="15.75" customHeight="1">
      <c r="A132" s="45"/>
      <c r="B132" s="45"/>
      <c r="C132" s="45"/>
      <c r="D132" s="45"/>
      <c r="E132" s="45"/>
      <c r="F132" s="45"/>
      <c r="G132" s="45"/>
      <c r="H132" s="45"/>
      <c r="I132" s="45"/>
      <c r="J132" s="45"/>
      <c r="K132" s="45"/>
      <c r="L132" s="45"/>
      <c r="M132" s="45"/>
    </row>
    <row r="133" ht="15.75" customHeight="1">
      <c r="A133" s="45"/>
      <c r="B133" s="45"/>
      <c r="C133" s="45"/>
      <c r="D133" s="45"/>
      <c r="E133" s="45"/>
      <c r="F133" s="45"/>
      <c r="G133" s="45"/>
      <c r="H133" s="45"/>
      <c r="I133" s="45"/>
      <c r="J133" s="45"/>
      <c r="K133" s="45"/>
      <c r="L133" s="45"/>
      <c r="M133" s="45"/>
    </row>
    <row r="134" ht="15.75" customHeight="1">
      <c r="A134" s="45"/>
      <c r="B134" s="45"/>
      <c r="C134" s="45"/>
      <c r="D134" s="45"/>
      <c r="E134" s="45"/>
      <c r="F134" s="45"/>
      <c r="G134" s="45"/>
      <c r="H134" s="45"/>
      <c r="I134" s="45"/>
      <c r="J134" s="45"/>
      <c r="K134" s="45"/>
      <c r="L134" s="45"/>
      <c r="M134" s="45"/>
    </row>
    <row r="135" ht="15.75" customHeight="1">
      <c r="A135" s="45"/>
      <c r="B135" s="45"/>
      <c r="C135" s="45"/>
      <c r="D135" s="45"/>
      <c r="E135" s="45"/>
      <c r="F135" s="45"/>
      <c r="G135" s="45"/>
      <c r="H135" s="45"/>
      <c r="I135" s="45"/>
      <c r="J135" s="45"/>
      <c r="K135" s="45"/>
      <c r="L135" s="45"/>
      <c r="M135" s="45"/>
    </row>
    <row r="136" ht="15.75" customHeight="1">
      <c r="A136" s="45"/>
      <c r="B136" s="45"/>
      <c r="C136" s="45"/>
      <c r="D136" s="45"/>
      <c r="E136" s="45"/>
      <c r="F136" s="45"/>
      <c r="G136" s="45"/>
      <c r="H136" s="45"/>
      <c r="I136" s="45"/>
      <c r="J136" s="45"/>
      <c r="K136" s="45"/>
      <c r="L136" s="45"/>
      <c r="M136" s="45"/>
    </row>
    <row r="137" ht="15.75" customHeight="1">
      <c r="A137" s="45"/>
      <c r="B137" s="45"/>
      <c r="C137" s="45"/>
      <c r="D137" s="45"/>
      <c r="E137" s="45"/>
      <c r="F137" s="45"/>
      <c r="G137" s="45"/>
      <c r="H137" s="45"/>
      <c r="I137" s="45"/>
      <c r="J137" s="45"/>
      <c r="K137" s="45"/>
      <c r="L137" s="45"/>
      <c r="M137" s="45"/>
    </row>
    <row r="138" ht="15.75" customHeight="1">
      <c r="A138" s="45"/>
      <c r="B138" s="45"/>
      <c r="C138" s="45"/>
      <c r="D138" s="45"/>
      <c r="E138" s="45"/>
      <c r="F138" s="45"/>
      <c r="G138" s="45"/>
      <c r="H138" s="45"/>
      <c r="I138" s="45"/>
      <c r="J138" s="45"/>
      <c r="K138" s="45"/>
      <c r="L138" s="45"/>
      <c r="M138" s="45"/>
    </row>
    <row r="139" ht="15.75" customHeight="1">
      <c r="A139" s="45"/>
      <c r="B139" s="45"/>
      <c r="C139" s="45"/>
      <c r="D139" s="45"/>
      <c r="E139" s="45"/>
      <c r="F139" s="45"/>
      <c r="G139" s="45"/>
      <c r="H139" s="45"/>
      <c r="I139" s="45"/>
      <c r="J139" s="45"/>
      <c r="K139" s="45"/>
      <c r="L139" s="45"/>
      <c r="M139" s="45"/>
    </row>
    <row r="140" ht="15.75" customHeight="1">
      <c r="A140" s="45"/>
      <c r="B140" s="45"/>
      <c r="C140" s="45"/>
      <c r="D140" s="45"/>
      <c r="E140" s="45"/>
      <c r="F140" s="45"/>
      <c r="G140" s="45"/>
      <c r="H140" s="45"/>
      <c r="I140" s="45"/>
      <c r="J140" s="45"/>
      <c r="K140" s="45"/>
      <c r="L140" s="45"/>
      <c r="M140" s="45"/>
    </row>
    <row r="141" ht="15.75" customHeight="1">
      <c r="A141" s="45"/>
      <c r="B141" s="45"/>
      <c r="C141" s="45"/>
      <c r="D141" s="45"/>
      <c r="E141" s="45"/>
      <c r="F141" s="45"/>
      <c r="G141" s="45"/>
      <c r="H141" s="45"/>
      <c r="I141" s="45"/>
      <c r="J141" s="45"/>
      <c r="K141" s="45"/>
      <c r="L141" s="45"/>
      <c r="M141" s="45"/>
    </row>
    <row r="142" ht="15.75" customHeight="1">
      <c r="A142" s="45"/>
      <c r="B142" s="45"/>
      <c r="C142" s="45"/>
      <c r="D142" s="45"/>
      <c r="E142" s="45"/>
      <c r="F142" s="45"/>
      <c r="G142" s="45"/>
      <c r="H142" s="45"/>
      <c r="I142" s="45"/>
      <c r="J142" s="45"/>
      <c r="K142" s="45"/>
      <c r="L142" s="45"/>
      <c r="M142" s="45"/>
    </row>
    <row r="143" ht="15.75" customHeight="1">
      <c r="A143" s="45"/>
      <c r="B143" s="45"/>
      <c r="C143" s="45"/>
      <c r="D143" s="45"/>
      <c r="E143" s="45"/>
      <c r="F143" s="45"/>
      <c r="G143" s="45"/>
      <c r="H143" s="45"/>
      <c r="I143" s="45"/>
      <c r="J143" s="45"/>
      <c r="K143" s="45"/>
      <c r="L143" s="45"/>
      <c r="M143" s="45"/>
    </row>
    <row r="144" ht="15.75" customHeight="1">
      <c r="A144" s="45"/>
      <c r="B144" s="45"/>
      <c r="C144" s="45"/>
      <c r="D144" s="45"/>
      <c r="E144" s="45"/>
      <c r="F144" s="45"/>
      <c r="G144" s="45"/>
      <c r="H144" s="45"/>
      <c r="I144" s="45"/>
      <c r="J144" s="45"/>
      <c r="K144" s="45"/>
      <c r="L144" s="45"/>
      <c r="M144" s="45"/>
    </row>
    <row r="145" ht="15.75" customHeight="1">
      <c r="A145" s="45"/>
      <c r="B145" s="45"/>
      <c r="C145" s="45"/>
      <c r="D145" s="45"/>
      <c r="E145" s="45"/>
      <c r="F145" s="45"/>
      <c r="G145" s="45"/>
      <c r="H145" s="45"/>
      <c r="I145" s="45"/>
      <c r="J145" s="45"/>
      <c r="K145" s="45"/>
      <c r="L145" s="45"/>
      <c r="M145" s="45"/>
    </row>
    <row r="146" ht="15.75" customHeight="1">
      <c r="A146" s="45"/>
      <c r="B146" s="45"/>
      <c r="C146" s="45"/>
      <c r="D146" s="45"/>
      <c r="E146" s="45"/>
      <c r="F146" s="45"/>
      <c r="G146" s="45"/>
      <c r="H146" s="45"/>
      <c r="I146" s="45"/>
      <c r="J146" s="45"/>
      <c r="K146" s="45"/>
      <c r="L146" s="45"/>
      <c r="M146" s="45"/>
    </row>
    <row r="147" ht="15.75" customHeight="1">
      <c r="A147" s="45"/>
      <c r="B147" s="45"/>
      <c r="C147" s="45"/>
      <c r="D147" s="45"/>
      <c r="E147" s="45"/>
      <c r="F147" s="45"/>
      <c r="G147" s="45"/>
      <c r="H147" s="45"/>
      <c r="I147" s="45"/>
      <c r="J147" s="45"/>
      <c r="K147" s="45"/>
      <c r="L147" s="45"/>
      <c r="M147" s="45"/>
    </row>
    <row r="148" ht="15.75" customHeight="1">
      <c r="A148" s="45"/>
      <c r="B148" s="45"/>
      <c r="C148" s="45"/>
      <c r="D148" s="45"/>
      <c r="E148" s="45"/>
      <c r="F148" s="45"/>
      <c r="G148" s="45"/>
      <c r="H148" s="45"/>
      <c r="I148" s="45"/>
      <c r="J148" s="45"/>
      <c r="K148" s="45"/>
      <c r="L148" s="45"/>
      <c r="M148" s="45"/>
    </row>
    <row r="149" ht="15.75" customHeight="1">
      <c r="A149" s="45"/>
      <c r="B149" s="45"/>
      <c r="C149" s="45"/>
      <c r="D149" s="45"/>
      <c r="E149" s="45"/>
      <c r="F149" s="45"/>
      <c r="G149" s="45"/>
      <c r="H149" s="45"/>
      <c r="I149" s="45"/>
      <c r="J149" s="45"/>
      <c r="K149" s="45"/>
      <c r="L149" s="45"/>
      <c r="M149" s="45"/>
    </row>
    <row r="150" ht="15.75" customHeight="1">
      <c r="A150" s="45"/>
      <c r="B150" s="45"/>
      <c r="C150" s="45"/>
      <c r="D150" s="45"/>
      <c r="E150" s="45"/>
      <c r="F150" s="45"/>
      <c r="G150" s="45"/>
      <c r="H150" s="45"/>
      <c r="I150" s="45"/>
      <c r="J150" s="45"/>
      <c r="K150" s="45"/>
      <c r="L150" s="45"/>
      <c r="M150" s="45"/>
    </row>
    <row r="151" ht="15.75" customHeight="1">
      <c r="A151" s="45"/>
      <c r="B151" s="45"/>
      <c r="C151" s="45"/>
      <c r="D151" s="45"/>
      <c r="E151" s="45"/>
      <c r="F151" s="45"/>
      <c r="G151" s="45"/>
      <c r="H151" s="45"/>
      <c r="I151" s="45"/>
      <c r="J151" s="45"/>
      <c r="K151" s="45"/>
      <c r="L151" s="45"/>
      <c r="M151" s="45"/>
    </row>
    <row r="152" ht="15.75" customHeight="1">
      <c r="A152" s="45"/>
      <c r="B152" s="45"/>
      <c r="C152" s="45"/>
      <c r="D152" s="45"/>
      <c r="E152" s="45"/>
      <c r="F152" s="45"/>
      <c r="G152" s="45"/>
      <c r="H152" s="45"/>
      <c r="I152" s="45"/>
      <c r="J152" s="45"/>
      <c r="K152" s="45"/>
      <c r="L152" s="45"/>
      <c r="M152" s="45"/>
    </row>
    <row r="153" ht="15.75" customHeight="1">
      <c r="A153" s="45"/>
      <c r="B153" s="45"/>
      <c r="C153" s="45"/>
      <c r="D153" s="45"/>
      <c r="E153" s="45"/>
      <c r="F153" s="45"/>
      <c r="G153" s="45"/>
      <c r="H153" s="45"/>
      <c r="I153" s="45"/>
      <c r="J153" s="45"/>
      <c r="K153" s="45"/>
      <c r="L153" s="45"/>
      <c r="M153" s="45"/>
    </row>
    <row r="154" ht="15.75" customHeight="1">
      <c r="A154" s="45"/>
      <c r="B154" s="45"/>
      <c r="C154" s="45"/>
      <c r="D154" s="45"/>
      <c r="E154" s="45"/>
      <c r="F154" s="45"/>
      <c r="G154" s="45"/>
      <c r="H154" s="45"/>
      <c r="I154" s="45"/>
      <c r="J154" s="45"/>
      <c r="K154" s="45"/>
      <c r="L154" s="45"/>
      <c r="M154" s="45"/>
    </row>
    <row r="155" ht="15.75" customHeight="1">
      <c r="A155" s="45"/>
      <c r="B155" s="45"/>
      <c r="C155" s="45"/>
      <c r="D155" s="45"/>
      <c r="E155" s="45"/>
      <c r="F155" s="45"/>
      <c r="G155" s="45"/>
      <c r="H155" s="45"/>
      <c r="I155" s="45"/>
      <c r="J155" s="45"/>
      <c r="K155" s="45"/>
      <c r="L155" s="45"/>
      <c r="M155" s="45"/>
    </row>
    <row r="156" ht="15.75" customHeight="1">
      <c r="A156" s="45"/>
      <c r="B156" s="45"/>
      <c r="C156" s="45"/>
      <c r="D156" s="45"/>
      <c r="E156" s="45"/>
      <c r="F156" s="45"/>
      <c r="G156" s="45"/>
      <c r="H156" s="45"/>
      <c r="I156" s="45"/>
      <c r="J156" s="45"/>
      <c r="K156" s="45"/>
      <c r="L156" s="45"/>
      <c r="M156" s="45"/>
    </row>
    <row r="157" ht="15.75" customHeight="1">
      <c r="A157" s="45"/>
      <c r="B157" s="45"/>
      <c r="C157" s="45"/>
      <c r="D157" s="45"/>
      <c r="E157" s="45"/>
      <c r="F157" s="45"/>
      <c r="G157" s="45"/>
      <c r="H157" s="45"/>
      <c r="I157" s="45"/>
      <c r="J157" s="45"/>
      <c r="K157" s="45"/>
      <c r="L157" s="45"/>
      <c r="M157" s="45"/>
    </row>
    <row r="158" ht="15.75" customHeight="1">
      <c r="A158" s="45"/>
      <c r="B158" s="45"/>
      <c r="C158" s="45"/>
      <c r="D158" s="45"/>
      <c r="E158" s="45"/>
      <c r="F158" s="45"/>
      <c r="G158" s="45"/>
      <c r="H158" s="45"/>
      <c r="I158" s="45"/>
      <c r="J158" s="45"/>
      <c r="K158" s="45"/>
      <c r="L158" s="45"/>
      <c r="M158" s="45"/>
    </row>
    <row r="159" ht="15.75" customHeight="1">
      <c r="A159" s="45"/>
      <c r="B159" s="45"/>
      <c r="C159" s="45"/>
      <c r="D159" s="45"/>
      <c r="E159" s="45"/>
      <c r="F159" s="45"/>
      <c r="G159" s="45"/>
      <c r="H159" s="45"/>
      <c r="I159" s="45"/>
      <c r="J159" s="45"/>
      <c r="K159" s="45"/>
      <c r="L159" s="45"/>
      <c r="M159" s="45"/>
    </row>
    <row r="160" ht="15.75" customHeight="1">
      <c r="A160" s="45"/>
      <c r="B160" s="45"/>
      <c r="C160" s="45"/>
      <c r="D160" s="45"/>
      <c r="E160" s="45"/>
      <c r="F160" s="45"/>
      <c r="G160" s="45"/>
      <c r="H160" s="45"/>
      <c r="I160" s="45"/>
      <c r="J160" s="45"/>
      <c r="K160" s="45"/>
      <c r="L160" s="45"/>
      <c r="M160" s="45"/>
    </row>
    <row r="161" ht="15.75" customHeight="1">
      <c r="A161" s="45"/>
      <c r="B161" s="45"/>
      <c r="C161" s="45"/>
      <c r="D161" s="45"/>
      <c r="E161" s="45"/>
      <c r="F161" s="45"/>
      <c r="G161" s="45"/>
      <c r="H161" s="45"/>
      <c r="I161" s="45"/>
      <c r="J161" s="45"/>
      <c r="K161" s="45"/>
      <c r="L161" s="45"/>
      <c r="M161" s="45"/>
    </row>
    <row r="162" ht="15.75" customHeight="1">
      <c r="A162" s="45"/>
      <c r="B162" s="45"/>
      <c r="C162" s="45"/>
      <c r="D162" s="45"/>
      <c r="E162" s="45"/>
      <c r="F162" s="45"/>
      <c r="G162" s="45"/>
      <c r="H162" s="45"/>
      <c r="I162" s="45"/>
      <c r="J162" s="45"/>
      <c r="K162" s="45"/>
      <c r="L162" s="45"/>
      <c r="M162" s="45"/>
    </row>
    <row r="163" ht="15.75" customHeight="1">
      <c r="A163" s="45"/>
      <c r="B163" s="45"/>
      <c r="C163" s="45"/>
      <c r="D163" s="45"/>
      <c r="E163" s="45"/>
      <c r="F163" s="45"/>
      <c r="G163" s="45"/>
      <c r="H163" s="45"/>
      <c r="I163" s="45"/>
      <c r="J163" s="45"/>
      <c r="K163" s="45"/>
      <c r="L163" s="45"/>
      <c r="M163" s="45"/>
    </row>
    <row r="164" ht="15.75" customHeight="1">
      <c r="A164" s="45"/>
      <c r="B164" s="45"/>
      <c r="C164" s="45"/>
      <c r="D164" s="45"/>
      <c r="E164" s="45"/>
      <c r="F164" s="45"/>
      <c r="G164" s="45"/>
      <c r="H164" s="45"/>
      <c r="I164" s="45"/>
      <c r="J164" s="45"/>
      <c r="K164" s="45"/>
      <c r="L164" s="45"/>
      <c r="M164" s="45"/>
    </row>
    <row r="165" ht="15.75" customHeight="1">
      <c r="A165" s="45"/>
      <c r="B165" s="45"/>
      <c r="C165" s="45"/>
      <c r="D165" s="45"/>
      <c r="E165" s="45"/>
      <c r="F165" s="45"/>
      <c r="G165" s="45"/>
      <c r="H165" s="45"/>
      <c r="I165" s="45"/>
      <c r="J165" s="45"/>
      <c r="K165" s="45"/>
      <c r="L165" s="45"/>
      <c r="M165" s="45"/>
    </row>
    <row r="166" ht="15.75" customHeight="1">
      <c r="A166" s="45"/>
      <c r="B166" s="45"/>
      <c r="C166" s="45"/>
      <c r="D166" s="45"/>
      <c r="E166" s="45"/>
      <c r="F166" s="45"/>
      <c r="G166" s="45"/>
      <c r="H166" s="45"/>
      <c r="I166" s="45"/>
      <c r="J166" s="45"/>
      <c r="K166" s="45"/>
      <c r="L166" s="45"/>
      <c r="M166" s="45"/>
    </row>
    <row r="167" ht="15.75" customHeight="1">
      <c r="A167" s="45"/>
      <c r="B167" s="45"/>
      <c r="C167" s="45"/>
      <c r="D167" s="45"/>
      <c r="E167" s="45"/>
      <c r="F167" s="45"/>
      <c r="G167" s="45"/>
      <c r="H167" s="45"/>
      <c r="I167" s="45"/>
      <c r="J167" s="45"/>
      <c r="K167" s="45"/>
      <c r="L167" s="45"/>
      <c r="M167" s="45"/>
    </row>
    <row r="168" ht="15.75" customHeight="1">
      <c r="A168" s="45"/>
      <c r="B168" s="45"/>
      <c r="C168" s="45"/>
      <c r="D168" s="45"/>
      <c r="E168" s="45"/>
      <c r="F168" s="45"/>
      <c r="G168" s="45"/>
      <c r="H168" s="45"/>
      <c r="I168" s="45"/>
      <c r="J168" s="45"/>
      <c r="K168" s="45"/>
      <c r="L168" s="45"/>
      <c r="M168" s="45"/>
    </row>
    <row r="169" ht="15.75" customHeight="1">
      <c r="A169" s="45"/>
      <c r="B169" s="45"/>
      <c r="C169" s="45"/>
      <c r="D169" s="45"/>
      <c r="E169" s="45"/>
      <c r="F169" s="45"/>
      <c r="G169" s="45"/>
      <c r="H169" s="45"/>
      <c r="I169" s="45"/>
      <c r="J169" s="45"/>
      <c r="K169" s="45"/>
      <c r="L169" s="45"/>
      <c r="M169" s="45"/>
    </row>
    <row r="170" ht="15.75" customHeight="1">
      <c r="A170" s="45"/>
      <c r="B170" s="45"/>
      <c r="C170" s="45"/>
      <c r="D170" s="45"/>
      <c r="E170" s="45"/>
      <c r="F170" s="45"/>
      <c r="G170" s="45"/>
      <c r="H170" s="45"/>
      <c r="I170" s="45"/>
      <c r="J170" s="45"/>
      <c r="K170" s="45"/>
      <c r="L170" s="45"/>
      <c r="M170" s="45"/>
    </row>
    <row r="171" ht="15.75" customHeight="1">
      <c r="A171" s="45"/>
      <c r="B171" s="45"/>
      <c r="C171" s="45"/>
      <c r="D171" s="45"/>
      <c r="E171" s="45"/>
      <c r="F171" s="45"/>
      <c r="G171" s="45"/>
      <c r="H171" s="45"/>
      <c r="I171" s="45"/>
      <c r="J171" s="45"/>
      <c r="K171" s="45"/>
      <c r="L171" s="45"/>
      <c r="M171" s="45"/>
    </row>
    <row r="172" ht="15.75" customHeight="1">
      <c r="A172" s="45"/>
      <c r="B172" s="45"/>
      <c r="C172" s="45"/>
      <c r="D172" s="45"/>
      <c r="E172" s="45"/>
      <c r="F172" s="45"/>
      <c r="G172" s="45"/>
      <c r="H172" s="45"/>
      <c r="I172" s="45"/>
      <c r="J172" s="45"/>
      <c r="K172" s="45"/>
      <c r="L172" s="45"/>
      <c r="M172" s="45"/>
    </row>
    <row r="173" ht="15.75" customHeight="1">
      <c r="A173" s="45"/>
      <c r="B173" s="45"/>
      <c r="C173" s="45"/>
      <c r="D173" s="45"/>
      <c r="E173" s="45"/>
      <c r="F173" s="45"/>
      <c r="G173" s="45"/>
      <c r="H173" s="45"/>
      <c r="I173" s="45"/>
      <c r="J173" s="45"/>
      <c r="K173" s="45"/>
      <c r="L173" s="45"/>
      <c r="M173" s="45"/>
    </row>
    <row r="174" ht="15.75" customHeight="1">
      <c r="A174" s="45"/>
      <c r="B174" s="45"/>
      <c r="C174" s="45"/>
      <c r="D174" s="45"/>
      <c r="E174" s="45"/>
      <c r="F174" s="45"/>
      <c r="G174" s="45"/>
      <c r="H174" s="45"/>
      <c r="I174" s="45"/>
      <c r="J174" s="45"/>
      <c r="K174" s="45"/>
      <c r="L174" s="45"/>
      <c r="M174" s="45"/>
    </row>
    <row r="175" ht="15.75" customHeight="1">
      <c r="A175" s="45"/>
      <c r="B175" s="45"/>
      <c r="C175" s="45"/>
      <c r="D175" s="45"/>
      <c r="E175" s="45"/>
      <c r="F175" s="45"/>
      <c r="G175" s="45"/>
      <c r="H175" s="45"/>
      <c r="I175" s="45"/>
      <c r="J175" s="45"/>
      <c r="K175" s="45"/>
      <c r="L175" s="45"/>
      <c r="M175" s="45"/>
    </row>
    <row r="176" ht="15.75" customHeight="1">
      <c r="A176" s="45"/>
      <c r="B176" s="45"/>
      <c r="C176" s="45"/>
      <c r="D176" s="45"/>
      <c r="E176" s="45"/>
      <c r="F176" s="45"/>
      <c r="G176" s="45"/>
      <c r="H176" s="45"/>
      <c r="I176" s="45"/>
      <c r="J176" s="45"/>
      <c r="K176" s="45"/>
      <c r="L176" s="45"/>
      <c r="M176" s="45"/>
    </row>
    <row r="177" ht="15.75" customHeight="1">
      <c r="A177" s="45"/>
      <c r="B177" s="45"/>
      <c r="C177" s="45"/>
      <c r="D177" s="45"/>
      <c r="E177" s="45"/>
      <c r="F177" s="45"/>
      <c r="G177" s="45"/>
      <c r="H177" s="45"/>
      <c r="I177" s="45"/>
      <c r="J177" s="45"/>
      <c r="K177" s="45"/>
      <c r="L177" s="45"/>
      <c r="M177" s="45"/>
    </row>
    <row r="178" ht="15.75" customHeight="1">
      <c r="A178" s="45"/>
      <c r="B178" s="45"/>
      <c r="C178" s="45"/>
      <c r="D178" s="45"/>
      <c r="E178" s="45"/>
      <c r="F178" s="45"/>
      <c r="G178" s="45"/>
      <c r="H178" s="45"/>
      <c r="I178" s="45"/>
      <c r="J178" s="45"/>
      <c r="K178" s="45"/>
      <c r="L178" s="45"/>
      <c r="M178" s="45"/>
    </row>
    <row r="179" ht="15.75" customHeight="1">
      <c r="A179" s="45"/>
      <c r="B179" s="45"/>
      <c r="C179" s="45"/>
      <c r="D179" s="45"/>
      <c r="E179" s="45"/>
      <c r="F179" s="45"/>
      <c r="G179" s="45"/>
      <c r="H179" s="45"/>
      <c r="I179" s="45"/>
      <c r="J179" s="45"/>
      <c r="K179" s="45"/>
      <c r="L179" s="45"/>
      <c r="M179" s="45"/>
    </row>
    <row r="180" ht="15.75" customHeight="1">
      <c r="A180" s="45"/>
      <c r="B180" s="45"/>
      <c r="C180" s="45"/>
      <c r="D180" s="45"/>
      <c r="E180" s="45"/>
      <c r="F180" s="45"/>
      <c r="G180" s="45"/>
      <c r="H180" s="45"/>
      <c r="I180" s="45"/>
      <c r="J180" s="45"/>
      <c r="K180" s="45"/>
      <c r="L180" s="45"/>
      <c r="M180" s="45"/>
    </row>
    <row r="181" ht="15.75" customHeight="1">
      <c r="A181" s="45"/>
      <c r="B181" s="45"/>
      <c r="C181" s="45"/>
      <c r="D181" s="45"/>
      <c r="E181" s="45"/>
      <c r="F181" s="45"/>
      <c r="G181" s="45"/>
      <c r="H181" s="45"/>
      <c r="I181" s="45"/>
      <c r="J181" s="45"/>
      <c r="K181" s="45"/>
      <c r="L181" s="45"/>
      <c r="M181" s="45"/>
    </row>
    <row r="182" ht="15.75" customHeight="1">
      <c r="A182" s="45"/>
      <c r="B182" s="45"/>
      <c r="C182" s="45"/>
      <c r="D182" s="45"/>
      <c r="E182" s="45"/>
      <c r="F182" s="45"/>
      <c r="G182" s="45"/>
      <c r="H182" s="45"/>
      <c r="I182" s="45"/>
      <c r="J182" s="45"/>
      <c r="K182" s="45"/>
      <c r="L182" s="45"/>
      <c r="M182" s="45"/>
    </row>
    <row r="183" ht="15.75" customHeight="1">
      <c r="A183" s="45"/>
      <c r="B183" s="45"/>
      <c r="C183" s="45"/>
      <c r="D183" s="45"/>
      <c r="E183" s="45"/>
      <c r="F183" s="45"/>
      <c r="G183" s="45"/>
      <c r="H183" s="45"/>
      <c r="I183" s="45"/>
      <c r="J183" s="45"/>
      <c r="K183" s="45"/>
      <c r="L183" s="45"/>
      <c r="M183" s="45"/>
    </row>
    <row r="184" ht="15.75" customHeight="1">
      <c r="A184" s="45"/>
      <c r="B184" s="45"/>
      <c r="C184" s="45"/>
      <c r="D184" s="45"/>
      <c r="E184" s="45"/>
      <c r="F184" s="45"/>
      <c r="G184" s="45"/>
      <c r="H184" s="45"/>
      <c r="I184" s="45"/>
      <c r="J184" s="45"/>
      <c r="K184" s="45"/>
      <c r="L184" s="45"/>
      <c r="M184" s="45"/>
    </row>
    <row r="185" ht="15.75" customHeight="1">
      <c r="A185" s="45"/>
      <c r="B185" s="45"/>
      <c r="C185" s="45"/>
      <c r="D185" s="45"/>
      <c r="E185" s="45"/>
      <c r="F185" s="45"/>
      <c r="G185" s="45"/>
      <c r="H185" s="45"/>
      <c r="I185" s="45"/>
      <c r="J185" s="45"/>
      <c r="K185" s="45"/>
      <c r="L185" s="45"/>
      <c r="M185" s="45"/>
    </row>
    <row r="186" ht="15.75" customHeight="1">
      <c r="A186" s="45"/>
      <c r="B186" s="45"/>
      <c r="C186" s="45"/>
      <c r="D186" s="45"/>
      <c r="E186" s="45"/>
      <c r="F186" s="45"/>
      <c r="G186" s="45"/>
      <c r="H186" s="45"/>
      <c r="I186" s="45"/>
      <c r="J186" s="45"/>
      <c r="K186" s="45"/>
      <c r="L186" s="45"/>
      <c r="M186" s="45"/>
    </row>
    <row r="187" ht="15.75" customHeight="1">
      <c r="A187" s="45"/>
      <c r="B187" s="45"/>
      <c r="C187" s="45"/>
      <c r="D187" s="45"/>
      <c r="E187" s="45"/>
      <c r="F187" s="45"/>
      <c r="G187" s="45"/>
      <c r="H187" s="45"/>
      <c r="I187" s="45"/>
      <c r="J187" s="45"/>
      <c r="K187" s="45"/>
      <c r="L187" s="45"/>
      <c r="M187" s="45"/>
    </row>
    <row r="188" ht="15.75" customHeight="1">
      <c r="A188" s="45"/>
      <c r="B188" s="45"/>
      <c r="C188" s="45"/>
      <c r="D188" s="45"/>
      <c r="E188" s="45"/>
      <c r="F188" s="45"/>
      <c r="G188" s="45"/>
      <c r="H188" s="45"/>
      <c r="I188" s="45"/>
      <c r="J188" s="45"/>
      <c r="K188" s="45"/>
      <c r="L188" s="45"/>
      <c r="M188" s="45"/>
    </row>
    <row r="189" ht="15.75" customHeight="1">
      <c r="A189" s="45"/>
      <c r="B189" s="45"/>
      <c r="C189" s="45"/>
      <c r="D189" s="45"/>
      <c r="E189" s="45"/>
      <c r="F189" s="45"/>
      <c r="G189" s="45"/>
      <c r="H189" s="45"/>
      <c r="I189" s="45"/>
      <c r="J189" s="45"/>
      <c r="K189" s="45"/>
      <c r="L189" s="45"/>
      <c r="M189" s="45"/>
    </row>
    <row r="190" ht="15.75" customHeight="1">
      <c r="A190" s="45"/>
      <c r="B190" s="45"/>
      <c r="C190" s="45"/>
      <c r="D190" s="45"/>
      <c r="E190" s="45"/>
      <c r="F190" s="45"/>
      <c r="G190" s="45"/>
      <c r="H190" s="45"/>
      <c r="I190" s="45"/>
      <c r="J190" s="45"/>
      <c r="K190" s="45"/>
      <c r="L190" s="45"/>
      <c r="M190" s="45"/>
    </row>
    <row r="191" ht="15.75" customHeight="1">
      <c r="A191" s="45"/>
      <c r="B191" s="45"/>
      <c r="C191" s="45"/>
      <c r="D191" s="45"/>
      <c r="E191" s="45"/>
      <c r="F191" s="45"/>
      <c r="G191" s="45"/>
      <c r="H191" s="45"/>
      <c r="I191" s="45"/>
      <c r="J191" s="45"/>
      <c r="K191" s="45"/>
      <c r="L191" s="45"/>
      <c r="M191" s="45"/>
    </row>
    <row r="192" ht="15.75" customHeight="1">
      <c r="A192" s="45"/>
      <c r="B192" s="45"/>
      <c r="C192" s="45"/>
      <c r="D192" s="45"/>
      <c r="E192" s="45"/>
      <c r="F192" s="45"/>
      <c r="G192" s="45"/>
      <c r="H192" s="45"/>
      <c r="I192" s="45"/>
      <c r="J192" s="45"/>
      <c r="K192" s="45"/>
      <c r="L192" s="45"/>
      <c r="M192" s="45"/>
    </row>
    <row r="193" ht="15.75" customHeight="1">
      <c r="A193" s="45"/>
      <c r="B193" s="45"/>
      <c r="C193" s="45"/>
      <c r="D193" s="45"/>
      <c r="E193" s="45"/>
      <c r="F193" s="45"/>
      <c r="G193" s="45"/>
      <c r="H193" s="45"/>
      <c r="I193" s="45"/>
      <c r="J193" s="45"/>
      <c r="K193" s="45"/>
      <c r="L193" s="45"/>
      <c r="M193" s="45"/>
    </row>
    <row r="194" ht="15.75" customHeight="1">
      <c r="A194" s="45"/>
      <c r="B194" s="45"/>
      <c r="C194" s="45"/>
      <c r="D194" s="45"/>
      <c r="E194" s="45"/>
      <c r="F194" s="45"/>
      <c r="G194" s="45"/>
      <c r="H194" s="45"/>
      <c r="I194" s="45"/>
      <c r="J194" s="45"/>
      <c r="K194" s="45"/>
      <c r="L194" s="45"/>
      <c r="M194" s="45"/>
    </row>
    <row r="195" ht="15.75" customHeight="1">
      <c r="A195" s="45"/>
      <c r="B195" s="45"/>
      <c r="C195" s="45"/>
      <c r="D195" s="45"/>
      <c r="E195" s="45"/>
      <c r="F195" s="45"/>
      <c r="G195" s="45"/>
      <c r="H195" s="45"/>
      <c r="I195" s="45"/>
      <c r="J195" s="45"/>
      <c r="K195" s="45"/>
      <c r="L195" s="45"/>
      <c r="M195" s="45"/>
    </row>
    <row r="196" ht="15.75" customHeight="1">
      <c r="A196" s="45"/>
      <c r="B196" s="45"/>
      <c r="C196" s="45"/>
      <c r="D196" s="45"/>
      <c r="E196" s="45"/>
      <c r="F196" s="45"/>
      <c r="G196" s="45"/>
      <c r="H196" s="45"/>
      <c r="I196" s="45"/>
      <c r="J196" s="45"/>
      <c r="K196" s="45"/>
      <c r="L196" s="45"/>
      <c r="M196" s="45"/>
    </row>
    <row r="197" ht="15.75" customHeight="1">
      <c r="A197" s="45"/>
      <c r="B197" s="45"/>
      <c r="C197" s="45"/>
      <c r="D197" s="45"/>
      <c r="E197" s="45"/>
      <c r="F197" s="45"/>
      <c r="G197" s="45"/>
      <c r="H197" s="45"/>
      <c r="I197" s="45"/>
      <c r="J197" s="45"/>
      <c r="K197" s="45"/>
      <c r="L197" s="45"/>
      <c r="M197" s="45"/>
    </row>
    <row r="198" ht="15.75" customHeight="1">
      <c r="A198" s="45"/>
      <c r="B198" s="45"/>
      <c r="C198" s="45"/>
      <c r="D198" s="45"/>
      <c r="E198" s="45"/>
      <c r="F198" s="45"/>
      <c r="G198" s="45"/>
      <c r="H198" s="45"/>
      <c r="I198" s="45"/>
      <c r="J198" s="45"/>
      <c r="K198" s="45"/>
      <c r="L198" s="45"/>
      <c r="M198" s="45"/>
    </row>
    <row r="199" ht="15.75" customHeight="1">
      <c r="A199" s="45"/>
      <c r="B199" s="45"/>
      <c r="C199" s="45"/>
      <c r="D199" s="45"/>
      <c r="E199" s="45"/>
      <c r="F199" s="45"/>
      <c r="G199" s="45"/>
      <c r="H199" s="45"/>
      <c r="I199" s="45"/>
      <c r="J199" s="45"/>
      <c r="K199" s="45"/>
      <c r="L199" s="45"/>
      <c r="M199" s="45"/>
    </row>
    <row r="200" ht="15.75" customHeight="1">
      <c r="A200" s="45"/>
      <c r="B200" s="45"/>
      <c r="C200" s="45"/>
      <c r="D200" s="45"/>
      <c r="E200" s="45"/>
      <c r="F200" s="45"/>
      <c r="G200" s="45"/>
      <c r="H200" s="45"/>
      <c r="I200" s="45"/>
      <c r="J200" s="45"/>
      <c r="K200" s="45"/>
      <c r="L200" s="45"/>
      <c r="M200" s="45"/>
    </row>
    <row r="201" ht="15.75" customHeight="1">
      <c r="A201" s="45"/>
      <c r="B201" s="45"/>
      <c r="C201" s="45"/>
      <c r="D201" s="45"/>
      <c r="E201" s="45"/>
      <c r="F201" s="45"/>
      <c r="G201" s="45"/>
      <c r="H201" s="45"/>
      <c r="I201" s="45"/>
      <c r="J201" s="45"/>
      <c r="K201" s="45"/>
      <c r="L201" s="45"/>
      <c r="M201" s="45"/>
    </row>
    <row r="202" ht="15.75" customHeight="1">
      <c r="A202" s="45"/>
      <c r="B202" s="45"/>
      <c r="C202" s="45"/>
      <c r="D202" s="45"/>
      <c r="E202" s="45"/>
      <c r="F202" s="45"/>
      <c r="G202" s="45"/>
      <c r="H202" s="45"/>
      <c r="I202" s="45"/>
      <c r="J202" s="45"/>
      <c r="K202" s="45"/>
      <c r="L202" s="45"/>
      <c r="M202" s="45"/>
    </row>
    <row r="203" ht="15.75" customHeight="1">
      <c r="A203" s="45"/>
      <c r="B203" s="45"/>
      <c r="C203" s="45"/>
      <c r="D203" s="45"/>
      <c r="E203" s="45"/>
      <c r="F203" s="45"/>
      <c r="G203" s="45"/>
      <c r="H203" s="45"/>
      <c r="I203" s="45"/>
      <c r="J203" s="45"/>
      <c r="K203" s="45"/>
      <c r="L203" s="45"/>
      <c r="M203" s="45"/>
    </row>
    <row r="204" ht="15.75" customHeight="1">
      <c r="A204" s="45"/>
      <c r="B204" s="45"/>
      <c r="C204" s="45"/>
      <c r="D204" s="45"/>
      <c r="E204" s="45"/>
      <c r="F204" s="45"/>
      <c r="G204" s="45"/>
      <c r="H204" s="45"/>
      <c r="I204" s="45"/>
      <c r="J204" s="45"/>
      <c r="K204" s="45"/>
      <c r="L204" s="45"/>
      <c r="M204" s="45"/>
    </row>
    <row r="205" ht="15.75" customHeight="1">
      <c r="A205" s="45"/>
      <c r="B205" s="45"/>
      <c r="C205" s="45"/>
      <c r="D205" s="45"/>
      <c r="E205" s="45"/>
      <c r="F205" s="45"/>
      <c r="G205" s="45"/>
      <c r="H205" s="45"/>
      <c r="I205" s="45"/>
      <c r="J205" s="45"/>
      <c r="K205" s="45"/>
      <c r="L205" s="45"/>
      <c r="M205" s="45"/>
    </row>
    <row r="206" ht="15.75" customHeight="1">
      <c r="A206" s="45"/>
      <c r="B206" s="45"/>
      <c r="C206" s="45"/>
      <c r="D206" s="45"/>
      <c r="E206" s="45"/>
      <c r="F206" s="45"/>
      <c r="G206" s="45"/>
      <c r="H206" s="45"/>
      <c r="I206" s="45"/>
      <c r="J206" s="45"/>
      <c r="K206" s="45"/>
      <c r="L206" s="45"/>
      <c r="M206" s="45"/>
    </row>
    <row r="207" ht="15.75" customHeight="1">
      <c r="A207" s="45"/>
      <c r="B207" s="45"/>
      <c r="C207" s="45"/>
      <c r="D207" s="45"/>
      <c r="E207" s="45"/>
      <c r="F207" s="45"/>
      <c r="G207" s="45"/>
      <c r="H207" s="45"/>
      <c r="I207" s="45"/>
      <c r="J207" s="45"/>
      <c r="K207" s="45"/>
      <c r="L207" s="45"/>
      <c r="M207" s="45"/>
    </row>
    <row r="208" ht="15.75" customHeight="1">
      <c r="A208" s="45"/>
      <c r="B208" s="45"/>
      <c r="C208" s="45"/>
      <c r="D208" s="45"/>
      <c r="E208" s="45"/>
      <c r="F208" s="45"/>
      <c r="G208" s="45"/>
      <c r="H208" s="45"/>
      <c r="I208" s="45"/>
      <c r="J208" s="45"/>
      <c r="K208" s="45"/>
      <c r="L208" s="45"/>
      <c r="M208" s="45"/>
    </row>
    <row r="209" ht="15.75" customHeight="1">
      <c r="A209" s="45"/>
      <c r="B209" s="45"/>
      <c r="C209" s="45"/>
      <c r="D209" s="45"/>
      <c r="E209" s="45"/>
      <c r="F209" s="45"/>
      <c r="G209" s="45"/>
      <c r="H209" s="45"/>
      <c r="I209" s="45"/>
      <c r="J209" s="45"/>
      <c r="K209" s="45"/>
      <c r="L209" s="45"/>
      <c r="M209" s="45"/>
    </row>
    <row r="210" ht="15.75" customHeight="1">
      <c r="A210" s="45"/>
      <c r="B210" s="45"/>
      <c r="C210" s="45"/>
      <c r="D210" s="45"/>
      <c r="E210" s="45"/>
      <c r="F210" s="45"/>
      <c r="G210" s="45"/>
      <c r="H210" s="45"/>
      <c r="I210" s="45"/>
      <c r="J210" s="45"/>
      <c r="K210" s="45"/>
      <c r="L210" s="45"/>
      <c r="M210" s="45"/>
    </row>
    <row r="211" ht="15.75" customHeight="1">
      <c r="A211" s="45"/>
      <c r="B211" s="45"/>
      <c r="C211" s="45"/>
      <c r="D211" s="45"/>
      <c r="E211" s="45"/>
      <c r="F211" s="45"/>
      <c r="G211" s="45"/>
      <c r="H211" s="45"/>
      <c r="I211" s="45"/>
      <c r="J211" s="45"/>
      <c r="K211" s="45"/>
      <c r="L211" s="45"/>
      <c r="M211" s="45"/>
    </row>
    <row r="212" ht="15.75" customHeight="1">
      <c r="A212" s="45"/>
      <c r="B212" s="45"/>
      <c r="C212" s="45"/>
      <c r="D212" s="45"/>
      <c r="E212" s="45"/>
      <c r="F212" s="45"/>
      <c r="G212" s="45"/>
      <c r="H212" s="45"/>
      <c r="I212" s="45"/>
      <c r="J212" s="45"/>
      <c r="K212" s="45"/>
      <c r="L212" s="45"/>
      <c r="M212" s="45"/>
    </row>
    <row r="213" ht="15.75" customHeight="1">
      <c r="A213" s="45"/>
      <c r="B213" s="45"/>
      <c r="C213" s="45"/>
      <c r="D213" s="45"/>
      <c r="E213" s="45"/>
      <c r="F213" s="45"/>
      <c r="G213" s="45"/>
      <c r="H213" s="45"/>
      <c r="I213" s="45"/>
      <c r="J213" s="45"/>
      <c r="K213" s="45"/>
      <c r="L213" s="45"/>
      <c r="M213" s="45"/>
    </row>
    <row r="214" ht="15.75" customHeight="1">
      <c r="A214" s="45"/>
      <c r="B214" s="45"/>
      <c r="C214" s="45"/>
      <c r="D214" s="45"/>
      <c r="E214" s="45"/>
      <c r="F214" s="45"/>
      <c r="G214" s="45"/>
      <c r="H214" s="45"/>
      <c r="I214" s="45"/>
      <c r="J214" s="45"/>
      <c r="K214" s="45"/>
      <c r="L214" s="45"/>
      <c r="M214" s="45"/>
    </row>
    <row r="215" ht="15.75" customHeight="1">
      <c r="A215" s="45"/>
      <c r="B215" s="45"/>
      <c r="C215" s="45"/>
      <c r="D215" s="45"/>
      <c r="E215" s="45"/>
      <c r="F215" s="45"/>
      <c r="G215" s="45"/>
      <c r="H215" s="45"/>
      <c r="I215" s="45"/>
      <c r="J215" s="45"/>
      <c r="K215" s="45"/>
      <c r="L215" s="45"/>
      <c r="M215" s="45"/>
    </row>
    <row r="216" ht="15.75" customHeight="1">
      <c r="A216" s="45"/>
      <c r="B216" s="45"/>
      <c r="C216" s="45"/>
      <c r="D216" s="45"/>
      <c r="E216" s="45"/>
      <c r="F216" s="45"/>
      <c r="G216" s="45"/>
      <c r="H216" s="45"/>
      <c r="I216" s="45"/>
      <c r="J216" s="45"/>
      <c r="K216" s="45"/>
      <c r="L216" s="45"/>
      <c r="M216" s="45"/>
    </row>
    <row r="217" ht="15.75" customHeight="1">
      <c r="A217" s="45"/>
      <c r="B217" s="45"/>
      <c r="C217" s="45"/>
      <c r="D217" s="45"/>
      <c r="E217" s="45"/>
      <c r="F217" s="45"/>
      <c r="G217" s="45"/>
      <c r="H217" s="45"/>
      <c r="I217" s="45"/>
      <c r="J217" s="45"/>
      <c r="K217" s="45"/>
      <c r="L217" s="45"/>
      <c r="M217" s="45"/>
    </row>
    <row r="218" ht="15.75" customHeight="1">
      <c r="A218" s="45"/>
      <c r="B218" s="45"/>
      <c r="C218" s="45"/>
      <c r="D218" s="45"/>
      <c r="E218" s="45"/>
      <c r="F218" s="45"/>
      <c r="G218" s="45"/>
      <c r="H218" s="45"/>
      <c r="I218" s="45"/>
      <c r="J218" s="45"/>
      <c r="K218" s="45"/>
      <c r="L218" s="45"/>
      <c r="M218" s="45"/>
    </row>
    <row r="219" ht="15.75" customHeight="1">
      <c r="A219" s="45"/>
      <c r="B219" s="45"/>
      <c r="C219" s="45"/>
      <c r="D219" s="45"/>
      <c r="E219" s="45"/>
      <c r="F219" s="45"/>
      <c r="G219" s="45"/>
      <c r="H219" s="45"/>
      <c r="I219" s="45"/>
      <c r="J219" s="45"/>
      <c r="K219" s="45"/>
      <c r="L219" s="45"/>
      <c r="M219" s="45"/>
    </row>
    <row r="220" ht="15.75" customHeight="1">
      <c r="A220" s="45"/>
      <c r="B220" s="45"/>
      <c r="C220" s="45"/>
      <c r="D220" s="45"/>
      <c r="E220" s="45"/>
      <c r="F220" s="45"/>
      <c r="G220" s="45"/>
      <c r="H220" s="45"/>
      <c r="I220" s="45"/>
      <c r="J220" s="45"/>
      <c r="K220" s="45"/>
      <c r="L220" s="45"/>
      <c r="M220" s="45"/>
    </row>
    <row r="221" ht="15.75" customHeight="1">
      <c r="A221" s="45"/>
      <c r="B221" s="45"/>
      <c r="C221" s="45"/>
      <c r="D221" s="45"/>
      <c r="E221" s="45"/>
      <c r="F221" s="45"/>
      <c r="G221" s="45"/>
      <c r="H221" s="45"/>
      <c r="I221" s="45"/>
      <c r="J221" s="45"/>
      <c r="K221" s="45"/>
      <c r="L221" s="45"/>
      <c r="M221" s="45"/>
    </row>
    <row r="222" ht="15.75" customHeight="1">
      <c r="A222" s="45"/>
      <c r="B222" s="45"/>
      <c r="C222" s="45"/>
      <c r="D222" s="45"/>
      <c r="E222" s="45"/>
      <c r="F222" s="45"/>
      <c r="G222" s="45"/>
      <c r="H222" s="45"/>
      <c r="I222" s="45"/>
      <c r="J222" s="45"/>
      <c r="K222" s="45"/>
      <c r="L222" s="45"/>
      <c r="M222" s="45"/>
    </row>
    <row r="223" ht="15.75" customHeight="1">
      <c r="A223" s="45"/>
      <c r="B223" s="45"/>
      <c r="C223" s="45"/>
      <c r="D223" s="45"/>
      <c r="E223" s="45"/>
      <c r="F223" s="45"/>
      <c r="G223" s="45"/>
      <c r="H223" s="45"/>
      <c r="I223" s="45"/>
      <c r="J223" s="45"/>
      <c r="K223" s="45"/>
      <c r="L223" s="45"/>
      <c r="M223" s="45"/>
    </row>
    <row r="224" ht="15.75" customHeight="1">
      <c r="A224" s="45"/>
      <c r="B224" s="45"/>
      <c r="C224" s="45"/>
      <c r="D224" s="45"/>
      <c r="E224" s="45"/>
      <c r="F224" s="45"/>
      <c r="G224" s="45"/>
      <c r="H224" s="45"/>
      <c r="I224" s="45"/>
      <c r="J224" s="45"/>
      <c r="K224" s="45"/>
      <c r="L224" s="45"/>
      <c r="M224" s="45"/>
    </row>
    <row r="225" ht="15.75" customHeight="1">
      <c r="A225" s="45"/>
      <c r="B225" s="45"/>
      <c r="C225" s="45"/>
      <c r="D225" s="45"/>
      <c r="E225" s="45"/>
      <c r="F225" s="45"/>
      <c r="G225" s="45"/>
      <c r="H225" s="45"/>
      <c r="I225" s="45"/>
      <c r="J225" s="45"/>
      <c r="K225" s="45"/>
      <c r="L225" s="45"/>
      <c r="M225" s="45"/>
    </row>
    <row r="226" ht="15.75" customHeight="1">
      <c r="A226" s="45"/>
      <c r="B226" s="45"/>
      <c r="C226" s="45"/>
      <c r="D226" s="45"/>
      <c r="E226" s="45"/>
      <c r="F226" s="45"/>
      <c r="G226" s="45"/>
      <c r="H226" s="45"/>
      <c r="I226" s="45"/>
      <c r="J226" s="45"/>
      <c r="K226" s="45"/>
      <c r="L226" s="45"/>
      <c r="M226" s="45"/>
    </row>
    <row r="227" ht="15.75" customHeight="1">
      <c r="A227" s="45"/>
      <c r="B227" s="45"/>
      <c r="C227" s="45"/>
      <c r="D227" s="45"/>
      <c r="E227" s="45"/>
      <c r="F227" s="45"/>
      <c r="G227" s="45"/>
      <c r="H227" s="45"/>
      <c r="I227" s="45"/>
      <c r="J227" s="45"/>
      <c r="K227" s="45"/>
      <c r="L227" s="45"/>
      <c r="M227" s="45"/>
    </row>
    <row r="228" ht="15.75" customHeight="1">
      <c r="A228" s="45"/>
      <c r="B228" s="45"/>
      <c r="C228" s="45"/>
      <c r="D228" s="45"/>
      <c r="E228" s="45"/>
      <c r="F228" s="45"/>
      <c r="G228" s="45"/>
      <c r="H228" s="45"/>
      <c r="I228" s="45"/>
      <c r="J228" s="45"/>
      <c r="K228" s="45"/>
      <c r="L228" s="45"/>
      <c r="M228" s="45"/>
    </row>
    <row r="229" ht="15.75" customHeight="1">
      <c r="A229" s="45"/>
      <c r="B229" s="45"/>
      <c r="C229" s="45"/>
      <c r="D229" s="45"/>
      <c r="E229" s="45"/>
      <c r="F229" s="45"/>
      <c r="G229" s="45"/>
      <c r="H229" s="45"/>
      <c r="I229" s="45"/>
      <c r="J229" s="45"/>
      <c r="K229" s="45"/>
      <c r="L229" s="45"/>
      <c r="M229" s="45"/>
    </row>
    <row r="230" ht="15.75" customHeight="1">
      <c r="A230" s="45"/>
      <c r="B230" s="45"/>
      <c r="C230" s="45"/>
      <c r="D230" s="45"/>
      <c r="E230" s="45"/>
      <c r="F230" s="45"/>
      <c r="G230" s="45"/>
      <c r="H230" s="45"/>
      <c r="I230" s="45"/>
      <c r="J230" s="45"/>
      <c r="K230" s="45"/>
      <c r="L230" s="45"/>
      <c r="M230" s="45"/>
    </row>
    <row r="231" ht="15.75" customHeight="1">
      <c r="A231" s="45"/>
      <c r="B231" s="45"/>
      <c r="C231" s="45"/>
      <c r="D231" s="45"/>
      <c r="E231" s="45"/>
      <c r="F231" s="45"/>
      <c r="G231" s="45"/>
      <c r="H231" s="45"/>
      <c r="I231" s="45"/>
      <c r="J231" s="45"/>
      <c r="K231" s="45"/>
      <c r="L231" s="45"/>
      <c r="M231" s="45"/>
    </row>
    <row r="232" ht="15.75" customHeight="1">
      <c r="A232" s="45"/>
      <c r="B232" s="45"/>
      <c r="C232" s="45"/>
      <c r="D232" s="45"/>
      <c r="E232" s="45"/>
      <c r="F232" s="45"/>
      <c r="G232" s="45"/>
      <c r="H232" s="45"/>
      <c r="I232" s="45"/>
      <c r="J232" s="45"/>
      <c r="K232" s="45"/>
      <c r="L232" s="45"/>
      <c r="M232" s="45"/>
    </row>
    <row r="233" ht="15.75" customHeight="1">
      <c r="A233" s="45"/>
      <c r="B233" s="45"/>
      <c r="C233" s="45"/>
      <c r="D233" s="45"/>
      <c r="E233" s="45"/>
      <c r="F233" s="45"/>
      <c r="G233" s="45"/>
      <c r="H233" s="45"/>
      <c r="I233" s="45"/>
      <c r="J233" s="45"/>
      <c r="K233" s="45"/>
      <c r="L233" s="45"/>
      <c r="M233" s="45"/>
    </row>
    <row r="234" ht="15.75" customHeight="1">
      <c r="A234" s="45"/>
      <c r="B234" s="45"/>
      <c r="C234" s="45"/>
      <c r="D234" s="45"/>
      <c r="E234" s="45"/>
      <c r="F234" s="45"/>
      <c r="G234" s="45"/>
      <c r="H234" s="45"/>
      <c r="I234" s="45"/>
      <c r="J234" s="45"/>
      <c r="K234" s="45"/>
      <c r="L234" s="45"/>
      <c r="M234" s="45"/>
    </row>
    <row r="235" ht="15.75" customHeight="1">
      <c r="A235" s="45"/>
      <c r="B235" s="45"/>
      <c r="C235" s="45"/>
      <c r="D235" s="45"/>
      <c r="E235" s="45"/>
      <c r="F235" s="45"/>
      <c r="G235" s="45"/>
      <c r="H235" s="45"/>
      <c r="I235" s="45"/>
      <c r="J235" s="45"/>
      <c r="K235" s="45"/>
      <c r="L235" s="45"/>
      <c r="M235" s="45"/>
    </row>
    <row r="236" ht="15.75" customHeight="1">
      <c r="A236" s="45"/>
      <c r="B236" s="45"/>
      <c r="C236" s="45"/>
      <c r="D236" s="45"/>
      <c r="E236" s="45"/>
      <c r="F236" s="45"/>
      <c r="G236" s="45"/>
      <c r="H236" s="45"/>
      <c r="I236" s="45"/>
      <c r="J236" s="45"/>
      <c r="K236" s="45"/>
      <c r="L236" s="45"/>
      <c r="M236" s="45"/>
    </row>
    <row r="237" ht="15.75" customHeight="1">
      <c r="A237" s="45"/>
      <c r="B237" s="45"/>
      <c r="C237" s="45"/>
      <c r="D237" s="45"/>
      <c r="E237" s="45"/>
      <c r="F237" s="45"/>
      <c r="G237" s="45"/>
      <c r="H237" s="45"/>
      <c r="I237" s="45"/>
      <c r="J237" s="45"/>
      <c r="K237" s="45"/>
      <c r="L237" s="45"/>
      <c r="M237" s="45"/>
    </row>
    <row r="238" ht="15.75" customHeight="1">
      <c r="A238" s="45"/>
      <c r="B238" s="45"/>
      <c r="C238" s="45"/>
      <c r="D238" s="45"/>
      <c r="E238" s="45"/>
      <c r="F238" s="45"/>
      <c r="G238" s="45"/>
      <c r="H238" s="45"/>
      <c r="I238" s="45"/>
      <c r="J238" s="45"/>
      <c r="K238" s="45"/>
      <c r="L238" s="45"/>
      <c r="M238" s="45"/>
    </row>
    <row r="239" ht="15.75" customHeight="1">
      <c r="A239" s="45"/>
      <c r="B239" s="45"/>
      <c r="C239" s="45"/>
      <c r="D239" s="45"/>
      <c r="E239" s="45"/>
      <c r="F239" s="45"/>
      <c r="G239" s="45"/>
      <c r="H239" s="45"/>
      <c r="I239" s="45"/>
      <c r="J239" s="45"/>
      <c r="K239" s="45"/>
      <c r="L239" s="45"/>
      <c r="M239" s="45"/>
    </row>
    <row r="240" ht="15.75" customHeight="1">
      <c r="A240" s="45"/>
      <c r="B240" s="45"/>
      <c r="C240" s="45"/>
      <c r="D240" s="45"/>
      <c r="E240" s="45"/>
      <c r="F240" s="45"/>
      <c r="G240" s="45"/>
      <c r="H240" s="45"/>
      <c r="I240" s="45"/>
      <c r="J240" s="45"/>
      <c r="K240" s="45"/>
      <c r="L240" s="45"/>
      <c r="M240" s="45"/>
    </row>
    <row r="241" ht="15.75" customHeight="1">
      <c r="A241" s="45"/>
      <c r="B241" s="45"/>
      <c r="C241" s="45"/>
      <c r="D241" s="45"/>
      <c r="E241" s="45"/>
      <c r="F241" s="45"/>
      <c r="G241" s="45"/>
      <c r="H241" s="45"/>
      <c r="I241" s="45"/>
      <c r="J241" s="45"/>
      <c r="K241" s="45"/>
      <c r="L241" s="45"/>
      <c r="M241" s="45"/>
    </row>
    <row r="242" ht="15.75" customHeight="1">
      <c r="A242" s="45"/>
      <c r="B242" s="45"/>
      <c r="C242" s="45"/>
      <c r="D242" s="45"/>
      <c r="E242" s="45"/>
      <c r="F242" s="45"/>
      <c r="G242" s="45"/>
      <c r="H242" s="45"/>
      <c r="I242" s="45"/>
      <c r="J242" s="45"/>
      <c r="K242" s="45"/>
      <c r="L242" s="45"/>
      <c r="M242" s="45"/>
    </row>
    <row r="243" ht="15.75" customHeight="1">
      <c r="A243" s="45"/>
      <c r="B243" s="45"/>
      <c r="C243" s="45"/>
      <c r="D243" s="45"/>
      <c r="E243" s="45"/>
      <c r="F243" s="45"/>
      <c r="G243" s="45"/>
      <c r="H243" s="45"/>
      <c r="I243" s="45"/>
      <c r="J243" s="45"/>
      <c r="K243" s="45"/>
      <c r="L243" s="45"/>
      <c r="M243" s="45"/>
    </row>
    <row r="244" ht="15.75" customHeight="1">
      <c r="A244" s="45"/>
      <c r="B244" s="45"/>
      <c r="C244" s="45"/>
      <c r="D244" s="45"/>
      <c r="E244" s="45"/>
      <c r="F244" s="45"/>
      <c r="G244" s="45"/>
      <c r="H244" s="45"/>
      <c r="I244" s="45"/>
      <c r="J244" s="45"/>
      <c r="K244" s="45"/>
      <c r="L244" s="45"/>
      <c r="M244" s="45"/>
    </row>
    <row r="245" ht="15.75" customHeight="1">
      <c r="A245" s="45"/>
      <c r="B245" s="45"/>
      <c r="C245" s="45"/>
      <c r="D245" s="45"/>
      <c r="E245" s="45"/>
      <c r="F245" s="45"/>
      <c r="G245" s="45"/>
      <c r="H245" s="45"/>
      <c r="I245" s="45"/>
      <c r="J245" s="45"/>
      <c r="K245" s="45"/>
      <c r="L245" s="45"/>
      <c r="M245" s="45"/>
    </row>
    <row r="246" ht="15.75" customHeight="1">
      <c r="A246" s="45"/>
      <c r="B246" s="45"/>
      <c r="C246" s="45"/>
      <c r="D246" s="45"/>
      <c r="E246" s="45"/>
      <c r="F246" s="45"/>
      <c r="G246" s="45"/>
      <c r="H246" s="45"/>
      <c r="I246" s="45"/>
      <c r="J246" s="45"/>
      <c r="K246" s="45"/>
      <c r="L246" s="45"/>
      <c r="M246" s="45"/>
    </row>
    <row r="247" ht="15.75" customHeight="1">
      <c r="A247" s="45"/>
      <c r="B247" s="45"/>
      <c r="C247" s="45"/>
      <c r="D247" s="45"/>
      <c r="E247" s="45"/>
      <c r="F247" s="45"/>
      <c r="G247" s="45"/>
      <c r="H247" s="45"/>
      <c r="I247" s="45"/>
      <c r="J247" s="45"/>
      <c r="K247" s="45"/>
      <c r="L247" s="45"/>
      <c r="M247" s="45"/>
    </row>
    <row r="248" ht="15.75" customHeight="1">
      <c r="A248" s="45"/>
      <c r="B248" s="45"/>
      <c r="C248" s="45"/>
      <c r="D248" s="45"/>
      <c r="E248" s="45"/>
      <c r="F248" s="45"/>
      <c r="G248" s="45"/>
      <c r="H248" s="45"/>
      <c r="I248" s="45"/>
      <c r="J248" s="45"/>
      <c r="K248" s="45"/>
      <c r="L248" s="45"/>
      <c r="M248" s="45"/>
    </row>
    <row r="249" ht="15.75" customHeight="1">
      <c r="A249" s="45"/>
      <c r="B249" s="45"/>
      <c r="C249" s="45"/>
      <c r="D249" s="45"/>
      <c r="E249" s="45"/>
      <c r="F249" s="45"/>
      <c r="G249" s="45"/>
      <c r="H249" s="45"/>
      <c r="I249" s="45"/>
      <c r="J249" s="45"/>
      <c r="K249" s="45"/>
      <c r="L249" s="45"/>
      <c r="M249" s="45"/>
    </row>
    <row r="250" ht="15.75" customHeight="1">
      <c r="A250" s="45"/>
      <c r="B250" s="45"/>
      <c r="C250" s="45"/>
      <c r="D250" s="45"/>
      <c r="E250" s="45"/>
      <c r="F250" s="45"/>
      <c r="G250" s="45"/>
      <c r="H250" s="45"/>
      <c r="I250" s="45"/>
      <c r="J250" s="45"/>
      <c r="K250" s="45"/>
      <c r="L250" s="45"/>
      <c r="M250" s="45"/>
    </row>
    <row r="251" ht="15.75" customHeight="1">
      <c r="A251" s="45"/>
      <c r="B251" s="45"/>
      <c r="C251" s="45"/>
      <c r="D251" s="45"/>
      <c r="E251" s="45"/>
      <c r="F251" s="45"/>
      <c r="G251" s="45"/>
      <c r="H251" s="45"/>
      <c r="I251" s="45"/>
      <c r="J251" s="45"/>
      <c r="K251" s="45"/>
      <c r="L251" s="45"/>
      <c r="M251" s="45"/>
    </row>
    <row r="252" ht="15.75" customHeight="1">
      <c r="A252" s="45"/>
      <c r="B252" s="45"/>
      <c r="C252" s="45"/>
      <c r="D252" s="45"/>
      <c r="E252" s="45"/>
      <c r="F252" s="45"/>
      <c r="G252" s="45"/>
      <c r="H252" s="45"/>
      <c r="I252" s="45"/>
      <c r="J252" s="45"/>
      <c r="K252" s="45"/>
      <c r="L252" s="45"/>
      <c r="M252" s="45"/>
    </row>
    <row r="253" ht="15.75" customHeight="1">
      <c r="A253" s="45"/>
      <c r="B253" s="45"/>
      <c r="C253" s="45"/>
      <c r="D253" s="45"/>
      <c r="E253" s="45"/>
      <c r="F253" s="45"/>
      <c r="G253" s="45"/>
      <c r="H253" s="45"/>
      <c r="I253" s="45"/>
      <c r="J253" s="45"/>
      <c r="K253" s="45"/>
      <c r="L253" s="45"/>
      <c r="M253" s="45"/>
    </row>
    <row r="254" ht="15.75" customHeight="1">
      <c r="A254" s="45"/>
      <c r="B254" s="45"/>
      <c r="C254" s="45"/>
      <c r="D254" s="45"/>
      <c r="E254" s="45"/>
      <c r="F254" s="45"/>
      <c r="G254" s="45"/>
      <c r="H254" s="45"/>
      <c r="I254" s="45"/>
      <c r="J254" s="45"/>
      <c r="K254" s="45"/>
      <c r="L254" s="45"/>
      <c r="M254" s="45"/>
    </row>
    <row r="255" ht="15.75" customHeight="1">
      <c r="A255" s="45"/>
      <c r="B255" s="45"/>
      <c r="C255" s="45"/>
      <c r="D255" s="45"/>
      <c r="E255" s="45"/>
      <c r="F255" s="45"/>
      <c r="G255" s="45"/>
      <c r="H255" s="45"/>
      <c r="I255" s="45"/>
      <c r="J255" s="45"/>
      <c r="K255" s="45"/>
      <c r="L255" s="45"/>
      <c r="M255" s="45"/>
    </row>
    <row r="256" ht="15.75" customHeight="1">
      <c r="A256" s="45"/>
      <c r="B256" s="45"/>
      <c r="C256" s="45"/>
      <c r="D256" s="45"/>
      <c r="E256" s="45"/>
      <c r="F256" s="45"/>
      <c r="G256" s="45"/>
      <c r="H256" s="45"/>
      <c r="I256" s="45"/>
      <c r="J256" s="45"/>
      <c r="K256" s="45"/>
      <c r="L256" s="45"/>
      <c r="M256" s="45"/>
    </row>
    <row r="257" ht="15.75" customHeight="1">
      <c r="A257" s="45"/>
      <c r="B257" s="45"/>
      <c r="C257" s="45"/>
      <c r="D257" s="45"/>
      <c r="E257" s="45"/>
      <c r="F257" s="45"/>
      <c r="G257" s="45"/>
      <c r="H257" s="45"/>
      <c r="I257" s="45"/>
      <c r="J257" s="45"/>
      <c r="K257" s="45"/>
      <c r="L257" s="45"/>
      <c r="M257" s="45"/>
    </row>
    <row r="258" ht="15.75" customHeight="1">
      <c r="A258" s="45"/>
      <c r="B258" s="45"/>
      <c r="C258" s="45"/>
      <c r="D258" s="45"/>
      <c r="E258" s="45"/>
      <c r="F258" s="45"/>
      <c r="G258" s="45"/>
      <c r="H258" s="45"/>
      <c r="I258" s="45"/>
      <c r="J258" s="45"/>
      <c r="K258" s="45"/>
      <c r="L258" s="45"/>
      <c r="M258" s="45"/>
    </row>
    <row r="259" ht="15.75" customHeight="1">
      <c r="A259" s="45"/>
      <c r="B259" s="45"/>
      <c r="C259" s="45"/>
      <c r="D259" s="45"/>
      <c r="E259" s="45"/>
      <c r="F259" s="45"/>
      <c r="G259" s="45"/>
      <c r="H259" s="45"/>
      <c r="I259" s="45"/>
      <c r="J259" s="45"/>
      <c r="K259" s="45"/>
      <c r="L259" s="45"/>
      <c r="M259" s="45"/>
    </row>
    <row r="260" ht="15.75" customHeight="1">
      <c r="A260" s="45"/>
      <c r="B260" s="45"/>
      <c r="C260" s="45"/>
      <c r="D260" s="45"/>
      <c r="E260" s="45"/>
      <c r="F260" s="45"/>
      <c r="G260" s="45"/>
      <c r="H260" s="45"/>
      <c r="I260" s="45"/>
      <c r="J260" s="45"/>
      <c r="K260" s="45"/>
      <c r="L260" s="45"/>
      <c r="M260" s="45"/>
    </row>
    <row r="261" ht="15.75" customHeight="1">
      <c r="A261" s="45"/>
      <c r="B261" s="45"/>
      <c r="C261" s="45"/>
      <c r="D261" s="45"/>
      <c r="E261" s="45"/>
      <c r="F261" s="45"/>
      <c r="G261" s="45"/>
      <c r="H261" s="45"/>
      <c r="I261" s="45"/>
      <c r="J261" s="45"/>
      <c r="K261" s="45"/>
      <c r="L261" s="45"/>
      <c r="M261" s="45"/>
    </row>
    <row r="262" ht="15.75" customHeight="1">
      <c r="A262" s="45"/>
      <c r="B262" s="45"/>
      <c r="C262" s="45"/>
      <c r="D262" s="45"/>
      <c r="E262" s="45"/>
      <c r="F262" s="45"/>
      <c r="G262" s="45"/>
      <c r="H262" s="45"/>
      <c r="I262" s="45"/>
      <c r="J262" s="45"/>
      <c r="K262" s="45"/>
      <c r="L262" s="45"/>
      <c r="M262" s="45"/>
    </row>
    <row r="263" ht="15.75" customHeight="1">
      <c r="A263" s="45"/>
      <c r="B263" s="45"/>
      <c r="C263" s="45"/>
      <c r="D263" s="45"/>
      <c r="E263" s="45"/>
      <c r="F263" s="45"/>
      <c r="G263" s="45"/>
      <c r="H263" s="45"/>
      <c r="I263" s="45"/>
      <c r="J263" s="45"/>
      <c r="K263" s="45"/>
      <c r="L263" s="45"/>
      <c r="M263" s="45"/>
    </row>
    <row r="264" ht="15.75" customHeight="1">
      <c r="A264" s="45"/>
      <c r="B264" s="45"/>
      <c r="C264" s="45"/>
      <c r="D264" s="45"/>
      <c r="E264" s="45"/>
      <c r="F264" s="45"/>
      <c r="G264" s="45"/>
      <c r="H264" s="45"/>
      <c r="I264" s="45"/>
      <c r="J264" s="45"/>
      <c r="K264" s="45"/>
      <c r="L264" s="45"/>
      <c r="M264" s="45"/>
    </row>
    <row r="265" ht="15.75" customHeight="1">
      <c r="A265" s="45"/>
      <c r="B265" s="45"/>
      <c r="C265" s="45"/>
      <c r="D265" s="45"/>
      <c r="E265" s="45"/>
      <c r="F265" s="45"/>
      <c r="G265" s="45"/>
      <c r="H265" s="45"/>
      <c r="I265" s="45"/>
      <c r="J265" s="45"/>
      <c r="K265" s="45"/>
      <c r="L265" s="45"/>
      <c r="M265" s="45"/>
    </row>
    <row r="266" ht="15.75" customHeight="1">
      <c r="A266" s="45"/>
      <c r="B266" s="45"/>
      <c r="C266" s="45"/>
      <c r="D266" s="45"/>
      <c r="E266" s="45"/>
      <c r="F266" s="45"/>
      <c r="G266" s="45"/>
      <c r="H266" s="45"/>
      <c r="I266" s="45"/>
      <c r="J266" s="45"/>
      <c r="K266" s="45"/>
      <c r="L266" s="45"/>
      <c r="M266" s="45"/>
    </row>
    <row r="267" ht="15.75" customHeight="1">
      <c r="A267" s="45"/>
      <c r="B267" s="45"/>
      <c r="C267" s="45"/>
      <c r="D267" s="45"/>
      <c r="E267" s="45"/>
      <c r="F267" s="45"/>
      <c r="G267" s="45"/>
      <c r="H267" s="45"/>
      <c r="I267" s="45"/>
      <c r="J267" s="45"/>
      <c r="K267" s="45"/>
      <c r="L267" s="45"/>
      <c r="M267" s="45"/>
    </row>
    <row r="268" ht="15.75" customHeight="1">
      <c r="A268" s="45"/>
      <c r="B268" s="45"/>
      <c r="C268" s="45"/>
      <c r="D268" s="45"/>
      <c r="E268" s="45"/>
      <c r="F268" s="45"/>
      <c r="G268" s="45"/>
      <c r="H268" s="45"/>
      <c r="I268" s="45"/>
      <c r="J268" s="45"/>
      <c r="K268" s="45"/>
      <c r="L268" s="45"/>
      <c r="M268" s="45"/>
    </row>
    <row r="269" ht="15.75" customHeight="1">
      <c r="A269" s="45"/>
      <c r="B269" s="45"/>
      <c r="C269" s="45"/>
      <c r="D269" s="45"/>
      <c r="E269" s="45"/>
      <c r="F269" s="45"/>
      <c r="G269" s="45"/>
      <c r="H269" s="45"/>
      <c r="I269" s="45"/>
      <c r="J269" s="45"/>
      <c r="K269" s="45"/>
      <c r="L269" s="45"/>
      <c r="M269" s="45"/>
    </row>
    <row r="270" ht="15.75" customHeight="1">
      <c r="A270" s="45"/>
      <c r="B270" s="45"/>
      <c r="C270" s="45"/>
      <c r="D270" s="45"/>
      <c r="E270" s="45"/>
      <c r="F270" s="45"/>
      <c r="G270" s="45"/>
      <c r="H270" s="45"/>
      <c r="I270" s="45"/>
      <c r="J270" s="45"/>
      <c r="K270" s="45"/>
      <c r="L270" s="45"/>
      <c r="M270" s="45"/>
    </row>
    <row r="271" ht="15.75" customHeight="1">
      <c r="A271" s="45"/>
      <c r="B271" s="45"/>
      <c r="C271" s="45"/>
      <c r="D271" s="45"/>
      <c r="E271" s="45"/>
      <c r="F271" s="45"/>
      <c r="G271" s="45"/>
      <c r="H271" s="45"/>
      <c r="I271" s="45"/>
      <c r="J271" s="45"/>
      <c r="K271" s="45"/>
      <c r="L271" s="45"/>
      <c r="M271" s="45"/>
    </row>
    <row r="272" ht="15.75" customHeight="1">
      <c r="A272" s="45"/>
      <c r="B272" s="45"/>
      <c r="C272" s="45"/>
      <c r="D272" s="45"/>
      <c r="E272" s="45"/>
      <c r="F272" s="45"/>
      <c r="G272" s="45"/>
      <c r="H272" s="45"/>
      <c r="I272" s="45"/>
      <c r="J272" s="45"/>
      <c r="K272" s="45"/>
      <c r="L272" s="45"/>
      <c r="M272" s="45"/>
    </row>
    <row r="273" ht="15.75" customHeight="1">
      <c r="A273" s="45"/>
      <c r="B273" s="45"/>
      <c r="C273" s="45"/>
      <c r="D273" s="45"/>
      <c r="E273" s="45"/>
      <c r="F273" s="45"/>
      <c r="G273" s="45"/>
      <c r="H273" s="45"/>
      <c r="I273" s="45"/>
      <c r="J273" s="45"/>
      <c r="K273" s="45"/>
      <c r="L273" s="45"/>
      <c r="M273" s="45"/>
    </row>
    <row r="274" ht="15.75" customHeight="1">
      <c r="A274" s="45"/>
      <c r="B274" s="45"/>
      <c r="C274" s="45"/>
      <c r="D274" s="45"/>
      <c r="E274" s="45"/>
      <c r="F274" s="45"/>
      <c r="G274" s="45"/>
      <c r="H274" s="45"/>
      <c r="I274" s="45"/>
      <c r="J274" s="45"/>
      <c r="K274" s="45"/>
      <c r="L274" s="45"/>
      <c r="M274" s="45"/>
    </row>
    <row r="275" ht="15.75" customHeight="1">
      <c r="A275" s="45"/>
      <c r="B275" s="45"/>
      <c r="C275" s="45"/>
      <c r="D275" s="45"/>
      <c r="E275" s="45"/>
      <c r="F275" s="45"/>
      <c r="G275" s="45"/>
      <c r="H275" s="45"/>
      <c r="I275" s="45"/>
      <c r="J275" s="45"/>
      <c r="K275" s="45"/>
      <c r="L275" s="45"/>
      <c r="M275" s="45"/>
    </row>
    <row r="276" ht="15.75" customHeight="1">
      <c r="A276" s="45"/>
      <c r="B276" s="45"/>
      <c r="C276" s="45"/>
      <c r="D276" s="45"/>
      <c r="E276" s="45"/>
      <c r="F276" s="45"/>
      <c r="G276" s="45"/>
      <c r="H276" s="45"/>
      <c r="I276" s="45"/>
      <c r="J276" s="45"/>
      <c r="K276" s="45"/>
      <c r="L276" s="45"/>
      <c r="M276" s="45"/>
    </row>
    <row r="277" ht="15.75" customHeight="1">
      <c r="A277" s="45"/>
      <c r="B277" s="45"/>
      <c r="C277" s="45"/>
      <c r="D277" s="45"/>
      <c r="E277" s="45"/>
      <c r="F277" s="45"/>
      <c r="G277" s="45"/>
      <c r="H277" s="45"/>
      <c r="I277" s="45"/>
      <c r="J277" s="45"/>
      <c r="K277" s="45"/>
      <c r="L277" s="45"/>
      <c r="M277" s="45"/>
    </row>
    <row r="278" ht="15.75" customHeight="1">
      <c r="A278" s="45"/>
      <c r="B278" s="45"/>
      <c r="C278" s="45"/>
      <c r="D278" s="45"/>
      <c r="E278" s="45"/>
      <c r="F278" s="45"/>
      <c r="G278" s="45"/>
      <c r="H278" s="45"/>
      <c r="I278" s="45"/>
      <c r="J278" s="45"/>
      <c r="K278" s="45"/>
      <c r="L278" s="45"/>
      <c r="M278" s="45"/>
    </row>
    <row r="279" ht="15.75" customHeight="1">
      <c r="A279" s="45"/>
      <c r="B279" s="45"/>
      <c r="C279" s="45"/>
      <c r="D279" s="45"/>
      <c r="E279" s="45"/>
      <c r="F279" s="45"/>
      <c r="G279" s="45"/>
      <c r="H279" s="45"/>
      <c r="I279" s="45"/>
      <c r="J279" s="45"/>
      <c r="K279" s="45"/>
      <c r="L279" s="45"/>
      <c r="M279" s="45"/>
    </row>
    <row r="280" ht="15.75" customHeight="1">
      <c r="A280" s="45"/>
      <c r="B280" s="45"/>
      <c r="C280" s="45"/>
      <c r="D280" s="45"/>
      <c r="E280" s="45"/>
      <c r="F280" s="45"/>
      <c r="G280" s="45"/>
      <c r="H280" s="45"/>
      <c r="I280" s="45"/>
      <c r="J280" s="45"/>
      <c r="K280" s="45"/>
      <c r="L280" s="45"/>
      <c r="M280" s="45"/>
    </row>
    <row r="281" ht="15.75" customHeight="1">
      <c r="A281" s="45"/>
      <c r="B281" s="45"/>
      <c r="C281" s="45"/>
      <c r="D281" s="45"/>
      <c r="E281" s="45"/>
      <c r="F281" s="45"/>
      <c r="G281" s="45"/>
      <c r="H281" s="45"/>
      <c r="I281" s="45"/>
      <c r="J281" s="45"/>
      <c r="K281" s="45"/>
      <c r="L281" s="45"/>
      <c r="M281" s="45"/>
    </row>
    <row r="282" ht="15.75" customHeight="1">
      <c r="A282" s="45"/>
      <c r="B282" s="45"/>
      <c r="C282" s="45"/>
      <c r="D282" s="45"/>
      <c r="E282" s="45"/>
      <c r="F282" s="45"/>
      <c r="G282" s="45"/>
      <c r="H282" s="45"/>
      <c r="I282" s="45"/>
      <c r="J282" s="45"/>
      <c r="K282" s="45"/>
      <c r="L282" s="45"/>
      <c r="M282" s="45"/>
    </row>
    <row r="283" ht="15.75" customHeight="1">
      <c r="A283" s="45"/>
      <c r="B283" s="45"/>
      <c r="C283" s="45"/>
      <c r="D283" s="45"/>
      <c r="E283" s="45"/>
      <c r="F283" s="45"/>
      <c r="G283" s="45"/>
      <c r="H283" s="45"/>
      <c r="I283" s="45"/>
      <c r="J283" s="45"/>
      <c r="K283" s="45"/>
      <c r="L283" s="45"/>
      <c r="M283" s="45"/>
    </row>
    <row r="284" ht="15.75" customHeight="1">
      <c r="A284" s="45"/>
      <c r="B284" s="45"/>
      <c r="C284" s="45"/>
      <c r="D284" s="45"/>
      <c r="E284" s="45"/>
      <c r="F284" s="45"/>
      <c r="G284" s="45"/>
      <c r="H284" s="45"/>
      <c r="I284" s="45"/>
      <c r="J284" s="45"/>
      <c r="K284" s="45"/>
      <c r="L284" s="45"/>
      <c r="M284" s="45"/>
    </row>
    <row r="285" ht="15.75" customHeight="1">
      <c r="A285" s="45"/>
      <c r="B285" s="45"/>
      <c r="C285" s="45"/>
      <c r="D285" s="45"/>
      <c r="E285" s="45"/>
      <c r="F285" s="45"/>
      <c r="G285" s="45"/>
      <c r="H285" s="45"/>
      <c r="I285" s="45"/>
      <c r="J285" s="45"/>
      <c r="K285" s="45"/>
      <c r="L285" s="45"/>
      <c r="M285" s="45"/>
    </row>
    <row r="286" ht="15.75" customHeight="1">
      <c r="A286" s="45"/>
      <c r="B286" s="45"/>
      <c r="C286" s="45"/>
      <c r="D286" s="45"/>
      <c r="E286" s="45"/>
      <c r="F286" s="45"/>
      <c r="G286" s="45"/>
      <c r="H286" s="45"/>
      <c r="I286" s="45"/>
      <c r="J286" s="45"/>
      <c r="K286" s="45"/>
      <c r="L286" s="45"/>
      <c r="M286" s="45"/>
    </row>
    <row r="287" ht="15.75" customHeight="1">
      <c r="A287" s="45"/>
      <c r="B287" s="45"/>
      <c r="C287" s="45"/>
      <c r="D287" s="45"/>
      <c r="E287" s="45"/>
      <c r="F287" s="45"/>
      <c r="G287" s="45"/>
      <c r="H287" s="45"/>
      <c r="I287" s="45"/>
      <c r="J287" s="45"/>
      <c r="K287" s="45"/>
      <c r="L287" s="45"/>
      <c r="M287" s="45"/>
    </row>
    <row r="288" ht="15.75" customHeight="1">
      <c r="A288" s="45"/>
      <c r="B288" s="45"/>
      <c r="C288" s="45"/>
      <c r="D288" s="45"/>
      <c r="E288" s="45"/>
      <c r="F288" s="45"/>
      <c r="G288" s="45"/>
      <c r="H288" s="45"/>
      <c r="I288" s="45"/>
      <c r="J288" s="45"/>
      <c r="K288" s="45"/>
      <c r="L288" s="45"/>
      <c r="M288" s="45"/>
    </row>
    <row r="289" ht="15.75" customHeight="1">
      <c r="A289" s="45"/>
      <c r="B289" s="45"/>
      <c r="C289" s="45"/>
      <c r="D289" s="45"/>
      <c r="E289" s="45"/>
      <c r="F289" s="45"/>
      <c r="G289" s="45"/>
      <c r="H289" s="45"/>
      <c r="I289" s="45"/>
      <c r="J289" s="45"/>
      <c r="K289" s="45"/>
      <c r="L289" s="45"/>
      <c r="M289" s="45"/>
    </row>
    <row r="290" ht="15.75" customHeight="1">
      <c r="A290" s="45"/>
      <c r="B290" s="45"/>
      <c r="C290" s="45"/>
      <c r="D290" s="45"/>
      <c r="E290" s="45"/>
      <c r="F290" s="45"/>
      <c r="G290" s="45"/>
      <c r="H290" s="45"/>
      <c r="I290" s="45"/>
      <c r="J290" s="45"/>
      <c r="K290" s="45"/>
      <c r="L290" s="45"/>
      <c r="M290" s="45"/>
    </row>
    <row r="291" ht="15.75" customHeight="1">
      <c r="A291" s="45"/>
      <c r="B291" s="45"/>
      <c r="C291" s="45"/>
      <c r="D291" s="45"/>
      <c r="E291" s="45"/>
      <c r="F291" s="45"/>
      <c r="G291" s="45"/>
      <c r="H291" s="45"/>
      <c r="I291" s="45"/>
      <c r="J291" s="45"/>
      <c r="K291" s="45"/>
      <c r="L291" s="45"/>
      <c r="M291" s="45"/>
    </row>
    <row r="292" ht="15.75" customHeight="1">
      <c r="A292" s="45"/>
      <c r="B292" s="45"/>
      <c r="C292" s="45"/>
      <c r="D292" s="45"/>
      <c r="E292" s="45"/>
      <c r="F292" s="45"/>
      <c r="G292" s="45"/>
      <c r="H292" s="45"/>
      <c r="I292" s="45"/>
      <c r="J292" s="45"/>
      <c r="K292" s="45"/>
      <c r="L292" s="45"/>
      <c r="M292" s="45"/>
    </row>
    <row r="293" ht="15.75" customHeight="1">
      <c r="A293" s="45"/>
      <c r="B293" s="45"/>
      <c r="C293" s="45"/>
      <c r="D293" s="45"/>
      <c r="E293" s="45"/>
      <c r="F293" s="45"/>
      <c r="G293" s="45"/>
      <c r="H293" s="45"/>
      <c r="I293" s="45"/>
      <c r="J293" s="45"/>
      <c r="K293" s="45"/>
      <c r="L293" s="45"/>
      <c r="M293" s="45"/>
    </row>
    <row r="294" ht="15.75" customHeight="1">
      <c r="A294" s="45"/>
      <c r="B294" s="45"/>
      <c r="C294" s="45"/>
      <c r="D294" s="45"/>
      <c r="E294" s="45"/>
      <c r="F294" s="45"/>
      <c r="G294" s="45"/>
      <c r="H294" s="45"/>
      <c r="I294" s="45"/>
      <c r="J294" s="45"/>
      <c r="K294" s="45"/>
      <c r="L294" s="45"/>
      <c r="M294" s="45"/>
    </row>
    <row r="295" ht="15.75" customHeight="1">
      <c r="A295" s="45"/>
      <c r="B295" s="45"/>
      <c r="C295" s="45"/>
      <c r="D295" s="45"/>
      <c r="E295" s="45"/>
      <c r="F295" s="45"/>
      <c r="G295" s="45"/>
      <c r="H295" s="45"/>
      <c r="I295" s="45"/>
      <c r="J295" s="45"/>
      <c r="K295" s="45"/>
      <c r="L295" s="45"/>
      <c r="M295" s="45"/>
    </row>
    <row r="296" ht="15.75" customHeight="1">
      <c r="A296" s="45"/>
      <c r="B296" s="45"/>
      <c r="C296" s="45"/>
      <c r="D296" s="45"/>
      <c r="E296" s="45"/>
      <c r="F296" s="45"/>
      <c r="G296" s="45"/>
      <c r="H296" s="45"/>
      <c r="I296" s="45"/>
      <c r="J296" s="45"/>
      <c r="K296" s="45"/>
      <c r="L296" s="45"/>
      <c r="M296" s="45"/>
    </row>
    <row r="297" ht="15.75" customHeight="1">
      <c r="A297" s="45"/>
      <c r="B297" s="45"/>
      <c r="C297" s="45"/>
      <c r="D297" s="45"/>
      <c r="E297" s="45"/>
      <c r="F297" s="45"/>
      <c r="G297" s="45"/>
      <c r="H297" s="45"/>
      <c r="I297" s="45"/>
      <c r="J297" s="45"/>
      <c r="K297" s="45"/>
      <c r="L297" s="45"/>
      <c r="M297" s="45"/>
    </row>
    <row r="298" ht="15.75" customHeight="1">
      <c r="A298" s="45"/>
      <c r="B298" s="45"/>
      <c r="C298" s="45"/>
      <c r="D298" s="45"/>
      <c r="E298" s="45"/>
      <c r="F298" s="45"/>
      <c r="G298" s="45"/>
      <c r="H298" s="45"/>
      <c r="I298" s="45"/>
      <c r="J298" s="45"/>
      <c r="K298" s="45"/>
      <c r="L298" s="45"/>
      <c r="M298" s="45"/>
    </row>
    <row r="299" ht="15.75" customHeight="1">
      <c r="A299" s="45"/>
      <c r="B299" s="45"/>
      <c r="C299" s="45"/>
      <c r="D299" s="45"/>
      <c r="E299" s="45"/>
      <c r="F299" s="45"/>
      <c r="G299" s="45"/>
      <c r="H299" s="45"/>
      <c r="I299" s="45"/>
      <c r="J299" s="45"/>
      <c r="K299" s="45"/>
      <c r="L299" s="45"/>
      <c r="M299" s="45"/>
    </row>
    <row r="300" ht="15.75" customHeight="1">
      <c r="A300" s="45"/>
      <c r="B300" s="45"/>
      <c r="C300" s="45"/>
      <c r="D300" s="45"/>
      <c r="E300" s="45"/>
      <c r="F300" s="45"/>
      <c r="G300" s="45"/>
      <c r="H300" s="45"/>
      <c r="I300" s="45"/>
      <c r="J300" s="45"/>
      <c r="K300" s="45"/>
      <c r="L300" s="45"/>
      <c r="M300" s="45"/>
    </row>
    <row r="301" ht="15.75" customHeight="1">
      <c r="A301" s="45"/>
      <c r="B301" s="45"/>
      <c r="C301" s="45"/>
      <c r="D301" s="45"/>
      <c r="E301" s="45"/>
      <c r="F301" s="45"/>
      <c r="G301" s="45"/>
      <c r="H301" s="45"/>
      <c r="I301" s="45"/>
      <c r="J301" s="45"/>
      <c r="K301" s="45"/>
      <c r="L301" s="45"/>
      <c r="M301" s="45"/>
    </row>
    <row r="302" ht="15.75" customHeight="1">
      <c r="A302" s="45"/>
      <c r="B302" s="45"/>
      <c r="C302" s="45"/>
      <c r="D302" s="45"/>
      <c r="E302" s="45"/>
      <c r="F302" s="45"/>
      <c r="G302" s="45"/>
      <c r="H302" s="45"/>
      <c r="I302" s="45"/>
      <c r="J302" s="45"/>
      <c r="K302" s="45"/>
      <c r="L302" s="45"/>
      <c r="M302" s="45"/>
    </row>
    <row r="303" ht="15.75" customHeight="1">
      <c r="A303" s="45"/>
      <c r="B303" s="45"/>
      <c r="C303" s="45"/>
      <c r="D303" s="45"/>
      <c r="E303" s="45"/>
      <c r="F303" s="45"/>
      <c r="G303" s="45"/>
      <c r="H303" s="45"/>
      <c r="I303" s="45"/>
      <c r="J303" s="45"/>
      <c r="K303" s="45"/>
      <c r="L303" s="45"/>
      <c r="M303" s="45"/>
    </row>
    <row r="304" ht="15.75" customHeight="1">
      <c r="A304" s="45"/>
      <c r="B304" s="45"/>
      <c r="C304" s="45"/>
      <c r="D304" s="45"/>
      <c r="E304" s="45"/>
      <c r="F304" s="45"/>
      <c r="G304" s="45"/>
      <c r="H304" s="45"/>
      <c r="I304" s="45"/>
      <c r="J304" s="45"/>
      <c r="K304" s="45"/>
      <c r="L304" s="45"/>
      <c r="M304" s="45"/>
    </row>
    <row r="305" ht="15.75" customHeight="1">
      <c r="A305" s="45"/>
      <c r="B305" s="45"/>
      <c r="C305" s="45"/>
      <c r="D305" s="45"/>
      <c r="E305" s="45"/>
      <c r="F305" s="45"/>
      <c r="G305" s="45"/>
      <c r="H305" s="45"/>
      <c r="I305" s="45"/>
      <c r="J305" s="45"/>
      <c r="K305" s="45"/>
      <c r="L305" s="45"/>
      <c r="M305" s="45"/>
    </row>
    <row r="306" ht="15.75" customHeight="1">
      <c r="A306" s="45"/>
      <c r="B306" s="45"/>
      <c r="C306" s="45"/>
      <c r="D306" s="45"/>
      <c r="E306" s="45"/>
      <c r="F306" s="45"/>
      <c r="G306" s="45"/>
      <c r="H306" s="45"/>
      <c r="I306" s="45"/>
      <c r="J306" s="45"/>
      <c r="K306" s="45"/>
      <c r="L306" s="45"/>
      <c r="M306" s="45"/>
    </row>
    <row r="307" ht="15.75" customHeight="1">
      <c r="A307" s="45"/>
      <c r="B307" s="45"/>
      <c r="C307" s="45"/>
      <c r="D307" s="45"/>
      <c r="E307" s="45"/>
      <c r="F307" s="45"/>
      <c r="G307" s="45"/>
      <c r="H307" s="45"/>
      <c r="I307" s="45"/>
      <c r="J307" s="45"/>
      <c r="K307" s="45"/>
      <c r="L307" s="45"/>
      <c r="M307" s="45"/>
    </row>
    <row r="308" ht="15.75" customHeight="1">
      <c r="A308" s="45"/>
      <c r="B308" s="45"/>
      <c r="C308" s="45"/>
      <c r="D308" s="45"/>
      <c r="E308" s="45"/>
      <c r="F308" s="45"/>
      <c r="G308" s="45"/>
      <c r="H308" s="45"/>
      <c r="I308" s="45"/>
      <c r="J308" s="45"/>
      <c r="K308" s="45"/>
      <c r="L308" s="45"/>
      <c r="M308" s="45"/>
    </row>
    <row r="309" ht="15.75" customHeight="1">
      <c r="A309" s="45"/>
      <c r="B309" s="45"/>
      <c r="C309" s="45"/>
      <c r="D309" s="45"/>
      <c r="E309" s="45"/>
      <c r="F309" s="45"/>
      <c r="G309" s="45"/>
      <c r="H309" s="45"/>
      <c r="I309" s="45"/>
      <c r="J309" s="45"/>
      <c r="K309" s="45"/>
      <c r="L309" s="45"/>
      <c r="M309" s="45"/>
    </row>
    <row r="310" ht="15.75" customHeight="1">
      <c r="A310" s="45"/>
      <c r="B310" s="45"/>
      <c r="C310" s="45"/>
      <c r="D310" s="45"/>
      <c r="E310" s="45"/>
      <c r="F310" s="45"/>
      <c r="G310" s="45"/>
      <c r="H310" s="45"/>
      <c r="I310" s="45"/>
      <c r="J310" s="45"/>
      <c r="K310" s="45"/>
      <c r="L310" s="45"/>
      <c r="M310" s="45"/>
    </row>
    <row r="311" ht="15.75" customHeight="1">
      <c r="A311" s="45"/>
      <c r="B311" s="45"/>
      <c r="C311" s="45"/>
      <c r="D311" s="45"/>
      <c r="E311" s="45"/>
      <c r="F311" s="45"/>
      <c r="G311" s="45"/>
      <c r="H311" s="45"/>
      <c r="I311" s="45"/>
      <c r="J311" s="45"/>
      <c r="K311" s="45"/>
      <c r="L311" s="45"/>
      <c r="M311" s="45"/>
    </row>
    <row r="312" ht="15.75" customHeight="1">
      <c r="A312" s="45"/>
      <c r="B312" s="45"/>
      <c r="C312" s="45"/>
      <c r="D312" s="45"/>
      <c r="E312" s="45"/>
      <c r="F312" s="45"/>
      <c r="G312" s="45"/>
      <c r="H312" s="45"/>
      <c r="I312" s="45"/>
      <c r="J312" s="45"/>
      <c r="K312" s="45"/>
      <c r="L312" s="45"/>
      <c r="M312" s="45"/>
    </row>
    <row r="313" ht="15.75" customHeight="1">
      <c r="A313" s="45"/>
      <c r="B313" s="45"/>
      <c r="C313" s="45"/>
      <c r="D313" s="45"/>
      <c r="E313" s="45"/>
      <c r="F313" s="45"/>
      <c r="G313" s="45"/>
      <c r="H313" s="45"/>
      <c r="I313" s="45"/>
      <c r="J313" s="45"/>
      <c r="K313" s="45"/>
      <c r="L313" s="45"/>
      <c r="M313" s="45"/>
    </row>
    <row r="314" ht="15.75" customHeight="1">
      <c r="A314" s="45"/>
      <c r="B314" s="45"/>
      <c r="C314" s="45"/>
      <c r="D314" s="45"/>
      <c r="E314" s="45"/>
      <c r="F314" s="45"/>
      <c r="G314" s="45"/>
      <c r="H314" s="45"/>
      <c r="I314" s="45"/>
      <c r="J314" s="45"/>
      <c r="K314" s="45"/>
      <c r="L314" s="45"/>
      <c r="M314" s="45"/>
    </row>
    <row r="315" ht="15.75" customHeight="1">
      <c r="A315" s="45"/>
      <c r="B315" s="45"/>
      <c r="C315" s="45"/>
      <c r="D315" s="45"/>
      <c r="E315" s="45"/>
      <c r="F315" s="45"/>
      <c r="G315" s="45"/>
      <c r="H315" s="45"/>
      <c r="I315" s="45"/>
      <c r="J315" s="45"/>
      <c r="K315" s="45"/>
      <c r="L315" s="45"/>
      <c r="M315" s="45"/>
    </row>
    <row r="316" ht="15.75" customHeight="1">
      <c r="A316" s="45"/>
      <c r="B316" s="45"/>
      <c r="C316" s="45"/>
      <c r="D316" s="45"/>
      <c r="E316" s="45"/>
      <c r="F316" s="45"/>
      <c r="G316" s="45"/>
      <c r="H316" s="45"/>
      <c r="I316" s="45"/>
      <c r="J316" s="45"/>
      <c r="K316" s="45"/>
      <c r="L316" s="45"/>
      <c r="M316" s="45"/>
    </row>
    <row r="317" ht="15.75" customHeight="1">
      <c r="A317" s="45"/>
      <c r="B317" s="45"/>
      <c r="C317" s="45"/>
      <c r="D317" s="45"/>
      <c r="E317" s="45"/>
      <c r="F317" s="45"/>
      <c r="G317" s="45"/>
      <c r="H317" s="45"/>
      <c r="I317" s="45"/>
      <c r="J317" s="45"/>
      <c r="K317" s="45"/>
      <c r="L317" s="45"/>
      <c r="M317" s="45"/>
    </row>
    <row r="318" ht="15.75" customHeight="1">
      <c r="A318" s="45"/>
      <c r="B318" s="45"/>
      <c r="C318" s="45"/>
      <c r="D318" s="45"/>
      <c r="E318" s="45"/>
      <c r="F318" s="45"/>
      <c r="G318" s="45"/>
      <c r="H318" s="45"/>
      <c r="I318" s="45"/>
      <c r="J318" s="45"/>
      <c r="K318" s="45"/>
      <c r="L318" s="45"/>
      <c r="M318" s="45"/>
    </row>
    <row r="319" ht="15.75" customHeight="1">
      <c r="A319" s="45"/>
      <c r="B319" s="45"/>
      <c r="C319" s="45"/>
      <c r="D319" s="45"/>
      <c r="E319" s="45"/>
      <c r="F319" s="45"/>
      <c r="G319" s="45"/>
      <c r="H319" s="45"/>
      <c r="I319" s="45"/>
      <c r="J319" s="45"/>
      <c r="K319" s="45"/>
      <c r="L319" s="45"/>
      <c r="M319" s="45"/>
    </row>
    <row r="320" ht="15.75" customHeight="1">
      <c r="A320" s="45"/>
      <c r="B320" s="45"/>
      <c r="C320" s="45"/>
      <c r="D320" s="45"/>
      <c r="E320" s="45"/>
      <c r="F320" s="45"/>
      <c r="G320" s="45"/>
      <c r="H320" s="45"/>
      <c r="I320" s="45"/>
      <c r="J320" s="45"/>
      <c r="K320" s="45"/>
      <c r="L320" s="45"/>
      <c r="M320" s="45"/>
    </row>
    <row r="321" ht="15.75" customHeight="1">
      <c r="A321" s="45"/>
      <c r="B321" s="45"/>
      <c r="C321" s="45"/>
      <c r="D321" s="45"/>
      <c r="E321" s="45"/>
      <c r="F321" s="45"/>
      <c r="G321" s="45"/>
      <c r="H321" s="45"/>
      <c r="I321" s="45"/>
      <c r="J321" s="45"/>
      <c r="K321" s="45"/>
      <c r="L321" s="45"/>
      <c r="M321" s="45"/>
    </row>
    <row r="322" ht="15.75" customHeight="1">
      <c r="A322" s="45"/>
      <c r="B322" s="45"/>
      <c r="C322" s="45"/>
      <c r="D322" s="45"/>
      <c r="E322" s="45"/>
      <c r="F322" s="45"/>
      <c r="G322" s="45"/>
      <c r="H322" s="45"/>
      <c r="I322" s="45"/>
      <c r="J322" s="45"/>
      <c r="K322" s="45"/>
      <c r="L322" s="45"/>
      <c r="M322" s="45"/>
    </row>
    <row r="323" ht="15.75" customHeight="1">
      <c r="A323" s="45"/>
      <c r="B323" s="45"/>
      <c r="C323" s="45"/>
      <c r="D323" s="45"/>
      <c r="E323" s="45"/>
      <c r="F323" s="45"/>
      <c r="G323" s="45"/>
      <c r="H323" s="45"/>
      <c r="I323" s="45"/>
      <c r="J323" s="45"/>
      <c r="K323" s="45"/>
      <c r="L323" s="45"/>
      <c r="M323" s="45"/>
    </row>
    <row r="324" ht="15.75" customHeight="1">
      <c r="A324" s="45"/>
      <c r="B324" s="45"/>
      <c r="C324" s="45"/>
      <c r="D324" s="45"/>
      <c r="E324" s="45"/>
      <c r="F324" s="45"/>
      <c r="G324" s="45"/>
      <c r="H324" s="45"/>
      <c r="I324" s="45"/>
      <c r="J324" s="45"/>
      <c r="K324" s="45"/>
      <c r="L324" s="45"/>
      <c r="M324" s="45"/>
    </row>
    <row r="325" ht="15.75" customHeight="1">
      <c r="A325" s="45"/>
      <c r="B325" s="45"/>
      <c r="C325" s="45"/>
      <c r="D325" s="45"/>
      <c r="E325" s="45"/>
      <c r="F325" s="45"/>
      <c r="G325" s="45"/>
      <c r="H325" s="45"/>
      <c r="I325" s="45"/>
      <c r="J325" s="45"/>
      <c r="K325" s="45"/>
      <c r="L325" s="45"/>
      <c r="M325" s="45"/>
    </row>
    <row r="326" ht="15.75" customHeight="1">
      <c r="A326" s="45"/>
      <c r="B326" s="45"/>
      <c r="C326" s="45"/>
      <c r="D326" s="45"/>
      <c r="E326" s="45"/>
      <c r="F326" s="45"/>
      <c r="G326" s="45"/>
      <c r="H326" s="45"/>
      <c r="I326" s="45"/>
      <c r="J326" s="45"/>
      <c r="K326" s="45"/>
      <c r="L326" s="45"/>
      <c r="M326" s="45"/>
    </row>
    <row r="327" ht="15.75" customHeight="1">
      <c r="A327" s="45"/>
      <c r="B327" s="45"/>
      <c r="C327" s="45"/>
      <c r="D327" s="45"/>
      <c r="E327" s="45"/>
      <c r="F327" s="45"/>
      <c r="G327" s="45"/>
      <c r="H327" s="45"/>
      <c r="I327" s="45"/>
      <c r="J327" s="45"/>
      <c r="K327" s="45"/>
      <c r="L327" s="45"/>
      <c r="M327" s="45"/>
    </row>
    <row r="328" ht="15.75" customHeight="1">
      <c r="A328" s="45"/>
      <c r="B328" s="45"/>
      <c r="C328" s="45"/>
      <c r="D328" s="45"/>
      <c r="E328" s="45"/>
      <c r="F328" s="45"/>
      <c r="G328" s="45"/>
      <c r="H328" s="45"/>
      <c r="I328" s="45"/>
      <c r="J328" s="45"/>
      <c r="K328" s="45"/>
      <c r="L328" s="45"/>
      <c r="M328" s="45"/>
    </row>
    <row r="329" ht="15.75" customHeight="1">
      <c r="A329" s="45"/>
      <c r="B329" s="45"/>
      <c r="C329" s="45"/>
      <c r="D329" s="45"/>
      <c r="E329" s="45"/>
      <c r="F329" s="45"/>
      <c r="G329" s="45"/>
      <c r="H329" s="45"/>
      <c r="I329" s="45"/>
      <c r="J329" s="45"/>
      <c r="K329" s="45"/>
      <c r="L329" s="45"/>
      <c r="M329" s="45"/>
    </row>
    <row r="330" ht="15.75" customHeight="1">
      <c r="A330" s="45"/>
      <c r="B330" s="45"/>
      <c r="C330" s="45"/>
      <c r="D330" s="45"/>
      <c r="E330" s="45"/>
      <c r="F330" s="45"/>
      <c r="G330" s="45"/>
      <c r="H330" s="45"/>
      <c r="I330" s="45"/>
      <c r="J330" s="45"/>
      <c r="K330" s="45"/>
      <c r="L330" s="45"/>
      <c r="M330" s="45"/>
    </row>
    <row r="331" ht="15.75" customHeight="1">
      <c r="A331" s="45"/>
      <c r="B331" s="45"/>
      <c r="C331" s="45"/>
      <c r="D331" s="45"/>
      <c r="E331" s="45"/>
      <c r="F331" s="45"/>
      <c r="G331" s="45"/>
      <c r="H331" s="45"/>
      <c r="I331" s="45"/>
      <c r="J331" s="45"/>
      <c r="K331" s="45"/>
      <c r="L331" s="45"/>
      <c r="M331" s="45"/>
    </row>
    <row r="332" ht="15.75" customHeight="1">
      <c r="A332" s="45"/>
      <c r="B332" s="45"/>
      <c r="C332" s="45"/>
      <c r="D332" s="45"/>
      <c r="E332" s="45"/>
      <c r="F332" s="45"/>
      <c r="G332" s="45"/>
      <c r="H332" s="45"/>
      <c r="I332" s="45"/>
      <c r="J332" s="45"/>
      <c r="K332" s="45"/>
      <c r="L332" s="45"/>
      <c r="M332" s="45"/>
    </row>
    <row r="333" ht="15.75" customHeight="1">
      <c r="A333" s="45"/>
      <c r="B333" s="45"/>
      <c r="C333" s="45"/>
      <c r="D333" s="45"/>
      <c r="E333" s="45"/>
      <c r="F333" s="45"/>
      <c r="G333" s="45"/>
      <c r="H333" s="45"/>
      <c r="I333" s="45"/>
      <c r="J333" s="45"/>
      <c r="K333" s="45"/>
      <c r="L333" s="45"/>
      <c r="M333" s="45"/>
    </row>
    <row r="334" ht="15.75" customHeight="1">
      <c r="A334" s="45"/>
      <c r="B334" s="45"/>
      <c r="C334" s="45"/>
      <c r="D334" s="45"/>
      <c r="E334" s="45"/>
      <c r="F334" s="45"/>
      <c r="G334" s="45"/>
      <c r="H334" s="45"/>
      <c r="I334" s="45"/>
      <c r="J334" s="45"/>
      <c r="K334" s="45"/>
      <c r="L334" s="45"/>
      <c r="M334" s="45"/>
    </row>
    <row r="335" ht="15.75" customHeight="1">
      <c r="A335" s="45"/>
      <c r="B335" s="45"/>
      <c r="C335" s="45"/>
      <c r="D335" s="45"/>
      <c r="E335" s="45"/>
      <c r="F335" s="45"/>
      <c r="G335" s="45"/>
      <c r="H335" s="45"/>
      <c r="I335" s="45"/>
      <c r="J335" s="45"/>
      <c r="K335" s="45"/>
      <c r="L335" s="45"/>
      <c r="M335" s="45"/>
    </row>
    <row r="336" ht="15.75" customHeight="1">
      <c r="A336" s="45"/>
      <c r="B336" s="45"/>
      <c r="C336" s="45"/>
      <c r="D336" s="45"/>
      <c r="E336" s="45"/>
      <c r="F336" s="45"/>
      <c r="G336" s="45"/>
      <c r="H336" s="45"/>
      <c r="I336" s="45"/>
      <c r="J336" s="45"/>
      <c r="K336" s="45"/>
      <c r="L336" s="45"/>
      <c r="M336" s="45"/>
    </row>
    <row r="337" ht="15.75" customHeight="1">
      <c r="A337" s="45"/>
      <c r="B337" s="45"/>
      <c r="C337" s="45"/>
      <c r="D337" s="45"/>
      <c r="E337" s="45"/>
      <c r="F337" s="45"/>
      <c r="G337" s="45"/>
      <c r="H337" s="45"/>
      <c r="I337" s="45"/>
      <c r="J337" s="45"/>
      <c r="K337" s="45"/>
      <c r="L337" s="45"/>
      <c r="M337" s="45"/>
    </row>
    <row r="338" ht="15.75" customHeight="1">
      <c r="A338" s="45"/>
      <c r="B338" s="45"/>
      <c r="C338" s="45"/>
      <c r="D338" s="45"/>
      <c r="E338" s="45"/>
      <c r="F338" s="45"/>
      <c r="G338" s="45"/>
      <c r="H338" s="45"/>
      <c r="I338" s="45"/>
      <c r="J338" s="45"/>
      <c r="K338" s="45"/>
      <c r="L338" s="45"/>
      <c r="M338" s="45"/>
    </row>
    <row r="339" ht="15.75" customHeight="1">
      <c r="A339" s="45"/>
      <c r="B339" s="45"/>
      <c r="C339" s="45"/>
      <c r="D339" s="45"/>
      <c r="E339" s="45"/>
      <c r="F339" s="45"/>
      <c r="G339" s="45"/>
      <c r="H339" s="45"/>
      <c r="I339" s="45"/>
      <c r="J339" s="45"/>
      <c r="K339" s="45"/>
      <c r="L339" s="45"/>
      <c r="M339" s="45"/>
    </row>
    <row r="340" ht="15.75" customHeight="1">
      <c r="A340" s="45"/>
      <c r="B340" s="45"/>
      <c r="C340" s="45"/>
      <c r="D340" s="45"/>
      <c r="E340" s="45"/>
      <c r="F340" s="45"/>
      <c r="G340" s="45"/>
      <c r="H340" s="45"/>
      <c r="I340" s="45"/>
      <c r="J340" s="45"/>
      <c r="K340" s="45"/>
      <c r="L340" s="45"/>
      <c r="M340" s="45"/>
    </row>
    <row r="341" ht="15.75" customHeight="1">
      <c r="A341" s="45"/>
      <c r="B341" s="45"/>
      <c r="C341" s="45"/>
      <c r="D341" s="45"/>
      <c r="E341" s="45"/>
      <c r="F341" s="45"/>
      <c r="G341" s="45"/>
      <c r="H341" s="45"/>
      <c r="I341" s="45"/>
      <c r="J341" s="45"/>
      <c r="K341" s="45"/>
      <c r="L341" s="45"/>
      <c r="M341" s="45"/>
    </row>
    <row r="342" ht="15.75" customHeight="1">
      <c r="A342" s="45"/>
      <c r="B342" s="45"/>
      <c r="C342" s="45"/>
      <c r="D342" s="45"/>
      <c r="E342" s="45"/>
      <c r="F342" s="45"/>
      <c r="G342" s="45"/>
      <c r="H342" s="45"/>
      <c r="I342" s="45"/>
      <c r="J342" s="45"/>
      <c r="K342" s="45"/>
      <c r="L342" s="45"/>
      <c r="M342" s="45"/>
    </row>
    <row r="343" ht="15.75" customHeight="1">
      <c r="A343" s="45"/>
      <c r="B343" s="45"/>
      <c r="C343" s="45"/>
      <c r="D343" s="45"/>
      <c r="E343" s="45"/>
      <c r="F343" s="45"/>
      <c r="G343" s="45"/>
      <c r="H343" s="45"/>
      <c r="I343" s="45"/>
      <c r="J343" s="45"/>
      <c r="K343" s="45"/>
      <c r="L343" s="45"/>
      <c r="M343" s="45"/>
    </row>
    <row r="344" ht="15.75" customHeight="1">
      <c r="A344" s="45"/>
      <c r="B344" s="45"/>
      <c r="C344" s="45"/>
      <c r="D344" s="45"/>
      <c r="E344" s="45"/>
      <c r="F344" s="45"/>
      <c r="G344" s="45"/>
      <c r="H344" s="45"/>
      <c r="I344" s="45"/>
      <c r="J344" s="45"/>
      <c r="K344" s="45"/>
      <c r="L344" s="45"/>
      <c r="M344" s="45"/>
    </row>
    <row r="345" ht="15.75" customHeight="1">
      <c r="A345" s="45"/>
      <c r="B345" s="45"/>
      <c r="C345" s="45"/>
      <c r="D345" s="45"/>
      <c r="E345" s="45"/>
      <c r="F345" s="45"/>
      <c r="G345" s="45"/>
      <c r="H345" s="45"/>
      <c r="I345" s="45"/>
      <c r="J345" s="45"/>
      <c r="K345" s="45"/>
      <c r="L345" s="45"/>
      <c r="M345" s="45"/>
    </row>
    <row r="346" ht="15.75" customHeight="1">
      <c r="A346" s="45"/>
      <c r="B346" s="45"/>
      <c r="C346" s="45"/>
      <c r="D346" s="45"/>
      <c r="E346" s="45"/>
      <c r="F346" s="45"/>
      <c r="G346" s="45"/>
      <c r="H346" s="45"/>
      <c r="I346" s="45"/>
      <c r="J346" s="45"/>
      <c r="K346" s="45"/>
      <c r="L346" s="45"/>
      <c r="M346" s="45"/>
    </row>
    <row r="347" ht="15.75" customHeight="1">
      <c r="A347" s="45"/>
      <c r="B347" s="45"/>
      <c r="C347" s="45"/>
      <c r="D347" s="45"/>
      <c r="E347" s="45"/>
      <c r="F347" s="45"/>
      <c r="G347" s="45"/>
      <c r="H347" s="45"/>
      <c r="I347" s="45"/>
      <c r="J347" s="45"/>
      <c r="K347" s="45"/>
      <c r="L347" s="45"/>
      <c r="M347" s="45"/>
    </row>
    <row r="348" ht="15.75" customHeight="1">
      <c r="A348" s="45"/>
      <c r="B348" s="45"/>
      <c r="C348" s="45"/>
      <c r="D348" s="45"/>
      <c r="E348" s="45"/>
      <c r="F348" s="45"/>
      <c r="G348" s="45"/>
      <c r="H348" s="45"/>
      <c r="I348" s="45"/>
      <c r="J348" s="45"/>
      <c r="K348" s="45"/>
      <c r="L348" s="45"/>
      <c r="M348" s="45"/>
    </row>
    <row r="349" ht="15.75" customHeight="1">
      <c r="A349" s="45"/>
      <c r="B349" s="45"/>
      <c r="C349" s="45"/>
      <c r="D349" s="45"/>
      <c r="E349" s="45"/>
      <c r="F349" s="45"/>
      <c r="G349" s="45"/>
      <c r="H349" s="45"/>
      <c r="I349" s="45"/>
      <c r="J349" s="45"/>
      <c r="K349" s="45"/>
      <c r="L349" s="45"/>
      <c r="M349" s="45"/>
    </row>
    <row r="350" ht="15.75" customHeight="1">
      <c r="A350" s="45"/>
      <c r="B350" s="45"/>
      <c r="C350" s="45"/>
      <c r="D350" s="45"/>
      <c r="E350" s="45"/>
      <c r="F350" s="45"/>
      <c r="G350" s="45"/>
      <c r="H350" s="45"/>
      <c r="I350" s="45"/>
      <c r="J350" s="45"/>
      <c r="K350" s="45"/>
      <c r="L350" s="45"/>
      <c r="M350" s="45"/>
    </row>
    <row r="351" ht="15.75" customHeight="1">
      <c r="A351" s="45"/>
      <c r="B351" s="45"/>
      <c r="C351" s="45"/>
      <c r="D351" s="45"/>
      <c r="E351" s="45"/>
      <c r="F351" s="45"/>
      <c r="G351" s="45"/>
      <c r="H351" s="45"/>
      <c r="I351" s="45"/>
      <c r="J351" s="45"/>
      <c r="K351" s="45"/>
      <c r="L351" s="45"/>
      <c r="M351" s="45"/>
    </row>
    <row r="352" ht="15.75" customHeight="1">
      <c r="A352" s="45"/>
      <c r="B352" s="45"/>
      <c r="C352" s="45"/>
      <c r="D352" s="45"/>
      <c r="E352" s="45"/>
      <c r="F352" s="45"/>
      <c r="G352" s="45"/>
      <c r="H352" s="45"/>
      <c r="I352" s="45"/>
      <c r="J352" s="45"/>
      <c r="K352" s="45"/>
      <c r="L352" s="45"/>
      <c r="M352" s="45"/>
    </row>
    <row r="353" ht="15.75" customHeight="1">
      <c r="A353" s="45"/>
      <c r="B353" s="45"/>
      <c r="C353" s="45"/>
      <c r="D353" s="45"/>
      <c r="E353" s="45"/>
      <c r="F353" s="45"/>
      <c r="G353" s="45"/>
      <c r="H353" s="45"/>
      <c r="I353" s="45"/>
      <c r="J353" s="45"/>
      <c r="K353" s="45"/>
      <c r="L353" s="45"/>
      <c r="M353" s="45"/>
    </row>
    <row r="354" ht="15.75" customHeight="1">
      <c r="A354" s="45"/>
      <c r="B354" s="45"/>
      <c r="C354" s="45"/>
      <c r="D354" s="45"/>
      <c r="E354" s="45"/>
      <c r="F354" s="45"/>
      <c r="G354" s="45"/>
      <c r="H354" s="45"/>
      <c r="I354" s="45"/>
      <c r="J354" s="45"/>
      <c r="K354" s="45"/>
      <c r="L354" s="45"/>
      <c r="M354" s="45"/>
    </row>
    <row r="355" ht="15.75" customHeight="1">
      <c r="A355" s="45"/>
      <c r="B355" s="45"/>
      <c r="C355" s="45"/>
      <c r="D355" s="45"/>
      <c r="E355" s="45"/>
      <c r="F355" s="45"/>
      <c r="G355" s="45"/>
      <c r="H355" s="45"/>
      <c r="I355" s="45"/>
      <c r="J355" s="45"/>
      <c r="K355" s="45"/>
      <c r="L355" s="45"/>
      <c r="M355" s="45"/>
    </row>
    <row r="356" ht="15.75" customHeight="1">
      <c r="A356" s="45"/>
      <c r="B356" s="45"/>
      <c r="C356" s="45"/>
      <c r="D356" s="45"/>
      <c r="E356" s="45"/>
      <c r="F356" s="45"/>
      <c r="G356" s="45"/>
      <c r="H356" s="45"/>
      <c r="I356" s="45"/>
      <c r="J356" s="45"/>
      <c r="K356" s="45"/>
      <c r="L356" s="45"/>
      <c r="M356" s="45"/>
    </row>
    <row r="357" ht="15.75" customHeight="1">
      <c r="A357" s="45"/>
      <c r="B357" s="45"/>
      <c r="C357" s="45"/>
      <c r="D357" s="45"/>
      <c r="E357" s="45"/>
      <c r="F357" s="45"/>
      <c r="G357" s="45"/>
      <c r="H357" s="45"/>
      <c r="I357" s="45"/>
      <c r="J357" s="45"/>
      <c r="K357" s="45"/>
      <c r="L357" s="45"/>
      <c r="M357" s="45"/>
    </row>
    <row r="358" ht="15.75" customHeight="1">
      <c r="A358" s="45"/>
      <c r="B358" s="45"/>
      <c r="C358" s="45"/>
      <c r="D358" s="45"/>
      <c r="E358" s="45"/>
      <c r="F358" s="45"/>
      <c r="G358" s="45"/>
      <c r="H358" s="45"/>
      <c r="I358" s="45"/>
      <c r="J358" s="45"/>
      <c r="K358" s="45"/>
      <c r="L358" s="45"/>
      <c r="M358" s="45"/>
    </row>
    <row r="359" ht="15.75" customHeight="1">
      <c r="A359" s="45"/>
      <c r="B359" s="45"/>
      <c r="C359" s="45"/>
      <c r="D359" s="45"/>
      <c r="E359" s="45"/>
      <c r="F359" s="45"/>
      <c r="G359" s="45"/>
      <c r="H359" s="45"/>
      <c r="I359" s="45"/>
      <c r="J359" s="45"/>
      <c r="K359" s="45"/>
      <c r="L359" s="45"/>
      <c r="M359" s="45"/>
    </row>
    <row r="360" ht="15.75" customHeight="1">
      <c r="A360" s="45"/>
      <c r="B360" s="45"/>
      <c r="C360" s="45"/>
      <c r="D360" s="45"/>
      <c r="E360" s="45"/>
      <c r="F360" s="45"/>
      <c r="G360" s="45"/>
      <c r="H360" s="45"/>
      <c r="I360" s="45"/>
      <c r="J360" s="45"/>
      <c r="K360" s="45"/>
      <c r="L360" s="45"/>
      <c r="M360" s="45"/>
    </row>
    <row r="361" ht="15.75" customHeight="1">
      <c r="A361" s="45"/>
      <c r="B361" s="45"/>
      <c r="C361" s="45"/>
      <c r="D361" s="45"/>
      <c r="E361" s="45"/>
      <c r="F361" s="45"/>
      <c r="G361" s="45"/>
      <c r="H361" s="45"/>
      <c r="I361" s="45"/>
      <c r="J361" s="45"/>
      <c r="K361" s="45"/>
      <c r="L361" s="45"/>
      <c r="M361" s="45"/>
    </row>
    <row r="362" ht="15.75" customHeight="1">
      <c r="A362" s="45"/>
      <c r="B362" s="45"/>
      <c r="C362" s="45"/>
      <c r="D362" s="45"/>
      <c r="E362" s="45"/>
      <c r="F362" s="45"/>
      <c r="G362" s="45"/>
      <c r="H362" s="45"/>
      <c r="I362" s="45"/>
      <c r="J362" s="45"/>
      <c r="K362" s="45"/>
      <c r="L362" s="45"/>
      <c r="M362" s="45"/>
    </row>
    <row r="363" ht="15.75" customHeight="1">
      <c r="A363" s="45"/>
      <c r="B363" s="45"/>
      <c r="C363" s="45"/>
      <c r="D363" s="45"/>
      <c r="E363" s="45"/>
      <c r="F363" s="45"/>
      <c r="G363" s="45"/>
      <c r="H363" s="45"/>
      <c r="I363" s="45"/>
      <c r="J363" s="45"/>
      <c r="K363" s="45"/>
      <c r="L363" s="45"/>
      <c r="M363" s="45"/>
    </row>
    <row r="364" ht="15.75" customHeight="1">
      <c r="A364" s="45"/>
      <c r="B364" s="45"/>
      <c r="C364" s="45"/>
      <c r="D364" s="45"/>
      <c r="E364" s="45"/>
      <c r="F364" s="45"/>
      <c r="G364" s="45"/>
      <c r="H364" s="45"/>
      <c r="I364" s="45"/>
      <c r="J364" s="45"/>
      <c r="K364" s="45"/>
      <c r="L364" s="45"/>
      <c r="M364" s="45"/>
    </row>
    <row r="365" ht="15.75" customHeight="1">
      <c r="A365" s="45"/>
      <c r="B365" s="45"/>
      <c r="C365" s="45"/>
      <c r="D365" s="45"/>
      <c r="E365" s="45"/>
      <c r="F365" s="45"/>
      <c r="G365" s="45"/>
      <c r="H365" s="45"/>
      <c r="I365" s="45"/>
      <c r="J365" s="45"/>
      <c r="K365" s="45"/>
      <c r="L365" s="45"/>
      <c r="M365" s="45"/>
    </row>
    <row r="366" ht="15.75" customHeight="1">
      <c r="A366" s="45"/>
      <c r="B366" s="45"/>
      <c r="C366" s="45"/>
      <c r="D366" s="45"/>
      <c r="E366" s="45"/>
      <c r="F366" s="45"/>
      <c r="G366" s="45"/>
      <c r="H366" s="45"/>
      <c r="I366" s="45"/>
      <c r="J366" s="45"/>
      <c r="K366" s="45"/>
      <c r="L366" s="45"/>
      <c r="M366" s="45"/>
    </row>
    <row r="367" ht="15.75" customHeight="1">
      <c r="A367" s="45"/>
      <c r="B367" s="45"/>
      <c r="C367" s="45"/>
      <c r="D367" s="45"/>
      <c r="E367" s="45"/>
      <c r="F367" s="45"/>
      <c r="G367" s="45"/>
      <c r="H367" s="45"/>
      <c r="I367" s="45"/>
      <c r="J367" s="45"/>
      <c r="K367" s="45"/>
      <c r="L367" s="45"/>
      <c r="M367" s="45"/>
    </row>
    <row r="368" ht="15.75" customHeight="1">
      <c r="A368" s="45"/>
      <c r="B368" s="45"/>
      <c r="C368" s="45"/>
      <c r="D368" s="45"/>
      <c r="E368" s="45"/>
      <c r="F368" s="45"/>
      <c r="G368" s="45"/>
      <c r="H368" s="45"/>
      <c r="I368" s="45"/>
      <c r="J368" s="45"/>
      <c r="K368" s="45"/>
      <c r="L368" s="45"/>
      <c r="M368" s="45"/>
    </row>
    <row r="369" ht="15.75" customHeight="1">
      <c r="A369" s="45"/>
      <c r="B369" s="45"/>
      <c r="C369" s="45"/>
      <c r="D369" s="45"/>
      <c r="E369" s="45"/>
      <c r="F369" s="45"/>
      <c r="G369" s="45"/>
      <c r="H369" s="45"/>
      <c r="I369" s="45"/>
      <c r="J369" s="45"/>
      <c r="K369" s="45"/>
      <c r="L369" s="45"/>
      <c r="M369" s="45"/>
    </row>
    <row r="370" ht="15.75" customHeight="1">
      <c r="A370" s="45"/>
      <c r="B370" s="45"/>
      <c r="C370" s="45"/>
      <c r="D370" s="45"/>
      <c r="E370" s="45"/>
      <c r="F370" s="45"/>
      <c r="G370" s="45"/>
      <c r="H370" s="45"/>
      <c r="I370" s="45"/>
      <c r="J370" s="45"/>
      <c r="K370" s="45"/>
      <c r="L370" s="45"/>
      <c r="M370" s="45"/>
    </row>
    <row r="371" ht="15.75" customHeight="1">
      <c r="A371" s="45"/>
      <c r="B371" s="45"/>
      <c r="C371" s="45"/>
      <c r="D371" s="45"/>
      <c r="E371" s="45"/>
      <c r="F371" s="45"/>
      <c r="G371" s="45"/>
      <c r="H371" s="45"/>
      <c r="I371" s="45"/>
      <c r="J371" s="45"/>
      <c r="K371" s="45"/>
      <c r="L371" s="45"/>
      <c r="M371" s="45"/>
    </row>
    <row r="372" ht="15.75" customHeight="1">
      <c r="A372" s="45"/>
      <c r="B372" s="45"/>
      <c r="C372" s="45"/>
      <c r="D372" s="45"/>
      <c r="E372" s="45"/>
      <c r="F372" s="45"/>
      <c r="G372" s="45"/>
      <c r="H372" s="45"/>
      <c r="I372" s="45"/>
      <c r="J372" s="45"/>
      <c r="K372" s="45"/>
      <c r="L372" s="45"/>
      <c r="M372" s="45"/>
    </row>
    <row r="373" ht="15.75" customHeight="1">
      <c r="A373" s="45"/>
      <c r="B373" s="45"/>
      <c r="C373" s="45"/>
      <c r="D373" s="45"/>
      <c r="E373" s="45"/>
      <c r="F373" s="45"/>
      <c r="G373" s="45"/>
      <c r="H373" s="45"/>
      <c r="I373" s="45"/>
      <c r="J373" s="45"/>
      <c r="K373" s="45"/>
      <c r="L373" s="45"/>
      <c r="M373" s="45"/>
    </row>
    <row r="374" ht="15.75" customHeight="1">
      <c r="A374" s="45"/>
      <c r="B374" s="45"/>
      <c r="C374" s="45"/>
      <c r="D374" s="45"/>
      <c r="E374" s="45"/>
      <c r="F374" s="45"/>
      <c r="G374" s="45"/>
      <c r="H374" s="45"/>
      <c r="I374" s="45"/>
      <c r="J374" s="45"/>
      <c r="K374" s="45"/>
      <c r="L374" s="45"/>
      <c r="M374" s="45"/>
    </row>
    <row r="375" ht="15.75" customHeight="1">
      <c r="A375" s="45"/>
      <c r="B375" s="45"/>
      <c r="C375" s="45"/>
      <c r="D375" s="45"/>
      <c r="E375" s="45"/>
      <c r="F375" s="45"/>
      <c r="G375" s="45"/>
      <c r="H375" s="45"/>
      <c r="I375" s="45"/>
      <c r="J375" s="45"/>
      <c r="K375" s="45"/>
      <c r="L375" s="45"/>
      <c r="M375" s="45"/>
    </row>
    <row r="376" ht="15.75" customHeight="1">
      <c r="A376" s="45"/>
      <c r="B376" s="45"/>
      <c r="C376" s="45"/>
      <c r="D376" s="45"/>
      <c r="E376" s="45"/>
      <c r="F376" s="45"/>
      <c r="G376" s="45"/>
      <c r="H376" s="45"/>
      <c r="I376" s="45"/>
      <c r="J376" s="45"/>
      <c r="K376" s="45"/>
      <c r="L376" s="45"/>
      <c r="M376" s="45"/>
    </row>
    <row r="377" ht="15.75" customHeight="1">
      <c r="A377" s="45"/>
      <c r="B377" s="45"/>
      <c r="C377" s="45"/>
      <c r="D377" s="45"/>
      <c r="E377" s="45"/>
      <c r="F377" s="45"/>
      <c r="G377" s="45"/>
      <c r="H377" s="45"/>
      <c r="I377" s="45"/>
      <c r="J377" s="45"/>
      <c r="K377" s="45"/>
      <c r="L377" s="45"/>
      <c r="M377" s="45"/>
    </row>
    <row r="378" ht="15.75" customHeight="1">
      <c r="A378" s="45"/>
      <c r="B378" s="45"/>
      <c r="C378" s="45"/>
      <c r="D378" s="45"/>
      <c r="E378" s="45"/>
      <c r="F378" s="45"/>
      <c r="G378" s="45"/>
      <c r="H378" s="45"/>
      <c r="I378" s="45"/>
      <c r="J378" s="45"/>
      <c r="K378" s="45"/>
      <c r="L378" s="45"/>
      <c r="M378" s="45"/>
    </row>
    <row r="379" ht="15.75" customHeight="1">
      <c r="A379" s="45"/>
      <c r="B379" s="45"/>
      <c r="C379" s="45"/>
      <c r="D379" s="45"/>
      <c r="E379" s="45"/>
      <c r="F379" s="45"/>
      <c r="G379" s="45"/>
      <c r="H379" s="45"/>
      <c r="I379" s="45"/>
      <c r="J379" s="45"/>
      <c r="K379" s="45"/>
      <c r="L379" s="45"/>
      <c r="M379" s="45"/>
    </row>
    <row r="380" ht="15.75" customHeight="1">
      <c r="A380" s="45"/>
      <c r="B380" s="45"/>
      <c r="C380" s="45"/>
      <c r="D380" s="45"/>
      <c r="E380" s="45"/>
      <c r="F380" s="45"/>
      <c r="G380" s="45"/>
      <c r="H380" s="45"/>
      <c r="I380" s="45"/>
      <c r="J380" s="45"/>
      <c r="K380" s="45"/>
      <c r="L380" s="45"/>
      <c r="M380" s="45"/>
    </row>
    <row r="381" ht="15.75" customHeight="1">
      <c r="A381" s="45"/>
      <c r="B381" s="45"/>
      <c r="C381" s="45"/>
      <c r="D381" s="45"/>
      <c r="E381" s="45"/>
      <c r="F381" s="45"/>
      <c r="G381" s="45"/>
      <c r="H381" s="45"/>
      <c r="I381" s="45"/>
      <c r="J381" s="45"/>
      <c r="K381" s="45"/>
      <c r="L381" s="45"/>
      <c r="M381" s="45"/>
    </row>
    <row r="382" ht="15.75" customHeight="1">
      <c r="A382" s="45"/>
      <c r="B382" s="45"/>
      <c r="C382" s="45"/>
      <c r="D382" s="45"/>
      <c r="E382" s="45"/>
      <c r="F382" s="45"/>
      <c r="G382" s="45"/>
      <c r="H382" s="45"/>
      <c r="I382" s="45"/>
      <c r="J382" s="45"/>
      <c r="K382" s="45"/>
      <c r="L382" s="45"/>
      <c r="M382" s="45"/>
    </row>
    <row r="383" ht="15.75" customHeight="1">
      <c r="A383" s="45"/>
      <c r="B383" s="45"/>
      <c r="C383" s="45"/>
      <c r="D383" s="45"/>
      <c r="E383" s="45"/>
      <c r="F383" s="45"/>
      <c r="G383" s="45"/>
      <c r="H383" s="45"/>
      <c r="I383" s="45"/>
      <c r="J383" s="45"/>
      <c r="K383" s="45"/>
      <c r="L383" s="45"/>
      <c r="M383" s="45"/>
    </row>
    <row r="384" ht="15.75" customHeight="1">
      <c r="A384" s="45"/>
      <c r="B384" s="45"/>
      <c r="C384" s="45"/>
      <c r="D384" s="45"/>
      <c r="E384" s="45"/>
      <c r="F384" s="45"/>
      <c r="G384" s="45"/>
      <c r="H384" s="45"/>
      <c r="I384" s="45"/>
      <c r="J384" s="45"/>
      <c r="K384" s="45"/>
      <c r="L384" s="45"/>
      <c r="M384" s="45"/>
    </row>
    <row r="385" ht="15.75" customHeight="1">
      <c r="A385" s="45"/>
      <c r="B385" s="45"/>
      <c r="C385" s="45"/>
      <c r="D385" s="45"/>
      <c r="E385" s="45"/>
      <c r="F385" s="45"/>
      <c r="G385" s="45"/>
      <c r="H385" s="45"/>
      <c r="I385" s="45"/>
      <c r="J385" s="45"/>
      <c r="K385" s="45"/>
      <c r="L385" s="45"/>
      <c r="M385" s="45"/>
    </row>
    <row r="386" ht="15.75" customHeight="1">
      <c r="A386" s="45"/>
      <c r="B386" s="45"/>
      <c r="C386" s="45"/>
      <c r="D386" s="45"/>
      <c r="E386" s="45"/>
      <c r="F386" s="45"/>
      <c r="G386" s="45"/>
      <c r="H386" s="45"/>
      <c r="I386" s="45"/>
      <c r="J386" s="45"/>
      <c r="K386" s="45"/>
      <c r="L386" s="45"/>
      <c r="M386" s="45"/>
    </row>
    <row r="387" ht="15.75" customHeight="1">
      <c r="A387" s="45"/>
      <c r="B387" s="45"/>
      <c r="C387" s="45"/>
      <c r="D387" s="45"/>
      <c r="E387" s="45"/>
      <c r="F387" s="45"/>
      <c r="G387" s="45"/>
      <c r="H387" s="45"/>
      <c r="I387" s="45"/>
      <c r="J387" s="45"/>
      <c r="K387" s="45"/>
      <c r="L387" s="45"/>
      <c r="M387" s="45"/>
    </row>
    <row r="388" ht="15.75" customHeight="1">
      <c r="A388" s="45"/>
      <c r="B388" s="45"/>
      <c r="C388" s="45"/>
      <c r="D388" s="45"/>
      <c r="E388" s="45"/>
      <c r="F388" s="45"/>
      <c r="G388" s="45"/>
      <c r="H388" s="45"/>
      <c r="I388" s="45"/>
      <c r="J388" s="45"/>
      <c r="K388" s="45"/>
      <c r="L388" s="45"/>
      <c r="M388" s="45"/>
    </row>
    <row r="389" ht="15.75" customHeight="1">
      <c r="A389" s="45"/>
      <c r="B389" s="45"/>
      <c r="C389" s="45"/>
      <c r="D389" s="45"/>
      <c r="E389" s="45"/>
      <c r="F389" s="45"/>
      <c r="G389" s="45"/>
      <c r="H389" s="45"/>
      <c r="I389" s="45"/>
      <c r="J389" s="45"/>
      <c r="K389" s="45"/>
      <c r="L389" s="45"/>
      <c r="M389" s="45"/>
    </row>
    <row r="390" ht="15.75" customHeight="1">
      <c r="A390" s="45"/>
      <c r="B390" s="45"/>
      <c r="C390" s="45"/>
      <c r="D390" s="45"/>
      <c r="E390" s="45"/>
      <c r="F390" s="45"/>
      <c r="G390" s="45"/>
      <c r="H390" s="45"/>
      <c r="I390" s="45"/>
      <c r="J390" s="45"/>
      <c r="K390" s="45"/>
      <c r="L390" s="45"/>
      <c r="M390" s="45"/>
    </row>
    <row r="391" ht="15.75" customHeight="1">
      <c r="A391" s="45"/>
      <c r="B391" s="45"/>
      <c r="C391" s="45"/>
      <c r="D391" s="45"/>
      <c r="E391" s="45"/>
      <c r="F391" s="45"/>
      <c r="G391" s="45"/>
      <c r="H391" s="45"/>
      <c r="I391" s="45"/>
      <c r="J391" s="45"/>
      <c r="K391" s="45"/>
      <c r="L391" s="45"/>
      <c r="M391" s="45"/>
    </row>
    <row r="392" ht="15.75" customHeight="1">
      <c r="A392" s="45"/>
      <c r="B392" s="45"/>
      <c r="C392" s="45"/>
      <c r="D392" s="45"/>
      <c r="E392" s="45"/>
      <c r="F392" s="45"/>
      <c r="G392" s="45"/>
      <c r="H392" s="45"/>
      <c r="I392" s="45"/>
      <c r="J392" s="45"/>
      <c r="K392" s="45"/>
      <c r="L392" s="45"/>
      <c r="M392" s="45"/>
    </row>
    <row r="393" ht="15.75" customHeight="1">
      <c r="A393" s="45"/>
      <c r="B393" s="45"/>
      <c r="C393" s="45"/>
      <c r="D393" s="45"/>
      <c r="E393" s="45"/>
      <c r="F393" s="45"/>
      <c r="G393" s="45"/>
      <c r="H393" s="45"/>
      <c r="I393" s="45"/>
      <c r="J393" s="45"/>
      <c r="K393" s="45"/>
      <c r="L393" s="45"/>
      <c r="M393" s="45"/>
    </row>
    <row r="394" ht="15.75" customHeight="1">
      <c r="A394" s="45"/>
      <c r="B394" s="45"/>
      <c r="C394" s="45"/>
      <c r="D394" s="45"/>
      <c r="E394" s="45"/>
      <c r="F394" s="45"/>
      <c r="G394" s="45"/>
      <c r="H394" s="45"/>
      <c r="I394" s="45"/>
      <c r="J394" s="45"/>
      <c r="K394" s="45"/>
      <c r="L394" s="45"/>
      <c r="M394" s="45"/>
    </row>
    <row r="395" ht="15.75" customHeight="1">
      <c r="A395" s="45"/>
      <c r="B395" s="45"/>
      <c r="C395" s="45"/>
      <c r="D395" s="45"/>
      <c r="E395" s="45"/>
      <c r="F395" s="45"/>
      <c r="G395" s="45"/>
      <c r="H395" s="45"/>
      <c r="I395" s="45"/>
      <c r="J395" s="45"/>
      <c r="K395" s="45"/>
      <c r="L395" s="45"/>
      <c r="M395" s="45"/>
    </row>
    <row r="396" ht="15.75" customHeight="1">
      <c r="A396" s="45"/>
      <c r="B396" s="45"/>
      <c r="C396" s="45"/>
      <c r="D396" s="45"/>
      <c r="E396" s="45"/>
      <c r="F396" s="45"/>
      <c r="G396" s="45"/>
      <c r="H396" s="45"/>
      <c r="I396" s="45"/>
      <c r="J396" s="45"/>
      <c r="K396" s="45"/>
      <c r="L396" s="45"/>
      <c r="M396" s="45"/>
    </row>
    <row r="397" ht="15.75" customHeight="1">
      <c r="A397" s="45"/>
      <c r="B397" s="45"/>
      <c r="C397" s="45"/>
      <c r="D397" s="45"/>
      <c r="E397" s="45"/>
      <c r="F397" s="45"/>
      <c r="G397" s="45"/>
      <c r="H397" s="45"/>
      <c r="I397" s="45"/>
      <c r="J397" s="45"/>
      <c r="K397" s="45"/>
      <c r="L397" s="45"/>
      <c r="M397" s="45"/>
    </row>
    <row r="398" ht="15.75" customHeight="1">
      <c r="A398" s="45"/>
      <c r="B398" s="45"/>
      <c r="C398" s="45"/>
      <c r="D398" s="45"/>
      <c r="E398" s="45"/>
      <c r="F398" s="45"/>
      <c r="G398" s="45"/>
      <c r="H398" s="45"/>
      <c r="I398" s="45"/>
      <c r="J398" s="45"/>
      <c r="K398" s="45"/>
      <c r="L398" s="45"/>
      <c r="M398" s="45"/>
    </row>
    <row r="399" ht="15.75" customHeight="1">
      <c r="A399" s="45"/>
      <c r="B399" s="45"/>
      <c r="C399" s="45"/>
      <c r="D399" s="45"/>
      <c r="E399" s="45"/>
      <c r="F399" s="45"/>
      <c r="G399" s="45"/>
      <c r="H399" s="45"/>
      <c r="I399" s="45"/>
      <c r="J399" s="45"/>
      <c r="K399" s="45"/>
      <c r="L399" s="45"/>
      <c r="M399" s="45"/>
    </row>
    <row r="400" ht="15.75" customHeight="1">
      <c r="A400" s="45"/>
      <c r="B400" s="45"/>
      <c r="C400" s="45"/>
      <c r="D400" s="45"/>
      <c r="E400" s="45"/>
      <c r="F400" s="45"/>
      <c r="G400" s="45"/>
      <c r="H400" s="45"/>
      <c r="I400" s="45"/>
      <c r="J400" s="45"/>
      <c r="K400" s="45"/>
      <c r="L400" s="45"/>
      <c r="M400" s="45"/>
    </row>
    <row r="401" ht="15.75" customHeight="1">
      <c r="A401" s="45"/>
      <c r="B401" s="45"/>
      <c r="C401" s="45"/>
      <c r="D401" s="45"/>
      <c r="E401" s="45"/>
      <c r="F401" s="45"/>
      <c r="G401" s="45"/>
      <c r="H401" s="45"/>
      <c r="I401" s="45"/>
      <c r="J401" s="45"/>
      <c r="K401" s="45"/>
      <c r="L401" s="45"/>
      <c r="M401" s="45"/>
    </row>
    <row r="402" ht="15.75" customHeight="1">
      <c r="A402" s="45"/>
      <c r="B402" s="45"/>
      <c r="C402" s="45"/>
      <c r="D402" s="45"/>
      <c r="E402" s="45"/>
      <c r="F402" s="45"/>
      <c r="G402" s="45"/>
      <c r="H402" s="45"/>
      <c r="I402" s="45"/>
      <c r="J402" s="45"/>
      <c r="K402" s="45"/>
      <c r="L402" s="45"/>
      <c r="M402" s="45"/>
    </row>
    <row r="403" ht="15.75" customHeight="1">
      <c r="A403" s="45"/>
      <c r="B403" s="45"/>
      <c r="C403" s="45"/>
      <c r="D403" s="45"/>
      <c r="E403" s="45"/>
      <c r="F403" s="45"/>
      <c r="G403" s="45"/>
      <c r="H403" s="45"/>
      <c r="I403" s="45"/>
      <c r="J403" s="45"/>
      <c r="K403" s="45"/>
      <c r="L403" s="45"/>
      <c r="M403" s="45"/>
    </row>
    <row r="404" ht="15.75" customHeight="1">
      <c r="A404" s="45"/>
      <c r="B404" s="45"/>
      <c r="C404" s="45"/>
      <c r="D404" s="45"/>
      <c r="E404" s="45"/>
      <c r="F404" s="45"/>
      <c r="G404" s="45"/>
      <c r="H404" s="45"/>
      <c r="I404" s="45"/>
      <c r="J404" s="45"/>
      <c r="K404" s="45"/>
      <c r="L404" s="45"/>
      <c r="M404" s="45"/>
    </row>
    <row r="405" ht="15.75" customHeight="1">
      <c r="A405" s="45"/>
      <c r="B405" s="45"/>
      <c r="C405" s="45"/>
      <c r="D405" s="45"/>
      <c r="E405" s="45"/>
      <c r="F405" s="45"/>
      <c r="G405" s="45"/>
      <c r="H405" s="45"/>
      <c r="I405" s="45"/>
      <c r="J405" s="45"/>
      <c r="K405" s="45"/>
      <c r="L405" s="45"/>
      <c r="M405" s="45"/>
    </row>
    <row r="406" ht="15.75" customHeight="1">
      <c r="A406" s="45"/>
      <c r="B406" s="45"/>
      <c r="C406" s="45"/>
      <c r="D406" s="45"/>
      <c r="E406" s="45"/>
      <c r="F406" s="45"/>
      <c r="G406" s="45"/>
      <c r="H406" s="45"/>
      <c r="I406" s="45"/>
      <c r="J406" s="45"/>
      <c r="K406" s="45"/>
      <c r="L406" s="45"/>
      <c r="M406" s="45"/>
    </row>
    <row r="407" ht="15.75" customHeight="1">
      <c r="A407" s="45"/>
      <c r="B407" s="45"/>
      <c r="C407" s="45"/>
      <c r="D407" s="45"/>
      <c r="E407" s="45"/>
      <c r="F407" s="45"/>
      <c r="G407" s="45"/>
      <c r="H407" s="45"/>
      <c r="I407" s="45"/>
      <c r="J407" s="45"/>
      <c r="K407" s="45"/>
      <c r="L407" s="45"/>
      <c r="M407" s="45"/>
    </row>
    <row r="408" ht="15.75" customHeight="1">
      <c r="A408" s="45"/>
      <c r="B408" s="45"/>
      <c r="C408" s="45"/>
      <c r="D408" s="45"/>
      <c r="E408" s="45"/>
      <c r="F408" s="45"/>
      <c r="G408" s="45"/>
      <c r="H408" s="45"/>
      <c r="I408" s="45"/>
      <c r="J408" s="45"/>
      <c r="K408" s="45"/>
      <c r="L408" s="45"/>
      <c r="M408" s="45"/>
    </row>
    <row r="409" ht="15.75" customHeight="1">
      <c r="A409" s="45"/>
      <c r="B409" s="45"/>
      <c r="C409" s="45"/>
      <c r="D409" s="45"/>
      <c r="E409" s="45"/>
      <c r="F409" s="45"/>
      <c r="G409" s="45"/>
      <c r="H409" s="45"/>
      <c r="I409" s="45"/>
      <c r="J409" s="45"/>
      <c r="K409" s="45"/>
      <c r="L409" s="45"/>
      <c r="M409" s="45"/>
    </row>
    <row r="410" ht="15.75" customHeight="1">
      <c r="A410" s="45"/>
      <c r="B410" s="45"/>
      <c r="C410" s="45"/>
      <c r="D410" s="45"/>
      <c r="E410" s="45"/>
      <c r="F410" s="45"/>
      <c r="G410" s="45"/>
      <c r="H410" s="45"/>
      <c r="I410" s="45"/>
      <c r="J410" s="45"/>
      <c r="K410" s="45"/>
      <c r="L410" s="45"/>
      <c r="M410" s="45"/>
    </row>
    <row r="411" ht="15.75" customHeight="1">
      <c r="A411" s="45"/>
      <c r="B411" s="45"/>
      <c r="C411" s="45"/>
      <c r="D411" s="45"/>
      <c r="E411" s="45"/>
      <c r="F411" s="45"/>
      <c r="G411" s="45"/>
      <c r="H411" s="45"/>
      <c r="I411" s="45"/>
      <c r="J411" s="45"/>
      <c r="K411" s="45"/>
      <c r="L411" s="45"/>
      <c r="M411" s="45"/>
    </row>
    <row r="412" ht="15.75" customHeight="1">
      <c r="A412" s="45"/>
      <c r="B412" s="45"/>
      <c r="C412" s="45"/>
      <c r="D412" s="45"/>
      <c r="E412" s="45"/>
      <c r="F412" s="45"/>
      <c r="G412" s="45"/>
      <c r="H412" s="45"/>
      <c r="I412" s="45"/>
      <c r="J412" s="45"/>
      <c r="K412" s="45"/>
      <c r="L412" s="45"/>
      <c r="M412" s="45"/>
    </row>
    <row r="413" ht="15.75" customHeight="1">
      <c r="A413" s="45"/>
      <c r="B413" s="45"/>
      <c r="C413" s="45"/>
      <c r="D413" s="45"/>
      <c r="E413" s="45"/>
      <c r="F413" s="45"/>
      <c r="G413" s="45"/>
      <c r="H413" s="45"/>
      <c r="I413" s="45"/>
      <c r="J413" s="45"/>
      <c r="K413" s="45"/>
      <c r="L413" s="45"/>
      <c r="M413" s="45"/>
    </row>
    <row r="414" ht="15.75" customHeight="1">
      <c r="A414" s="45"/>
      <c r="B414" s="45"/>
      <c r="C414" s="45"/>
      <c r="D414" s="45"/>
      <c r="E414" s="45"/>
      <c r="F414" s="45"/>
      <c r="G414" s="45"/>
      <c r="H414" s="45"/>
      <c r="I414" s="45"/>
      <c r="J414" s="45"/>
      <c r="K414" s="45"/>
      <c r="L414" s="45"/>
      <c r="M414" s="45"/>
    </row>
    <row r="415" ht="15.75" customHeight="1">
      <c r="A415" s="45"/>
      <c r="B415" s="45"/>
      <c r="C415" s="45"/>
      <c r="D415" s="45"/>
      <c r="E415" s="45"/>
      <c r="F415" s="45"/>
      <c r="G415" s="45"/>
      <c r="H415" s="45"/>
      <c r="I415" s="45"/>
      <c r="J415" s="45"/>
      <c r="K415" s="45"/>
      <c r="L415" s="45"/>
      <c r="M415" s="45"/>
    </row>
    <row r="416" ht="15.75" customHeight="1">
      <c r="A416" s="45"/>
      <c r="B416" s="45"/>
      <c r="C416" s="45"/>
      <c r="D416" s="45"/>
      <c r="E416" s="45"/>
      <c r="F416" s="45"/>
      <c r="G416" s="45"/>
      <c r="H416" s="45"/>
      <c r="I416" s="45"/>
      <c r="J416" s="45"/>
      <c r="K416" s="45"/>
      <c r="L416" s="45"/>
      <c r="M416" s="45"/>
    </row>
    <row r="417" ht="15.75" customHeight="1">
      <c r="A417" s="45"/>
      <c r="B417" s="45"/>
      <c r="C417" s="45"/>
      <c r="D417" s="45"/>
      <c r="E417" s="45"/>
      <c r="F417" s="45"/>
      <c r="G417" s="45"/>
      <c r="H417" s="45"/>
      <c r="I417" s="45"/>
      <c r="J417" s="45"/>
      <c r="K417" s="45"/>
      <c r="L417" s="45"/>
      <c r="M417" s="45"/>
    </row>
    <row r="418" ht="15.75" customHeight="1">
      <c r="A418" s="45"/>
      <c r="B418" s="45"/>
      <c r="C418" s="45"/>
      <c r="D418" s="45"/>
      <c r="E418" s="45"/>
      <c r="F418" s="45"/>
      <c r="G418" s="45"/>
      <c r="H418" s="45"/>
      <c r="I418" s="45"/>
      <c r="J418" s="45"/>
      <c r="K418" s="45"/>
      <c r="L418" s="45"/>
      <c r="M418" s="45"/>
    </row>
    <row r="419" ht="15.75" customHeight="1">
      <c r="A419" s="45"/>
      <c r="B419" s="45"/>
      <c r="C419" s="45"/>
      <c r="D419" s="45"/>
      <c r="E419" s="45"/>
      <c r="F419" s="45"/>
      <c r="G419" s="45"/>
      <c r="H419" s="45"/>
      <c r="I419" s="45"/>
      <c r="J419" s="45"/>
      <c r="K419" s="45"/>
      <c r="L419" s="45"/>
      <c r="M419" s="45"/>
    </row>
    <row r="420" ht="15.75" customHeight="1">
      <c r="A420" s="45"/>
      <c r="B420" s="45"/>
      <c r="C420" s="45"/>
      <c r="D420" s="45"/>
      <c r="E420" s="45"/>
      <c r="F420" s="45"/>
      <c r="G420" s="45"/>
      <c r="H420" s="45"/>
      <c r="I420" s="45"/>
      <c r="J420" s="45"/>
      <c r="K420" s="45"/>
      <c r="L420" s="45"/>
      <c r="M420" s="45"/>
    </row>
    <row r="421" ht="15.75" customHeight="1">
      <c r="A421" s="45"/>
      <c r="B421" s="45"/>
      <c r="C421" s="45"/>
      <c r="D421" s="45"/>
      <c r="E421" s="45"/>
      <c r="F421" s="45"/>
      <c r="G421" s="45"/>
      <c r="H421" s="45"/>
      <c r="I421" s="45"/>
      <c r="J421" s="45"/>
      <c r="K421" s="45"/>
      <c r="L421" s="45"/>
      <c r="M421" s="45"/>
    </row>
    <row r="422" ht="15.75" customHeight="1">
      <c r="A422" s="45"/>
      <c r="B422" s="45"/>
      <c r="C422" s="45"/>
      <c r="D422" s="45"/>
      <c r="E422" s="45"/>
      <c r="F422" s="45"/>
      <c r="G422" s="45"/>
      <c r="H422" s="45"/>
      <c r="I422" s="45"/>
      <c r="J422" s="45"/>
      <c r="K422" s="45"/>
      <c r="L422" s="45"/>
      <c r="M422" s="45"/>
    </row>
    <row r="423" ht="15.75" customHeight="1">
      <c r="A423" s="45"/>
      <c r="B423" s="45"/>
      <c r="C423" s="45"/>
      <c r="D423" s="45"/>
      <c r="E423" s="45"/>
      <c r="F423" s="45"/>
      <c r="G423" s="45"/>
      <c r="H423" s="45"/>
      <c r="I423" s="45"/>
      <c r="J423" s="45"/>
      <c r="K423" s="45"/>
      <c r="L423" s="45"/>
      <c r="M423" s="45"/>
    </row>
    <row r="424" ht="15.75" customHeight="1">
      <c r="A424" s="45"/>
      <c r="B424" s="45"/>
      <c r="C424" s="45"/>
      <c r="D424" s="45"/>
      <c r="E424" s="45"/>
      <c r="F424" s="45"/>
      <c r="G424" s="45"/>
      <c r="H424" s="45"/>
      <c r="I424" s="45"/>
      <c r="J424" s="45"/>
      <c r="K424" s="45"/>
      <c r="L424" s="45"/>
      <c r="M424" s="45"/>
    </row>
    <row r="425" ht="15.75" customHeight="1">
      <c r="A425" s="45"/>
      <c r="B425" s="45"/>
      <c r="C425" s="45"/>
      <c r="D425" s="45"/>
      <c r="E425" s="45"/>
      <c r="F425" s="45"/>
      <c r="G425" s="45"/>
      <c r="H425" s="45"/>
      <c r="I425" s="45"/>
      <c r="J425" s="45"/>
      <c r="K425" s="45"/>
      <c r="L425" s="45"/>
      <c r="M425" s="45"/>
    </row>
    <row r="426" ht="15.75" customHeight="1">
      <c r="A426" s="45"/>
      <c r="B426" s="45"/>
      <c r="C426" s="45"/>
      <c r="D426" s="45"/>
      <c r="E426" s="45"/>
      <c r="F426" s="45"/>
      <c r="G426" s="45"/>
      <c r="H426" s="45"/>
      <c r="I426" s="45"/>
      <c r="J426" s="45"/>
      <c r="K426" s="45"/>
      <c r="L426" s="45"/>
      <c r="M426" s="45"/>
    </row>
    <row r="427" ht="15.75" customHeight="1">
      <c r="A427" s="45"/>
      <c r="B427" s="45"/>
      <c r="C427" s="45"/>
      <c r="D427" s="45"/>
      <c r="E427" s="45"/>
      <c r="F427" s="45"/>
      <c r="G427" s="45"/>
      <c r="H427" s="45"/>
      <c r="I427" s="45"/>
      <c r="J427" s="45"/>
      <c r="K427" s="45"/>
      <c r="L427" s="45"/>
      <c r="M427" s="45"/>
    </row>
    <row r="428" ht="15.75" customHeight="1">
      <c r="A428" s="45"/>
      <c r="B428" s="45"/>
      <c r="C428" s="45"/>
      <c r="D428" s="45"/>
      <c r="E428" s="45"/>
      <c r="F428" s="45"/>
      <c r="G428" s="45"/>
      <c r="H428" s="45"/>
      <c r="I428" s="45"/>
      <c r="J428" s="45"/>
      <c r="K428" s="45"/>
      <c r="L428" s="45"/>
      <c r="M428" s="45"/>
    </row>
    <row r="429" ht="15.75" customHeight="1">
      <c r="A429" s="45"/>
      <c r="B429" s="45"/>
      <c r="C429" s="45"/>
      <c r="D429" s="45"/>
      <c r="E429" s="45"/>
      <c r="F429" s="45"/>
      <c r="G429" s="45"/>
      <c r="H429" s="45"/>
      <c r="I429" s="45"/>
      <c r="J429" s="45"/>
      <c r="K429" s="45"/>
      <c r="L429" s="45"/>
      <c r="M429" s="45"/>
    </row>
    <row r="430" ht="15.75" customHeight="1">
      <c r="A430" s="45"/>
      <c r="B430" s="45"/>
      <c r="C430" s="45"/>
      <c r="D430" s="45"/>
      <c r="E430" s="45"/>
      <c r="F430" s="45"/>
      <c r="G430" s="45"/>
      <c r="H430" s="45"/>
      <c r="I430" s="45"/>
      <c r="J430" s="45"/>
      <c r="K430" s="45"/>
      <c r="L430" s="45"/>
      <c r="M430" s="45"/>
    </row>
    <row r="431" ht="15.75" customHeight="1">
      <c r="A431" s="45"/>
      <c r="B431" s="45"/>
      <c r="C431" s="45"/>
      <c r="D431" s="45"/>
      <c r="E431" s="45"/>
      <c r="F431" s="45"/>
      <c r="G431" s="45"/>
      <c r="H431" s="45"/>
      <c r="I431" s="45"/>
      <c r="J431" s="45"/>
      <c r="K431" s="45"/>
      <c r="L431" s="45"/>
      <c r="M431" s="45"/>
    </row>
    <row r="432" ht="15.75" customHeight="1">
      <c r="A432" s="45"/>
      <c r="B432" s="45"/>
      <c r="C432" s="45"/>
      <c r="D432" s="45"/>
      <c r="E432" s="45"/>
      <c r="F432" s="45"/>
      <c r="G432" s="45"/>
      <c r="H432" s="45"/>
      <c r="I432" s="45"/>
      <c r="J432" s="45"/>
      <c r="K432" s="45"/>
      <c r="L432" s="45"/>
      <c r="M432" s="45"/>
    </row>
    <row r="433" ht="15.75" customHeight="1">
      <c r="A433" s="45"/>
      <c r="B433" s="45"/>
      <c r="C433" s="45"/>
      <c r="D433" s="45"/>
      <c r="E433" s="45"/>
      <c r="F433" s="45"/>
      <c r="G433" s="45"/>
      <c r="H433" s="45"/>
      <c r="I433" s="45"/>
      <c r="J433" s="45"/>
      <c r="K433" s="45"/>
      <c r="L433" s="45"/>
      <c r="M433" s="45"/>
    </row>
    <row r="434" ht="15.75" customHeight="1">
      <c r="A434" s="45"/>
      <c r="B434" s="45"/>
      <c r="C434" s="45"/>
      <c r="D434" s="45"/>
      <c r="E434" s="45"/>
      <c r="F434" s="45"/>
      <c r="G434" s="45"/>
      <c r="H434" s="45"/>
      <c r="I434" s="45"/>
      <c r="J434" s="45"/>
      <c r="K434" s="45"/>
      <c r="L434" s="45"/>
      <c r="M434" s="45"/>
    </row>
    <row r="435" ht="15.75" customHeight="1">
      <c r="A435" s="45"/>
      <c r="B435" s="45"/>
      <c r="C435" s="45"/>
      <c r="D435" s="45"/>
      <c r="E435" s="45"/>
      <c r="F435" s="45"/>
      <c r="G435" s="45"/>
      <c r="H435" s="45"/>
      <c r="I435" s="45"/>
      <c r="J435" s="45"/>
      <c r="K435" s="45"/>
      <c r="L435" s="45"/>
      <c r="M435" s="45"/>
    </row>
    <row r="436" ht="15.75" customHeight="1">
      <c r="A436" s="45"/>
      <c r="B436" s="45"/>
      <c r="C436" s="45"/>
      <c r="D436" s="45"/>
      <c r="E436" s="45"/>
      <c r="F436" s="45"/>
      <c r="G436" s="45"/>
      <c r="H436" s="45"/>
      <c r="I436" s="45"/>
      <c r="J436" s="45"/>
      <c r="K436" s="45"/>
      <c r="L436" s="45"/>
      <c r="M436" s="45"/>
    </row>
    <row r="437" ht="15.75" customHeight="1">
      <c r="A437" s="45"/>
      <c r="B437" s="45"/>
      <c r="C437" s="45"/>
      <c r="D437" s="45"/>
      <c r="E437" s="45"/>
      <c r="F437" s="45"/>
      <c r="G437" s="45"/>
      <c r="H437" s="45"/>
      <c r="I437" s="45"/>
      <c r="J437" s="45"/>
      <c r="K437" s="45"/>
      <c r="L437" s="45"/>
      <c r="M437" s="45"/>
    </row>
    <row r="438" ht="15.75" customHeight="1">
      <c r="A438" s="45"/>
      <c r="B438" s="45"/>
      <c r="C438" s="45"/>
      <c r="D438" s="45"/>
      <c r="E438" s="45"/>
      <c r="F438" s="45"/>
      <c r="G438" s="45"/>
      <c r="H438" s="45"/>
      <c r="I438" s="45"/>
      <c r="J438" s="45"/>
      <c r="K438" s="45"/>
      <c r="L438" s="45"/>
      <c r="M438" s="45"/>
    </row>
    <row r="439" ht="15.75" customHeight="1">
      <c r="A439" s="45"/>
      <c r="B439" s="45"/>
      <c r="C439" s="45"/>
      <c r="D439" s="45"/>
      <c r="E439" s="45"/>
      <c r="F439" s="45"/>
      <c r="G439" s="45"/>
      <c r="H439" s="45"/>
      <c r="I439" s="45"/>
      <c r="J439" s="45"/>
      <c r="K439" s="45"/>
      <c r="L439" s="45"/>
      <c r="M439" s="45"/>
    </row>
    <row r="440" ht="15.75" customHeight="1">
      <c r="A440" s="45"/>
      <c r="B440" s="45"/>
      <c r="C440" s="45"/>
      <c r="D440" s="45"/>
      <c r="E440" s="45"/>
      <c r="F440" s="45"/>
      <c r="G440" s="45"/>
      <c r="H440" s="45"/>
      <c r="I440" s="45"/>
      <c r="J440" s="45"/>
      <c r="K440" s="45"/>
      <c r="L440" s="45"/>
      <c r="M440" s="45"/>
    </row>
    <row r="441" ht="15.75" customHeight="1">
      <c r="A441" s="45"/>
      <c r="B441" s="45"/>
      <c r="C441" s="45"/>
      <c r="D441" s="45"/>
      <c r="E441" s="45"/>
      <c r="F441" s="45"/>
      <c r="G441" s="45"/>
      <c r="H441" s="45"/>
      <c r="I441" s="45"/>
      <c r="J441" s="45"/>
      <c r="K441" s="45"/>
      <c r="L441" s="45"/>
      <c r="M441" s="45"/>
    </row>
    <row r="442" ht="15.75" customHeight="1">
      <c r="A442" s="45"/>
      <c r="B442" s="45"/>
      <c r="C442" s="45"/>
      <c r="D442" s="45"/>
      <c r="E442" s="45"/>
      <c r="F442" s="45"/>
      <c r="G442" s="45"/>
      <c r="H442" s="45"/>
      <c r="I442" s="45"/>
      <c r="J442" s="45"/>
      <c r="K442" s="45"/>
      <c r="L442" s="45"/>
      <c r="M442" s="45"/>
    </row>
    <row r="443" ht="15.75" customHeight="1">
      <c r="A443" s="45"/>
      <c r="B443" s="45"/>
      <c r="C443" s="45"/>
      <c r="D443" s="45"/>
      <c r="E443" s="45"/>
      <c r="F443" s="45"/>
      <c r="G443" s="45"/>
      <c r="H443" s="45"/>
      <c r="I443" s="45"/>
      <c r="J443" s="45"/>
      <c r="K443" s="45"/>
      <c r="L443" s="45"/>
      <c r="M443" s="45"/>
    </row>
    <row r="444" ht="15.75" customHeight="1">
      <c r="A444" s="45"/>
      <c r="B444" s="45"/>
      <c r="C444" s="45"/>
      <c r="D444" s="45"/>
      <c r="E444" s="45"/>
      <c r="F444" s="45"/>
      <c r="G444" s="45"/>
      <c r="H444" s="45"/>
      <c r="I444" s="45"/>
      <c r="J444" s="45"/>
      <c r="K444" s="45"/>
      <c r="L444" s="45"/>
      <c r="M444" s="45"/>
    </row>
    <row r="445" ht="15.75" customHeight="1">
      <c r="A445" s="45"/>
      <c r="B445" s="45"/>
      <c r="C445" s="45"/>
      <c r="D445" s="45"/>
      <c r="E445" s="45"/>
      <c r="F445" s="45"/>
      <c r="G445" s="45"/>
      <c r="H445" s="45"/>
      <c r="I445" s="45"/>
      <c r="J445" s="45"/>
      <c r="K445" s="45"/>
      <c r="L445" s="45"/>
      <c r="M445" s="45"/>
    </row>
    <row r="446" ht="15.75" customHeight="1">
      <c r="A446" s="45"/>
      <c r="B446" s="45"/>
      <c r="C446" s="45"/>
      <c r="D446" s="45"/>
      <c r="E446" s="45"/>
      <c r="F446" s="45"/>
      <c r="G446" s="45"/>
      <c r="H446" s="45"/>
      <c r="I446" s="45"/>
      <c r="J446" s="45"/>
      <c r="K446" s="45"/>
      <c r="L446" s="45"/>
      <c r="M446" s="45"/>
    </row>
    <row r="447" ht="15.75" customHeight="1">
      <c r="A447" s="45"/>
      <c r="B447" s="45"/>
      <c r="C447" s="45"/>
      <c r="D447" s="45"/>
      <c r="E447" s="45"/>
      <c r="F447" s="45"/>
      <c r="G447" s="45"/>
      <c r="H447" s="45"/>
      <c r="I447" s="45"/>
      <c r="J447" s="45"/>
      <c r="K447" s="45"/>
      <c r="L447" s="45"/>
      <c r="M447" s="45"/>
    </row>
    <row r="448" ht="15.75" customHeight="1">
      <c r="A448" s="45"/>
      <c r="B448" s="45"/>
      <c r="C448" s="45"/>
      <c r="D448" s="45"/>
      <c r="E448" s="45"/>
      <c r="F448" s="45"/>
      <c r="G448" s="45"/>
      <c r="H448" s="45"/>
      <c r="I448" s="45"/>
      <c r="J448" s="45"/>
      <c r="K448" s="45"/>
      <c r="L448" s="45"/>
      <c r="M448" s="45"/>
    </row>
    <row r="449" ht="15.75" customHeight="1">
      <c r="A449" s="45"/>
      <c r="B449" s="45"/>
      <c r="C449" s="45"/>
      <c r="D449" s="45"/>
      <c r="E449" s="45"/>
      <c r="F449" s="45"/>
      <c r="G449" s="45"/>
      <c r="H449" s="45"/>
      <c r="I449" s="45"/>
      <c r="J449" s="45"/>
      <c r="K449" s="45"/>
      <c r="L449" s="45"/>
      <c r="M449" s="45"/>
    </row>
    <row r="450" ht="15.75" customHeight="1">
      <c r="A450" s="45"/>
      <c r="B450" s="45"/>
      <c r="C450" s="45"/>
      <c r="D450" s="45"/>
      <c r="E450" s="45"/>
      <c r="F450" s="45"/>
      <c r="G450" s="45"/>
      <c r="H450" s="45"/>
      <c r="I450" s="45"/>
      <c r="J450" s="45"/>
      <c r="K450" s="45"/>
      <c r="L450" s="45"/>
      <c r="M450" s="45"/>
    </row>
    <row r="451" ht="15.75" customHeight="1">
      <c r="A451" s="45"/>
      <c r="B451" s="45"/>
      <c r="C451" s="45"/>
      <c r="D451" s="45"/>
      <c r="E451" s="45"/>
      <c r="F451" s="45"/>
      <c r="G451" s="45"/>
      <c r="H451" s="45"/>
      <c r="I451" s="45"/>
      <c r="J451" s="45"/>
      <c r="K451" s="45"/>
      <c r="L451" s="45"/>
      <c r="M451" s="45"/>
    </row>
    <row r="452" ht="15.75" customHeight="1">
      <c r="A452" s="45"/>
      <c r="B452" s="45"/>
      <c r="C452" s="45"/>
      <c r="D452" s="45"/>
      <c r="E452" s="45"/>
      <c r="F452" s="45"/>
      <c r="G452" s="45"/>
      <c r="H452" s="45"/>
      <c r="I452" s="45"/>
      <c r="J452" s="45"/>
      <c r="K452" s="45"/>
      <c r="L452" s="45"/>
      <c r="M452" s="45"/>
    </row>
    <row r="453" ht="15.75" customHeight="1">
      <c r="A453" s="45"/>
      <c r="B453" s="45"/>
      <c r="C453" s="45"/>
      <c r="D453" s="45"/>
      <c r="E453" s="45"/>
      <c r="F453" s="45"/>
      <c r="G453" s="45"/>
      <c r="H453" s="45"/>
      <c r="I453" s="45"/>
      <c r="J453" s="45"/>
      <c r="K453" s="45"/>
      <c r="L453" s="45"/>
      <c r="M453" s="45"/>
    </row>
    <row r="454" ht="15.75" customHeight="1">
      <c r="A454" s="45"/>
      <c r="B454" s="45"/>
      <c r="C454" s="45"/>
      <c r="D454" s="45"/>
      <c r="E454" s="45"/>
      <c r="F454" s="45"/>
      <c r="G454" s="45"/>
      <c r="H454" s="45"/>
      <c r="I454" s="45"/>
      <c r="J454" s="45"/>
      <c r="K454" s="45"/>
      <c r="L454" s="45"/>
      <c r="M454" s="45"/>
    </row>
    <row r="455" ht="15.75" customHeight="1">
      <c r="A455" s="45"/>
      <c r="B455" s="45"/>
      <c r="C455" s="45"/>
      <c r="D455" s="45"/>
      <c r="E455" s="45"/>
      <c r="F455" s="45"/>
      <c r="G455" s="45"/>
      <c r="H455" s="45"/>
      <c r="I455" s="45"/>
      <c r="J455" s="45"/>
      <c r="K455" s="45"/>
      <c r="L455" s="45"/>
      <c r="M455" s="45"/>
    </row>
    <row r="456" ht="15.75" customHeight="1">
      <c r="A456" s="45"/>
      <c r="B456" s="45"/>
      <c r="C456" s="45"/>
      <c r="D456" s="45"/>
      <c r="E456" s="45"/>
      <c r="F456" s="45"/>
      <c r="G456" s="45"/>
      <c r="H456" s="45"/>
      <c r="I456" s="45"/>
      <c r="J456" s="45"/>
      <c r="K456" s="45"/>
      <c r="L456" s="45"/>
      <c r="M456" s="45"/>
    </row>
    <row r="457" ht="15.75" customHeight="1">
      <c r="A457" s="45"/>
      <c r="B457" s="45"/>
      <c r="C457" s="45"/>
      <c r="D457" s="45"/>
      <c r="E457" s="45"/>
      <c r="F457" s="45"/>
      <c r="G457" s="45"/>
      <c r="H457" s="45"/>
      <c r="I457" s="45"/>
      <c r="J457" s="45"/>
      <c r="K457" s="45"/>
      <c r="L457" s="45"/>
      <c r="M457" s="45"/>
    </row>
    <row r="458" ht="15.75" customHeight="1">
      <c r="A458" s="45"/>
      <c r="B458" s="45"/>
      <c r="C458" s="45"/>
      <c r="D458" s="45"/>
      <c r="E458" s="45"/>
      <c r="F458" s="45"/>
      <c r="G458" s="45"/>
      <c r="H458" s="45"/>
      <c r="I458" s="45"/>
      <c r="J458" s="45"/>
      <c r="K458" s="45"/>
      <c r="L458" s="45"/>
      <c r="M458" s="45"/>
    </row>
    <row r="459" ht="15.75" customHeight="1">
      <c r="A459" s="45"/>
      <c r="B459" s="45"/>
      <c r="C459" s="45"/>
      <c r="D459" s="45"/>
      <c r="E459" s="45"/>
      <c r="F459" s="45"/>
      <c r="G459" s="45"/>
      <c r="H459" s="45"/>
      <c r="I459" s="45"/>
      <c r="J459" s="45"/>
      <c r="K459" s="45"/>
      <c r="L459" s="45"/>
      <c r="M459" s="45"/>
    </row>
    <row r="460" ht="15.75" customHeight="1">
      <c r="A460" s="45"/>
      <c r="B460" s="45"/>
      <c r="C460" s="45"/>
      <c r="D460" s="45"/>
      <c r="E460" s="45"/>
      <c r="F460" s="45"/>
      <c r="G460" s="45"/>
      <c r="H460" s="45"/>
      <c r="I460" s="45"/>
      <c r="J460" s="45"/>
      <c r="K460" s="45"/>
      <c r="L460" s="45"/>
      <c r="M460" s="45"/>
    </row>
    <row r="461" ht="15.75" customHeight="1">
      <c r="A461" s="45"/>
      <c r="B461" s="45"/>
      <c r="C461" s="45"/>
      <c r="D461" s="45"/>
      <c r="E461" s="45"/>
      <c r="F461" s="45"/>
      <c r="G461" s="45"/>
      <c r="H461" s="45"/>
      <c r="I461" s="45"/>
      <c r="J461" s="45"/>
      <c r="K461" s="45"/>
      <c r="L461" s="45"/>
      <c r="M461" s="45"/>
    </row>
    <row r="462" ht="15.75" customHeight="1">
      <c r="A462" s="45"/>
      <c r="B462" s="45"/>
      <c r="C462" s="45"/>
      <c r="D462" s="45"/>
      <c r="E462" s="45"/>
      <c r="F462" s="45"/>
      <c r="G462" s="45"/>
      <c r="H462" s="45"/>
      <c r="I462" s="45"/>
      <c r="J462" s="45"/>
      <c r="K462" s="45"/>
      <c r="L462" s="45"/>
      <c r="M462" s="45"/>
    </row>
    <row r="463" ht="15.75" customHeight="1">
      <c r="A463" s="45"/>
      <c r="B463" s="45"/>
      <c r="C463" s="45"/>
      <c r="D463" s="45"/>
      <c r="E463" s="45"/>
      <c r="F463" s="45"/>
      <c r="G463" s="45"/>
      <c r="H463" s="45"/>
      <c r="I463" s="45"/>
      <c r="J463" s="45"/>
      <c r="K463" s="45"/>
      <c r="L463" s="45"/>
      <c r="M463" s="45"/>
    </row>
    <row r="464" ht="15.75" customHeight="1">
      <c r="A464" s="45"/>
      <c r="B464" s="45"/>
      <c r="C464" s="45"/>
      <c r="D464" s="45"/>
      <c r="E464" s="45"/>
      <c r="F464" s="45"/>
      <c r="G464" s="45"/>
      <c r="H464" s="45"/>
      <c r="I464" s="45"/>
      <c r="J464" s="45"/>
      <c r="K464" s="45"/>
      <c r="L464" s="45"/>
      <c r="M464" s="45"/>
    </row>
    <row r="465" ht="15.75" customHeight="1">
      <c r="A465" s="45"/>
      <c r="B465" s="45"/>
      <c r="C465" s="45"/>
      <c r="D465" s="45"/>
      <c r="E465" s="45"/>
      <c r="F465" s="45"/>
      <c r="G465" s="45"/>
      <c r="H465" s="45"/>
      <c r="I465" s="45"/>
      <c r="J465" s="45"/>
      <c r="K465" s="45"/>
      <c r="L465" s="45"/>
      <c r="M465" s="45"/>
    </row>
    <row r="466" ht="15.75" customHeight="1">
      <c r="A466" s="45"/>
      <c r="B466" s="45"/>
      <c r="C466" s="45"/>
      <c r="D466" s="45"/>
      <c r="E466" s="45"/>
      <c r="F466" s="45"/>
      <c r="G466" s="45"/>
      <c r="H466" s="45"/>
      <c r="I466" s="45"/>
      <c r="J466" s="45"/>
      <c r="K466" s="45"/>
      <c r="L466" s="45"/>
      <c r="M466" s="45"/>
    </row>
    <row r="467" ht="15.75" customHeight="1">
      <c r="A467" s="45"/>
      <c r="B467" s="45"/>
      <c r="C467" s="45"/>
      <c r="D467" s="45"/>
      <c r="E467" s="45"/>
      <c r="F467" s="45"/>
      <c r="G467" s="45"/>
      <c r="H467" s="45"/>
      <c r="I467" s="45"/>
      <c r="J467" s="45"/>
      <c r="K467" s="45"/>
      <c r="L467" s="45"/>
      <c r="M467" s="45"/>
    </row>
    <row r="468" ht="15.75" customHeight="1">
      <c r="A468" s="45"/>
      <c r="B468" s="45"/>
      <c r="C468" s="45"/>
      <c r="D468" s="45"/>
      <c r="E468" s="45"/>
      <c r="F468" s="45"/>
      <c r="G468" s="45"/>
      <c r="H468" s="45"/>
      <c r="I468" s="45"/>
      <c r="J468" s="45"/>
      <c r="K468" s="45"/>
      <c r="L468" s="45"/>
      <c r="M468" s="45"/>
    </row>
    <row r="469" ht="15.75" customHeight="1">
      <c r="A469" s="45"/>
      <c r="B469" s="45"/>
      <c r="C469" s="45"/>
      <c r="D469" s="45"/>
      <c r="E469" s="45"/>
      <c r="F469" s="45"/>
      <c r="G469" s="45"/>
      <c r="H469" s="45"/>
      <c r="I469" s="45"/>
      <c r="J469" s="45"/>
      <c r="K469" s="45"/>
      <c r="L469" s="45"/>
      <c r="M469" s="45"/>
    </row>
    <row r="470" ht="15.75" customHeight="1">
      <c r="A470" s="45"/>
      <c r="B470" s="45"/>
      <c r="C470" s="45"/>
      <c r="D470" s="45"/>
      <c r="E470" s="45"/>
      <c r="F470" s="45"/>
      <c r="G470" s="45"/>
      <c r="H470" s="45"/>
      <c r="I470" s="45"/>
      <c r="J470" s="45"/>
      <c r="K470" s="45"/>
      <c r="L470" s="45"/>
      <c r="M470" s="45"/>
    </row>
    <row r="471" ht="15.75" customHeight="1">
      <c r="A471" s="45"/>
      <c r="B471" s="45"/>
      <c r="C471" s="45"/>
      <c r="D471" s="45"/>
      <c r="E471" s="45"/>
      <c r="F471" s="45"/>
      <c r="G471" s="45"/>
      <c r="H471" s="45"/>
      <c r="I471" s="45"/>
      <c r="J471" s="45"/>
      <c r="K471" s="45"/>
      <c r="L471" s="45"/>
      <c r="M471" s="45"/>
    </row>
    <row r="472" ht="15.75" customHeight="1">
      <c r="A472" s="45"/>
      <c r="B472" s="45"/>
      <c r="C472" s="45"/>
      <c r="D472" s="45"/>
      <c r="E472" s="45"/>
      <c r="F472" s="45"/>
      <c r="G472" s="45"/>
      <c r="H472" s="45"/>
      <c r="I472" s="45"/>
      <c r="J472" s="45"/>
      <c r="K472" s="45"/>
      <c r="L472" s="45"/>
      <c r="M472" s="45"/>
    </row>
    <row r="473" ht="15.75" customHeight="1">
      <c r="A473" s="45"/>
      <c r="B473" s="45"/>
      <c r="C473" s="45"/>
      <c r="D473" s="45"/>
      <c r="E473" s="45"/>
      <c r="F473" s="45"/>
      <c r="G473" s="45"/>
      <c r="H473" s="45"/>
      <c r="I473" s="45"/>
      <c r="J473" s="45"/>
      <c r="K473" s="45"/>
      <c r="L473" s="45"/>
      <c r="M473" s="45"/>
    </row>
    <row r="474" ht="15.75" customHeight="1">
      <c r="A474" s="45"/>
      <c r="B474" s="45"/>
      <c r="C474" s="45"/>
      <c r="D474" s="45"/>
      <c r="E474" s="45"/>
      <c r="F474" s="45"/>
      <c r="G474" s="45"/>
      <c r="H474" s="45"/>
      <c r="I474" s="45"/>
      <c r="J474" s="45"/>
      <c r="K474" s="45"/>
      <c r="L474" s="45"/>
      <c r="M474" s="45"/>
    </row>
    <row r="475" ht="15.75" customHeight="1">
      <c r="A475" s="45"/>
      <c r="B475" s="45"/>
      <c r="C475" s="45"/>
      <c r="D475" s="45"/>
      <c r="E475" s="45"/>
      <c r="F475" s="45"/>
      <c r="G475" s="45"/>
      <c r="H475" s="45"/>
      <c r="I475" s="45"/>
      <c r="J475" s="45"/>
      <c r="K475" s="45"/>
      <c r="L475" s="45"/>
      <c r="M475" s="45"/>
    </row>
    <row r="476" ht="15.75" customHeight="1">
      <c r="A476" s="45"/>
      <c r="B476" s="45"/>
      <c r="C476" s="45"/>
      <c r="D476" s="45"/>
      <c r="E476" s="45"/>
      <c r="F476" s="45"/>
      <c r="G476" s="45"/>
      <c r="H476" s="45"/>
      <c r="I476" s="45"/>
      <c r="J476" s="45"/>
      <c r="K476" s="45"/>
      <c r="L476" s="45"/>
      <c r="M476" s="45"/>
    </row>
    <row r="477" ht="15.75" customHeight="1">
      <c r="A477" s="45"/>
      <c r="B477" s="45"/>
      <c r="C477" s="45"/>
      <c r="D477" s="45"/>
      <c r="E477" s="45"/>
      <c r="F477" s="45"/>
      <c r="G477" s="45"/>
      <c r="H477" s="45"/>
      <c r="I477" s="45"/>
      <c r="J477" s="45"/>
      <c r="K477" s="45"/>
      <c r="L477" s="45"/>
      <c r="M477" s="45"/>
    </row>
    <row r="478" ht="15.75" customHeight="1">
      <c r="A478" s="45"/>
      <c r="B478" s="45"/>
      <c r="C478" s="45"/>
      <c r="D478" s="45"/>
      <c r="E478" s="45"/>
      <c r="F478" s="45"/>
      <c r="G478" s="45"/>
      <c r="H478" s="45"/>
      <c r="I478" s="45"/>
      <c r="J478" s="45"/>
      <c r="K478" s="45"/>
      <c r="L478" s="45"/>
      <c r="M478" s="45"/>
    </row>
    <row r="479" ht="15.75" customHeight="1">
      <c r="A479" s="45"/>
      <c r="B479" s="45"/>
      <c r="C479" s="45"/>
      <c r="D479" s="45"/>
      <c r="E479" s="45"/>
      <c r="F479" s="45"/>
      <c r="G479" s="45"/>
      <c r="H479" s="45"/>
      <c r="I479" s="45"/>
      <c r="J479" s="45"/>
      <c r="K479" s="45"/>
      <c r="L479" s="45"/>
      <c r="M479" s="45"/>
    </row>
    <row r="480" ht="15.75" customHeight="1">
      <c r="A480" s="45"/>
      <c r="B480" s="45"/>
      <c r="C480" s="45"/>
      <c r="D480" s="45"/>
      <c r="E480" s="45"/>
      <c r="F480" s="45"/>
      <c r="G480" s="45"/>
      <c r="H480" s="45"/>
      <c r="I480" s="45"/>
      <c r="J480" s="45"/>
      <c r="K480" s="45"/>
      <c r="L480" s="45"/>
      <c r="M480" s="45"/>
    </row>
    <row r="481" ht="15.75" customHeight="1">
      <c r="A481" s="45"/>
      <c r="B481" s="45"/>
      <c r="C481" s="45"/>
      <c r="D481" s="45"/>
      <c r="E481" s="45"/>
      <c r="F481" s="45"/>
      <c r="G481" s="45"/>
      <c r="H481" s="45"/>
      <c r="I481" s="45"/>
      <c r="J481" s="45"/>
      <c r="K481" s="45"/>
      <c r="L481" s="45"/>
      <c r="M481" s="45"/>
    </row>
    <row r="482" ht="15.75" customHeight="1">
      <c r="A482" s="45"/>
      <c r="B482" s="45"/>
      <c r="C482" s="45"/>
      <c r="D482" s="45"/>
      <c r="E482" s="45"/>
      <c r="F482" s="45"/>
      <c r="G482" s="45"/>
      <c r="H482" s="45"/>
      <c r="I482" s="45"/>
      <c r="J482" s="45"/>
      <c r="K482" s="45"/>
      <c r="L482" s="45"/>
      <c r="M482" s="45"/>
    </row>
    <row r="483" ht="15.75" customHeight="1">
      <c r="A483" s="45"/>
      <c r="B483" s="45"/>
      <c r="C483" s="45"/>
      <c r="D483" s="45"/>
      <c r="E483" s="45"/>
      <c r="F483" s="45"/>
      <c r="G483" s="45"/>
      <c r="H483" s="45"/>
      <c r="I483" s="45"/>
      <c r="J483" s="45"/>
      <c r="K483" s="45"/>
      <c r="L483" s="45"/>
      <c r="M483" s="45"/>
    </row>
    <row r="484" ht="15.75" customHeight="1">
      <c r="A484" s="45"/>
      <c r="B484" s="45"/>
      <c r="C484" s="45"/>
      <c r="D484" s="45"/>
      <c r="E484" s="45"/>
      <c r="F484" s="45"/>
      <c r="G484" s="45"/>
      <c r="H484" s="45"/>
      <c r="I484" s="45"/>
      <c r="J484" s="45"/>
      <c r="K484" s="45"/>
      <c r="L484" s="45"/>
      <c r="M484" s="45"/>
    </row>
    <row r="485" ht="15.75" customHeight="1">
      <c r="A485" s="45"/>
      <c r="B485" s="45"/>
      <c r="C485" s="45"/>
      <c r="D485" s="45"/>
      <c r="E485" s="45"/>
      <c r="F485" s="45"/>
      <c r="G485" s="45"/>
      <c r="H485" s="45"/>
      <c r="I485" s="45"/>
      <c r="J485" s="45"/>
      <c r="K485" s="45"/>
      <c r="L485" s="45"/>
      <c r="M485" s="45"/>
    </row>
    <row r="486" ht="15.75" customHeight="1">
      <c r="A486" s="45"/>
      <c r="B486" s="45"/>
      <c r="C486" s="45"/>
      <c r="D486" s="45"/>
      <c r="E486" s="45"/>
      <c r="F486" s="45"/>
      <c r="G486" s="45"/>
      <c r="H486" s="45"/>
      <c r="I486" s="45"/>
      <c r="J486" s="45"/>
      <c r="K486" s="45"/>
      <c r="L486" s="45"/>
      <c r="M486" s="45"/>
    </row>
    <row r="487" ht="15.75" customHeight="1">
      <c r="A487" s="45"/>
      <c r="B487" s="45"/>
      <c r="C487" s="45"/>
      <c r="D487" s="45"/>
      <c r="E487" s="45"/>
      <c r="F487" s="45"/>
      <c r="G487" s="45"/>
      <c r="H487" s="45"/>
      <c r="I487" s="45"/>
      <c r="J487" s="45"/>
      <c r="K487" s="45"/>
      <c r="L487" s="45"/>
      <c r="M487" s="45"/>
    </row>
    <row r="488" ht="15.75" customHeight="1">
      <c r="A488" s="45"/>
      <c r="B488" s="45"/>
      <c r="C488" s="45"/>
      <c r="D488" s="45"/>
      <c r="E488" s="45"/>
      <c r="F488" s="45"/>
      <c r="G488" s="45"/>
      <c r="H488" s="45"/>
      <c r="I488" s="45"/>
      <c r="J488" s="45"/>
      <c r="K488" s="45"/>
      <c r="L488" s="45"/>
      <c r="M488" s="45"/>
    </row>
    <row r="489" ht="15.75" customHeight="1">
      <c r="A489" s="45"/>
      <c r="B489" s="45"/>
      <c r="C489" s="45"/>
      <c r="D489" s="45"/>
      <c r="E489" s="45"/>
      <c r="F489" s="45"/>
      <c r="G489" s="45"/>
      <c r="H489" s="45"/>
      <c r="I489" s="45"/>
      <c r="J489" s="45"/>
      <c r="K489" s="45"/>
      <c r="L489" s="45"/>
      <c r="M489" s="45"/>
    </row>
    <row r="490" ht="15.75" customHeight="1">
      <c r="A490" s="45"/>
      <c r="B490" s="45"/>
      <c r="C490" s="45"/>
      <c r="D490" s="45"/>
      <c r="E490" s="45"/>
      <c r="F490" s="45"/>
      <c r="G490" s="45"/>
      <c r="H490" s="45"/>
      <c r="I490" s="45"/>
      <c r="J490" s="45"/>
      <c r="K490" s="45"/>
      <c r="L490" s="45"/>
      <c r="M490" s="45"/>
    </row>
    <row r="491" ht="15.75" customHeight="1">
      <c r="A491" s="45"/>
      <c r="B491" s="45"/>
      <c r="C491" s="45"/>
      <c r="D491" s="45"/>
      <c r="E491" s="45"/>
      <c r="F491" s="45"/>
      <c r="G491" s="45"/>
      <c r="H491" s="45"/>
      <c r="I491" s="45"/>
      <c r="J491" s="45"/>
      <c r="K491" s="45"/>
      <c r="L491" s="45"/>
      <c r="M491" s="45"/>
    </row>
    <row r="492" ht="15.75" customHeight="1">
      <c r="A492" s="45"/>
      <c r="B492" s="45"/>
      <c r="C492" s="45"/>
      <c r="D492" s="45"/>
      <c r="E492" s="45"/>
      <c r="F492" s="45"/>
      <c r="G492" s="45"/>
      <c r="H492" s="45"/>
      <c r="I492" s="45"/>
      <c r="J492" s="45"/>
      <c r="K492" s="45"/>
      <c r="L492" s="45"/>
      <c r="M492" s="45"/>
    </row>
    <row r="493" ht="15.75" customHeight="1">
      <c r="A493" s="45"/>
      <c r="B493" s="45"/>
      <c r="C493" s="45"/>
      <c r="D493" s="45"/>
      <c r="E493" s="45"/>
      <c r="F493" s="45"/>
      <c r="G493" s="45"/>
      <c r="H493" s="45"/>
      <c r="I493" s="45"/>
      <c r="J493" s="45"/>
      <c r="K493" s="45"/>
      <c r="L493" s="45"/>
      <c r="M493" s="45"/>
    </row>
    <row r="494" ht="15.75" customHeight="1">
      <c r="A494" s="45"/>
      <c r="B494" s="45"/>
      <c r="C494" s="45"/>
      <c r="D494" s="45"/>
      <c r="E494" s="45"/>
      <c r="F494" s="45"/>
      <c r="G494" s="45"/>
      <c r="H494" s="45"/>
      <c r="I494" s="45"/>
      <c r="J494" s="45"/>
      <c r="K494" s="45"/>
      <c r="L494" s="45"/>
      <c r="M494" s="45"/>
    </row>
    <row r="495" ht="15.75" customHeight="1">
      <c r="A495" s="45"/>
      <c r="B495" s="45"/>
      <c r="C495" s="45"/>
      <c r="D495" s="45"/>
      <c r="E495" s="45"/>
      <c r="F495" s="45"/>
      <c r="G495" s="45"/>
      <c r="H495" s="45"/>
      <c r="I495" s="45"/>
      <c r="J495" s="45"/>
      <c r="K495" s="45"/>
      <c r="L495" s="45"/>
      <c r="M495" s="45"/>
    </row>
    <row r="496" ht="15.75" customHeight="1">
      <c r="A496" s="45"/>
      <c r="B496" s="45"/>
      <c r="C496" s="45"/>
      <c r="D496" s="45"/>
      <c r="E496" s="45"/>
      <c r="F496" s="45"/>
      <c r="G496" s="45"/>
      <c r="H496" s="45"/>
      <c r="I496" s="45"/>
      <c r="J496" s="45"/>
      <c r="K496" s="45"/>
      <c r="L496" s="45"/>
      <c r="M496" s="45"/>
    </row>
    <row r="497" ht="15.75" customHeight="1">
      <c r="A497" s="45"/>
      <c r="B497" s="45"/>
      <c r="C497" s="45"/>
      <c r="D497" s="45"/>
      <c r="E497" s="45"/>
      <c r="F497" s="45"/>
      <c r="G497" s="45"/>
      <c r="H497" s="45"/>
      <c r="I497" s="45"/>
      <c r="J497" s="45"/>
      <c r="K497" s="45"/>
      <c r="L497" s="45"/>
      <c r="M497" s="45"/>
    </row>
    <row r="498" ht="15.75" customHeight="1">
      <c r="A498" s="45"/>
      <c r="B498" s="45"/>
      <c r="C498" s="45"/>
      <c r="D498" s="45"/>
      <c r="E498" s="45"/>
      <c r="F498" s="45"/>
      <c r="G498" s="45"/>
      <c r="H498" s="45"/>
      <c r="I498" s="45"/>
      <c r="J498" s="45"/>
      <c r="K498" s="45"/>
      <c r="L498" s="45"/>
      <c r="M498" s="45"/>
    </row>
    <row r="499" ht="15.75" customHeight="1">
      <c r="A499" s="45"/>
      <c r="B499" s="45"/>
      <c r="C499" s="45"/>
      <c r="D499" s="45"/>
      <c r="E499" s="45"/>
      <c r="F499" s="45"/>
      <c r="G499" s="45"/>
      <c r="H499" s="45"/>
      <c r="I499" s="45"/>
      <c r="J499" s="45"/>
      <c r="K499" s="45"/>
      <c r="L499" s="45"/>
      <c r="M499" s="45"/>
    </row>
    <row r="500" ht="15.75" customHeight="1">
      <c r="A500" s="45"/>
      <c r="B500" s="45"/>
      <c r="C500" s="45"/>
      <c r="D500" s="45"/>
      <c r="E500" s="45"/>
      <c r="F500" s="45"/>
      <c r="G500" s="45"/>
      <c r="H500" s="45"/>
      <c r="I500" s="45"/>
      <c r="J500" s="45"/>
      <c r="K500" s="45"/>
      <c r="L500" s="45"/>
      <c r="M500" s="45"/>
    </row>
    <row r="501" ht="15.75" customHeight="1">
      <c r="A501" s="45"/>
      <c r="B501" s="45"/>
      <c r="C501" s="45"/>
      <c r="D501" s="45"/>
      <c r="E501" s="45"/>
      <c r="F501" s="45"/>
      <c r="G501" s="45"/>
      <c r="H501" s="45"/>
      <c r="I501" s="45"/>
      <c r="J501" s="45"/>
      <c r="K501" s="45"/>
      <c r="L501" s="45"/>
      <c r="M501" s="45"/>
    </row>
    <row r="502" ht="15.75" customHeight="1">
      <c r="A502" s="45"/>
      <c r="B502" s="45"/>
      <c r="C502" s="45"/>
      <c r="D502" s="45"/>
      <c r="E502" s="45"/>
      <c r="F502" s="45"/>
      <c r="G502" s="45"/>
      <c r="H502" s="45"/>
      <c r="I502" s="45"/>
      <c r="J502" s="45"/>
      <c r="K502" s="45"/>
      <c r="L502" s="45"/>
      <c r="M502" s="45"/>
    </row>
    <row r="503" ht="15.75" customHeight="1">
      <c r="A503" s="45"/>
      <c r="B503" s="45"/>
      <c r="C503" s="45"/>
      <c r="D503" s="45"/>
      <c r="E503" s="45"/>
      <c r="F503" s="45"/>
      <c r="G503" s="45"/>
      <c r="H503" s="45"/>
      <c r="I503" s="45"/>
      <c r="J503" s="45"/>
      <c r="K503" s="45"/>
      <c r="L503" s="45"/>
      <c r="M503" s="45"/>
    </row>
    <row r="504" ht="15.75" customHeight="1">
      <c r="A504" s="45"/>
      <c r="B504" s="45"/>
      <c r="C504" s="45"/>
      <c r="D504" s="45"/>
      <c r="E504" s="45"/>
      <c r="F504" s="45"/>
      <c r="G504" s="45"/>
      <c r="H504" s="45"/>
      <c r="I504" s="45"/>
      <c r="J504" s="45"/>
      <c r="K504" s="45"/>
      <c r="L504" s="45"/>
      <c r="M504" s="45"/>
    </row>
    <row r="505" ht="15.75" customHeight="1">
      <c r="A505" s="45"/>
      <c r="B505" s="45"/>
      <c r="C505" s="45"/>
      <c r="D505" s="45"/>
      <c r="E505" s="45"/>
      <c r="F505" s="45"/>
      <c r="G505" s="45"/>
      <c r="H505" s="45"/>
      <c r="I505" s="45"/>
      <c r="J505" s="45"/>
      <c r="K505" s="45"/>
      <c r="L505" s="45"/>
      <c r="M505" s="45"/>
    </row>
    <row r="506" ht="15.75" customHeight="1">
      <c r="A506" s="45"/>
      <c r="B506" s="45"/>
      <c r="C506" s="45"/>
      <c r="D506" s="45"/>
      <c r="E506" s="45"/>
      <c r="F506" s="45"/>
      <c r="G506" s="45"/>
      <c r="H506" s="45"/>
      <c r="I506" s="45"/>
      <c r="J506" s="45"/>
      <c r="K506" s="45"/>
      <c r="L506" s="45"/>
      <c r="M506" s="45"/>
    </row>
    <row r="507" ht="15.75" customHeight="1">
      <c r="A507" s="45"/>
      <c r="B507" s="45"/>
      <c r="C507" s="45"/>
      <c r="D507" s="45"/>
      <c r="E507" s="45"/>
      <c r="F507" s="45"/>
      <c r="G507" s="45"/>
      <c r="H507" s="45"/>
      <c r="I507" s="45"/>
      <c r="J507" s="45"/>
      <c r="K507" s="45"/>
      <c r="L507" s="45"/>
      <c r="M507" s="45"/>
    </row>
    <row r="508" ht="15.75" customHeight="1">
      <c r="A508" s="45"/>
      <c r="B508" s="45"/>
      <c r="C508" s="45"/>
      <c r="D508" s="45"/>
      <c r="E508" s="45"/>
      <c r="F508" s="45"/>
      <c r="G508" s="45"/>
      <c r="H508" s="45"/>
      <c r="I508" s="45"/>
      <c r="J508" s="45"/>
      <c r="K508" s="45"/>
      <c r="L508" s="45"/>
      <c r="M508" s="45"/>
    </row>
    <row r="509" ht="15.75" customHeight="1">
      <c r="A509" s="45"/>
      <c r="B509" s="45"/>
      <c r="C509" s="45"/>
      <c r="D509" s="45"/>
      <c r="E509" s="45"/>
      <c r="F509" s="45"/>
      <c r="G509" s="45"/>
      <c r="H509" s="45"/>
      <c r="I509" s="45"/>
      <c r="J509" s="45"/>
      <c r="K509" s="45"/>
      <c r="L509" s="45"/>
      <c r="M509" s="45"/>
    </row>
    <row r="510" ht="15.75" customHeight="1">
      <c r="A510" s="45"/>
      <c r="B510" s="45"/>
      <c r="C510" s="45"/>
      <c r="D510" s="45"/>
      <c r="E510" s="45"/>
      <c r="F510" s="45"/>
      <c r="G510" s="45"/>
      <c r="H510" s="45"/>
      <c r="I510" s="45"/>
      <c r="J510" s="45"/>
      <c r="K510" s="45"/>
      <c r="L510" s="45"/>
      <c r="M510" s="45"/>
    </row>
    <row r="511" ht="15.75" customHeight="1">
      <c r="A511" s="45"/>
      <c r="B511" s="45"/>
      <c r="C511" s="45"/>
      <c r="D511" s="45"/>
      <c r="E511" s="45"/>
      <c r="F511" s="45"/>
      <c r="G511" s="45"/>
      <c r="H511" s="45"/>
      <c r="I511" s="45"/>
      <c r="J511" s="45"/>
      <c r="K511" s="45"/>
      <c r="L511" s="45"/>
      <c r="M511" s="45"/>
    </row>
    <row r="512" ht="15.75" customHeight="1">
      <c r="A512" s="45"/>
      <c r="B512" s="45"/>
      <c r="C512" s="45"/>
      <c r="D512" s="45"/>
      <c r="E512" s="45"/>
      <c r="F512" s="45"/>
      <c r="G512" s="45"/>
      <c r="H512" s="45"/>
      <c r="I512" s="45"/>
      <c r="J512" s="45"/>
      <c r="K512" s="45"/>
      <c r="L512" s="45"/>
      <c r="M512" s="45"/>
    </row>
    <row r="513" ht="15.75" customHeight="1">
      <c r="A513" s="45"/>
      <c r="B513" s="45"/>
      <c r="C513" s="45"/>
      <c r="D513" s="45"/>
      <c r="E513" s="45"/>
      <c r="F513" s="45"/>
      <c r="G513" s="45"/>
      <c r="H513" s="45"/>
      <c r="I513" s="45"/>
      <c r="J513" s="45"/>
      <c r="K513" s="45"/>
      <c r="L513" s="45"/>
      <c r="M513" s="45"/>
    </row>
    <row r="514" ht="15.75" customHeight="1">
      <c r="A514" s="45"/>
      <c r="B514" s="45"/>
      <c r="C514" s="45"/>
      <c r="D514" s="45"/>
      <c r="E514" s="45"/>
      <c r="F514" s="45"/>
      <c r="G514" s="45"/>
      <c r="H514" s="45"/>
      <c r="I514" s="45"/>
      <c r="J514" s="45"/>
      <c r="K514" s="45"/>
      <c r="L514" s="45"/>
      <c r="M514" s="45"/>
    </row>
    <row r="515" ht="15.75" customHeight="1">
      <c r="A515" s="45"/>
      <c r="B515" s="45"/>
      <c r="C515" s="45"/>
      <c r="D515" s="45"/>
      <c r="E515" s="45"/>
      <c r="F515" s="45"/>
      <c r="G515" s="45"/>
      <c r="H515" s="45"/>
      <c r="I515" s="45"/>
      <c r="J515" s="45"/>
      <c r="K515" s="45"/>
      <c r="L515" s="45"/>
      <c r="M515" s="45"/>
    </row>
    <row r="516" ht="15.75" customHeight="1">
      <c r="A516" s="45"/>
      <c r="B516" s="45"/>
      <c r="C516" s="45"/>
      <c r="D516" s="45"/>
      <c r="E516" s="45"/>
      <c r="F516" s="45"/>
      <c r="G516" s="45"/>
      <c r="H516" s="45"/>
      <c r="I516" s="45"/>
      <c r="J516" s="45"/>
      <c r="K516" s="45"/>
      <c r="L516" s="45"/>
      <c r="M516" s="45"/>
    </row>
    <row r="517" ht="15.75" customHeight="1">
      <c r="A517" s="45"/>
      <c r="B517" s="45"/>
      <c r="C517" s="45"/>
      <c r="D517" s="45"/>
      <c r="E517" s="45"/>
      <c r="F517" s="45"/>
      <c r="G517" s="45"/>
      <c r="H517" s="45"/>
      <c r="I517" s="45"/>
      <c r="J517" s="45"/>
      <c r="K517" s="45"/>
      <c r="L517" s="45"/>
      <c r="M517" s="45"/>
    </row>
    <row r="518" ht="15.75" customHeight="1">
      <c r="A518" s="45"/>
      <c r="B518" s="45"/>
      <c r="C518" s="45"/>
      <c r="D518" s="45"/>
      <c r="E518" s="45"/>
      <c r="F518" s="45"/>
      <c r="G518" s="45"/>
      <c r="H518" s="45"/>
      <c r="I518" s="45"/>
      <c r="J518" s="45"/>
      <c r="K518" s="45"/>
      <c r="L518" s="45"/>
      <c r="M518" s="45"/>
    </row>
    <row r="519" ht="15.75" customHeight="1">
      <c r="A519" s="45"/>
      <c r="B519" s="45"/>
      <c r="C519" s="45"/>
      <c r="D519" s="45"/>
      <c r="E519" s="45"/>
      <c r="F519" s="45"/>
      <c r="G519" s="45"/>
      <c r="H519" s="45"/>
      <c r="I519" s="45"/>
      <c r="J519" s="45"/>
      <c r="K519" s="45"/>
      <c r="L519" s="45"/>
      <c r="M519" s="45"/>
    </row>
    <row r="520" ht="15.75" customHeight="1">
      <c r="A520" s="45"/>
      <c r="B520" s="45"/>
      <c r="C520" s="45"/>
      <c r="D520" s="45"/>
      <c r="E520" s="45"/>
      <c r="F520" s="45"/>
      <c r="G520" s="45"/>
      <c r="H520" s="45"/>
      <c r="I520" s="45"/>
      <c r="J520" s="45"/>
      <c r="K520" s="45"/>
      <c r="L520" s="45"/>
      <c r="M520" s="45"/>
    </row>
    <row r="521" ht="15.75" customHeight="1">
      <c r="A521" s="45"/>
      <c r="B521" s="45"/>
      <c r="C521" s="45"/>
      <c r="D521" s="45"/>
      <c r="E521" s="45"/>
      <c r="F521" s="45"/>
      <c r="G521" s="45"/>
      <c r="H521" s="45"/>
      <c r="I521" s="45"/>
      <c r="J521" s="45"/>
      <c r="K521" s="45"/>
      <c r="L521" s="45"/>
      <c r="M521" s="45"/>
    </row>
    <row r="522" ht="15.75" customHeight="1">
      <c r="A522" s="45"/>
      <c r="B522" s="45"/>
      <c r="C522" s="45"/>
      <c r="D522" s="45"/>
      <c r="E522" s="45"/>
      <c r="F522" s="45"/>
      <c r="G522" s="45"/>
      <c r="H522" s="45"/>
      <c r="I522" s="45"/>
      <c r="J522" s="45"/>
      <c r="K522" s="45"/>
      <c r="L522" s="45"/>
      <c r="M522" s="45"/>
    </row>
    <row r="523" ht="15.75" customHeight="1">
      <c r="A523" s="45"/>
      <c r="B523" s="45"/>
      <c r="C523" s="45"/>
      <c r="D523" s="45"/>
      <c r="E523" s="45"/>
      <c r="F523" s="45"/>
      <c r="G523" s="45"/>
      <c r="H523" s="45"/>
      <c r="I523" s="45"/>
      <c r="J523" s="45"/>
      <c r="K523" s="45"/>
      <c r="L523" s="45"/>
      <c r="M523" s="45"/>
    </row>
    <row r="524" ht="15.75" customHeight="1">
      <c r="A524" s="45"/>
      <c r="B524" s="45"/>
      <c r="C524" s="45"/>
      <c r="D524" s="45"/>
      <c r="E524" s="45"/>
      <c r="F524" s="45"/>
      <c r="G524" s="45"/>
      <c r="H524" s="45"/>
      <c r="I524" s="45"/>
      <c r="J524" s="45"/>
      <c r="K524" s="45"/>
      <c r="L524" s="45"/>
      <c r="M524" s="45"/>
    </row>
    <row r="525" ht="15.75" customHeight="1">
      <c r="A525" s="45"/>
      <c r="B525" s="45"/>
      <c r="C525" s="45"/>
      <c r="D525" s="45"/>
      <c r="E525" s="45"/>
      <c r="F525" s="45"/>
      <c r="G525" s="45"/>
      <c r="H525" s="45"/>
      <c r="I525" s="45"/>
      <c r="J525" s="45"/>
      <c r="K525" s="45"/>
      <c r="L525" s="45"/>
      <c r="M525" s="45"/>
    </row>
    <row r="526" ht="15.75" customHeight="1">
      <c r="A526" s="45"/>
      <c r="B526" s="45"/>
      <c r="C526" s="45"/>
      <c r="D526" s="45"/>
      <c r="E526" s="45"/>
      <c r="F526" s="45"/>
      <c r="G526" s="45"/>
      <c r="H526" s="45"/>
      <c r="I526" s="45"/>
      <c r="J526" s="45"/>
      <c r="K526" s="45"/>
      <c r="L526" s="45"/>
      <c r="M526" s="45"/>
    </row>
    <row r="527" ht="15.75" customHeight="1">
      <c r="A527" s="45"/>
      <c r="B527" s="45"/>
      <c r="C527" s="45"/>
      <c r="D527" s="45"/>
      <c r="E527" s="45"/>
      <c r="F527" s="45"/>
      <c r="G527" s="45"/>
      <c r="H527" s="45"/>
      <c r="I527" s="45"/>
      <c r="J527" s="45"/>
      <c r="K527" s="45"/>
      <c r="L527" s="45"/>
      <c r="M527" s="45"/>
    </row>
    <row r="528" ht="15.75" customHeight="1">
      <c r="A528" s="45"/>
      <c r="B528" s="45"/>
      <c r="C528" s="45"/>
      <c r="D528" s="45"/>
      <c r="E528" s="45"/>
      <c r="F528" s="45"/>
      <c r="G528" s="45"/>
      <c r="H528" s="45"/>
      <c r="I528" s="45"/>
      <c r="J528" s="45"/>
      <c r="K528" s="45"/>
      <c r="L528" s="45"/>
      <c r="M528" s="45"/>
    </row>
    <row r="529" ht="15.75" customHeight="1">
      <c r="A529" s="45"/>
      <c r="B529" s="45"/>
      <c r="C529" s="45"/>
      <c r="D529" s="45"/>
      <c r="E529" s="45"/>
      <c r="F529" s="45"/>
      <c r="G529" s="45"/>
      <c r="H529" s="45"/>
      <c r="I529" s="45"/>
      <c r="J529" s="45"/>
      <c r="K529" s="45"/>
      <c r="L529" s="45"/>
      <c r="M529" s="45"/>
    </row>
    <row r="530" ht="15.75" customHeight="1">
      <c r="A530" s="45"/>
      <c r="B530" s="45"/>
      <c r="C530" s="45"/>
      <c r="D530" s="45"/>
      <c r="E530" s="45"/>
      <c r="F530" s="45"/>
      <c r="G530" s="45"/>
      <c r="H530" s="45"/>
      <c r="I530" s="45"/>
      <c r="J530" s="45"/>
      <c r="K530" s="45"/>
      <c r="L530" s="45"/>
      <c r="M530" s="45"/>
    </row>
    <row r="531" ht="15.75" customHeight="1">
      <c r="A531" s="45"/>
      <c r="B531" s="45"/>
      <c r="C531" s="45"/>
      <c r="D531" s="45"/>
      <c r="E531" s="45"/>
      <c r="F531" s="45"/>
      <c r="G531" s="45"/>
      <c r="H531" s="45"/>
      <c r="I531" s="45"/>
      <c r="J531" s="45"/>
      <c r="K531" s="45"/>
      <c r="L531" s="45"/>
      <c r="M531" s="45"/>
    </row>
    <row r="532" ht="15.75" customHeight="1">
      <c r="A532" s="45"/>
      <c r="B532" s="45"/>
      <c r="C532" s="45"/>
      <c r="D532" s="45"/>
      <c r="E532" s="45"/>
      <c r="F532" s="45"/>
      <c r="G532" s="45"/>
      <c r="H532" s="45"/>
      <c r="I532" s="45"/>
      <c r="J532" s="45"/>
      <c r="K532" s="45"/>
      <c r="L532" s="45"/>
      <c r="M532" s="45"/>
    </row>
    <row r="533" ht="15.75" customHeight="1">
      <c r="A533" s="45"/>
      <c r="B533" s="45"/>
      <c r="C533" s="45"/>
      <c r="D533" s="45"/>
      <c r="E533" s="45"/>
      <c r="F533" s="45"/>
      <c r="G533" s="45"/>
      <c r="H533" s="45"/>
      <c r="I533" s="45"/>
      <c r="J533" s="45"/>
      <c r="K533" s="45"/>
      <c r="L533" s="45"/>
      <c r="M533" s="45"/>
    </row>
    <row r="534" ht="15.75" customHeight="1">
      <c r="A534" s="45"/>
      <c r="B534" s="45"/>
      <c r="C534" s="45"/>
      <c r="D534" s="45"/>
      <c r="E534" s="45"/>
      <c r="F534" s="45"/>
      <c r="G534" s="45"/>
      <c r="H534" s="45"/>
      <c r="I534" s="45"/>
      <c r="J534" s="45"/>
      <c r="K534" s="45"/>
      <c r="L534" s="45"/>
      <c r="M534" s="45"/>
    </row>
    <row r="535" ht="15.75" customHeight="1">
      <c r="A535" s="45"/>
      <c r="B535" s="45"/>
      <c r="C535" s="45"/>
      <c r="D535" s="45"/>
      <c r="E535" s="45"/>
      <c r="F535" s="45"/>
      <c r="G535" s="45"/>
      <c r="H535" s="45"/>
      <c r="I535" s="45"/>
      <c r="J535" s="45"/>
      <c r="K535" s="45"/>
      <c r="L535" s="45"/>
      <c r="M535" s="45"/>
    </row>
    <row r="536" ht="15.75" customHeight="1">
      <c r="A536" s="45"/>
      <c r="B536" s="45"/>
      <c r="C536" s="45"/>
      <c r="D536" s="45"/>
      <c r="E536" s="45"/>
      <c r="F536" s="45"/>
      <c r="G536" s="45"/>
      <c r="H536" s="45"/>
      <c r="I536" s="45"/>
      <c r="J536" s="45"/>
      <c r="K536" s="45"/>
      <c r="L536" s="45"/>
      <c r="M536" s="45"/>
    </row>
    <row r="537" ht="15.75" customHeight="1">
      <c r="A537" s="45"/>
      <c r="B537" s="45"/>
      <c r="C537" s="45"/>
      <c r="D537" s="45"/>
      <c r="E537" s="45"/>
      <c r="F537" s="45"/>
      <c r="G537" s="45"/>
      <c r="H537" s="45"/>
      <c r="I537" s="45"/>
      <c r="J537" s="45"/>
      <c r="K537" s="45"/>
      <c r="L537" s="45"/>
      <c r="M537" s="45"/>
    </row>
    <row r="538" ht="15.75" customHeight="1">
      <c r="A538" s="45"/>
      <c r="B538" s="45"/>
      <c r="C538" s="45"/>
      <c r="D538" s="45"/>
      <c r="E538" s="45"/>
      <c r="F538" s="45"/>
      <c r="G538" s="45"/>
      <c r="H538" s="45"/>
      <c r="I538" s="45"/>
      <c r="J538" s="45"/>
      <c r="K538" s="45"/>
      <c r="L538" s="45"/>
      <c r="M538" s="45"/>
    </row>
    <row r="539" ht="15.75" customHeight="1">
      <c r="A539" s="45"/>
      <c r="B539" s="45"/>
      <c r="C539" s="45"/>
      <c r="D539" s="45"/>
      <c r="E539" s="45"/>
      <c r="F539" s="45"/>
      <c r="G539" s="45"/>
      <c r="H539" s="45"/>
      <c r="I539" s="45"/>
      <c r="J539" s="45"/>
      <c r="K539" s="45"/>
      <c r="L539" s="45"/>
      <c r="M539" s="45"/>
    </row>
    <row r="540" ht="15.75" customHeight="1">
      <c r="A540" s="45"/>
      <c r="B540" s="45"/>
      <c r="C540" s="45"/>
      <c r="D540" s="45"/>
      <c r="E540" s="45"/>
      <c r="F540" s="45"/>
      <c r="G540" s="45"/>
      <c r="H540" s="45"/>
      <c r="I540" s="45"/>
      <c r="J540" s="45"/>
      <c r="K540" s="45"/>
      <c r="L540" s="45"/>
      <c r="M540" s="45"/>
    </row>
    <row r="541" ht="15.75" customHeight="1">
      <c r="A541" s="45"/>
      <c r="B541" s="45"/>
      <c r="C541" s="45"/>
      <c r="D541" s="45"/>
      <c r="E541" s="45"/>
      <c r="F541" s="45"/>
      <c r="G541" s="45"/>
      <c r="H541" s="45"/>
      <c r="I541" s="45"/>
      <c r="J541" s="45"/>
      <c r="K541" s="45"/>
      <c r="L541" s="45"/>
      <c r="M541" s="45"/>
    </row>
    <row r="542" ht="15.75" customHeight="1">
      <c r="A542" s="45"/>
      <c r="B542" s="45"/>
      <c r="C542" s="45"/>
      <c r="D542" s="45"/>
      <c r="E542" s="45"/>
      <c r="F542" s="45"/>
      <c r="G542" s="45"/>
      <c r="H542" s="45"/>
      <c r="I542" s="45"/>
      <c r="J542" s="45"/>
      <c r="K542" s="45"/>
      <c r="L542" s="45"/>
      <c r="M542" s="45"/>
    </row>
    <row r="543" ht="15.75" customHeight="1">
      <c r="A543" s="45"/>
      <c r="B543" s="45"/>
      <c r="C543" s="45"/>
      <c r="D543" s="45"/>
      <c r="E543" s="45"/>
      <c r="F543" s="45"/>
      <c r="G543" s="45"/>
      <c r="H543" s="45"/>
      <c r="I543" s="45"/>
      <c r="J543" s="45"/>
      <c r="K543" s="45"/>
      <c r="L543" s="45"/>
      <c r="M543" s="45"/>
    </row>
    <row r="544" ht="15.75" customHeight="1">
      <c r="A544" s="45"/>
      <c r="B544" s="45"/>
      <c r="C544" s="45"/>
      <c r="D544" s="45"/>
      <c r="E544" s="45"/>
      <c r="F544" s="45"/>
      <c r="G544" s="45"/>
      <c r="H544" s="45"/>
      <c r="I544" s="45"/>
      <c r="J544" s="45"/>
      <c r="K544" s="45"/>
      <c r="L544" s="45"/>
      <c r="M544" s="45"/>
    </row>
    <row r="545" ht="15.75" customHeight="1">
      <c r="A545" s="45"/>
      <c r="B545" s="45"/>
      <c r="C545" s="45"/>
      <c r="D545" s="45"/>
      <c r="E545" s="45"/>
      <c r="F545" s="45"/>
      <c r="G545" s="45"/>
      <c r="H545" s="45"/>
      <c r="I545" s="45"/>
      <c r="J545" s="45"/>
      <c r="K545" s="45"/>
      <c r="L545" s="45"/>
      <c r="M545" s="45"/>
    </row>
    <row r="546" ht="15.75" customHeight="1">
      <c r="A546" s="45"/>
      <c r="B546" s="45"/>
      <c r="C546" s="45"/>
      <c r="D546" s="45"/>
      <c r="E546" s="45"/>
      <c r="F546" s="45"/>
      <c r="G546" s="45"/>
      <c r="H546" s="45"/>
      <c r="I546" s="45"/>
      <c r="J546" s="45"/>
      <c r="K546" s="45"/>
      <c r="L546" s="45"/>
      <c r="M546" s="45"/>
    </row>
    <row r="547" ht="15.75" customHeight="1">
      <c r="A547" s="45"/>
      <c r="B547" s="45"/>
      <c r="C547" s="45"/>
      <c r="D547" s="45"/>
      <c r="E547" s="45"/>
      <c r="F547" s="45"/>
      <c r="G547" s="45"/>
      <c r="H547" s="45"/>
      <c r="I547" s="45"/>
      <c r="J547" s="45"/>
      <c r="K547" s="45"/>
      <c r="L547" s="45"/>
      <c r="M547" s="45"/>
    </row>
    <row r="548" ht="15.75" customHeight="1">
      <c r="A548" s="45"/>
      <c r="B548" s="45"/>
      <c r="C548" s="45"/>
      <c r="D548" s="45"/>
      <c r="E548" s="45"/>
      <c r="F548" s="45"/>
      <c r="G548" s="45"/>
      <c r="H548" s="45"/>
      <c r="I548" s="45"/>
      <c r="J548" s="45"/>
      <c r="K548" s="45"/>
      <c r="L548" s="45"/>
      <c r="M548" s="45"/>
    </row>
    <row r="549" ht="15.75" customHeight="1">
      <c r="A549" s="45"/>
      <c r="B549" s="45"/>
      <c r="C549" s="45"/>
      <c r="D549" s="45"/>
      <c r="E549" s="45"/>
      <c r="F549" s="45"/>
      <c r="G549" s="45"/>
      <c r="H549" s="45"/>
      <c r="I549" s="45"/>
      <c r="J549" s="45"/>
      <c r="K549" s="45"/>
      <c r="L549" s="45"/>
      <c r="M549" s="45"/>
    </row>
    <row r="550" ht="15.75" customHeight="1">
      <c r="A550" s="45"/>
      <c r="B550" s="45"/>
      <c r="C550" s="45"/>
      <c r="D550" s="45"/>
      <c r="E550" s="45"/>
      <c r="F550" s="45"/>
      <c r="G550" s="45"/>
      <c r="H550" s="45"/>
      <c r="I550" s="45"/>
      <c r="J550" s="45"/>
      <c r="K550" s="45"/>
      <c r="L550" s="45"/>
      <c r="M550" s="45"/>
    </row>
    <row r="551" ht="15.75" customHeight="1">
      <c r="A551" s="45"/>
      <c r="B551" s="45"/>
      <c r="C551" s="45"/>
      <c r="D551" s="45"/>
      <c r="E551" s="45"/>
      <c r="F551" s="45"/>
      <c r="G551" s="45"/>
      <c r="H551" s="45"/>
      <c r="I551" s="45"/>
      <c r="J551" s="45"/>
      <c r="K551" s="45"/>
      <c r="L551" s="45"/>
      <c r="M551" s="45"/>
    </row>
    <row r="552" ht="15.75" customHeight="1">
      <c r="A552" s="45"/>
      <c r="B552" s="45"/>
      <c r="C552" s="45"/>
      <c r="D552" s="45"/>
      <c r="E552" s="45"/>
      <c r="F552" s="45"/>
      <c r="G552" s="45"/>
      <c r="H552" s="45"/>
      <c r="I552" s="45"/>
      <c r="J552" s="45"/>
      <c r="K552" s="45"/>
      <c r="L552" s="45"/>
      <c r="M552" s="45"/>
    </row>
    <row r="553" ht="15.75" customHeight="1">
      <c r="A553" s="45"/>
      <c r="B553" s="45"/>
      <c r="C553" s="45"/>
      <c r="D553" s="45"/>
      <c r="E553" s="45"/>
      <c r="F553" s="45"/>
      <c r="G553" s="45"/>
      <c r="H553" s="45"/>
      <c r="I553" s="45"/>
      <c r="J553" s="45"/>
      <c r="K553" s="45"/>
      <c r="L553" s="45"/>
      <c r="M553" s="45"/>
    </row>
    <row r="554" ht="15.75" customHeight="1">
      <c r="A554" s="45"/>
      <c r="B554" s="45"/>
      <c r="C554" s="45"/>
      <c r="D554" s="45"/>
      <c r="E554" s="45"/>
      <c r="F554" s="45"/>
      <c r="G554" s="45"/>
      <c r="H554" s="45"/>
      <c r="I554" s="45"/>
      <c r="J554" s="45"/>
      <c r="K554" s="45"/>
      <c r="L554" s="45"/>
      <c r="M554" s="45"/>
    </row>
    <row r="555" ht="15.75" customHeight="1">
      <c r="A555" s="45"/>
      <c r="B555" s="45"/>
      <c r="C555" s="45"/>
      <c r="D555" s="45"/>
      <c r="E555" s="45"/>
      <c r="F555" s="45"/>
      <c r="G555" s="45"/>
      <c r="H555" s="45"/>
      <c r="I555" s="45"/>
      <c r="J555" s="45"/>
      <c r="K555" s="45"/>
      <c r="L555" s="45"/>
      <c r="M555" s="45"/>
    </row>
    <row r="556" ht="15.75" customHeight="1">
      <c r="A556" s="45"/>
      <c r="B556" s="45"/>
      <c r="C556" s="45"/>
      <c r="D556" s="45"/>
      <c r="E556" s="45"/>
      <c r="F556" s="45"/>
      <c r="G556" s="45"/>
      <c r="H556" s="45"/>
      <c r="I556" s="45"/>
      <c r="J556" s="45"/>
      <c r="K556" s="45"/>
      <c r="L556" s="45"/>
      <c r="M556" s="45"/>
    </row>
    <row r="557" ht="15.75" customHeight="1">
      <c r="A557" s="45"/>
      <c r="B557" s="45"/>
      <c r="C557" s="45"/>
      <c r="D557" s="45"/>
      <c r="E557" s="45"/>
      <c r="F557" s="45"/>
      <c r="G557" s="45"/>
      <c r="H557" s="45"/>
      <c r="I557" s="45"/>
      <c r="J557" s="45"/>
      <c r="K557" s="45"/>
      <c r="L557" s="45"/>
      <c r="M557" s="45"/>
    </row>
    <row r="558" ht="15.75" customHeight="1">
      <c r="A558" s="45"/>
      <c r="B558" s="45"/>
      <c r="C558" s="45"/>
      <c r="D558" s="45"/>
      <c r="E558" s="45"/>
      <c r="F558" s="45"/>
      <c r="G558" s="45"/>
      <c r="H558" s="45"/>
      <c r="I558" s="45"/>
      <c r="J558" s="45"/>
      <c r="K558" s="45"/>
      <c r="L558" s="45"/>
      <c r="M558" s="45"/>
    </row>
    <row r="559" ht="15.75" customHeight="1">
      <c r="A559" s="45"/>
      <c r="B559" s="45"/>
      <c r="C559" s="45"/>
      <c r="D559" s="45"/>
      <c r="E559" s="45"/>
      <c r="F559" s="45"/>
      <c r="G559" s="45"/>
      <c r="H559" s="45"/>
      <c r="I559" s="45"/>
      <c r="J559" s="45"/>
      <c r="K559" s="45"/>
      <c r="L559" s="45"/>
      <c r="M559" s="45"/>
    </row>
    <row r="560" ht="15.75" customHeight="1">
      <c r="A560" s="45"/>
      <c r="B560" s="45"/>
      <c r="C560" s="45"/>
      <c r="D560" s="45"/>
      <c r="E560" s="45"/>
      <c r="F560" s="45"/>
      <c r="G560" s="45"/>
      <c r="H560" s="45"/>
      <c r="I560" s="45"/>
      <c r="J560" s="45"/>
      <c r="K560" s="45"/>
      <c r="L560" s="45"/>
      <c r="M560" s="45"/>
    </row>
    <row r="561" ht="15.75" customHeight="1">
      <c r="A561" s="45"/>
      <c r="B561" s="45"/>
      <c r="C561" s="45"/>
      <c r="D561" s="45"/>
      <c r="E561" s="45"/>
      <c r="F561" s="45"/>
      <c r="G561" s="45"/>
      <c r="H561" s="45"/>
      <c r="I561" s="45"/>
      <c r="J561" s="45"/>
      <c r="K561" s="45"/>
      <c r="L561" s="45"/>
      <c r="M561" s="45"/>
    </row>
    <row r="562" ht="15.75" customHeight="1">
      <c r="A562" s="45"/>
      <c r="B562" s="45"/>
      <c r="C562" s="45"/>
      <c r="D562" s="45"/>
      <c r="E562" s="45"/>
      <c r="F562" s="45"/>
      <c r="G562" s="45"/>
      <c r="H562" s="45"/>
      <c r="I562" s="45"/>
      <c r="J562" s="45"/>
      <c r="K562" s="45"/>
      <c r="L562" s="45"/>
      <c r="M562" s="45"/>
    </row>
    <row r="563" ht="15.75" customHeight="1">
      <c r="A563" s="45"/>
      <c r="B563" s="45"/>
      <c r="C563" s="45"/>
      <c r="D563" s="45"/>
      <c r="E563" s="45"/>
      <c r="F563" s="45"/>
      <c r="G563" s="45"/>
      <c r="H563" s="45"/>
      <c r="I563" s="45"/>
      <c r="J563" s="45"/>
      <c r="K563" s="45"/>
      <c r="L563" s="45"/>
      <c r="M563" s="45"/>
    </row>
    <row r="564" ht="15.75" customHeight="1">
      <c r="A564" s="45"/>
      <c r="B564" s="45"/>
      <c r="C564" s="45"/>
      <c r="D564" s="45"/>
      <c r="E564" s="45"/>
      <c r="F564" s="45"/>
      <c r="G564" s="45"/>
      <c r="H564" s="45"/>
      <c r="I564" s="45"/>
      <c r="J564" s="45"/>
      <c r="K564" s="45"/>
      <c r="L564" s="45"/>
      <c r="M564" s="45"/>
    </row>
    <row r="565" ht="15.75" customHeight="1">
      <c r="A565" s="45"/>
      <c r="B565" s="45"/>
      <c r="C565" s="45"/>
      <c r="D565" s="45"/>
      <c r="E565" s="45"/>
      <c r="F565" s="45"/>
      <c r="G565" s="45"/>
      <c r="H565" s="45"/>
      <c r="I565" s="45"/>
      <c r="J565" s="45"/>
      <c r="K565" s="45"/>
      <c r="L565" s="45"/>
      <c r="M565" s="45"/>
    </row>
    <row r="566" ht="15.75" customHeight="1">
      <c r="A566" s="45"/>
      <c r="B566" s="45"/>
      <c r="C566" s="45"/>
      <c r="D566" s="45"/>
      <c r="E566" s="45"/>
      <c r="F566" s="45"/>
      <c r="G566" s="45"/>
      <c r="H566" s="45"/>
      <c r="I566" s="45"/>
      <c r="J566" s="45"/>
      <c r="K566" s="45"/>
      <c r="L566" s="45"/>
      <c r="M566" s="45"/>
    </row>
    <row r="567" ht="15.75" customHeight="1">
      <c r="A567" s="45"/>
      <c r="B567" s="45"/>
      <c r="C567" s="45"/>
      <c r="D567" s="45"/>
      <c r="E567" s="45"/>
      <c r="F567" s="45"/>
      <c r="G567" s="45"/>
      <c r="H567" s="45"/>
      <c r="I567" s="45"/>
      <c r="J567" s="45"/>
      <c r="K567" s="45"/>
      <c r="L567" s="45"/>
      <c r="M567" s="45"/>
    </row>
    <row r="568" ht="15.75" customHeight="1">
      <c r="A568" s="45"/>
      <c r="B568" s="45"/>
      <c r="C568" s="45"/>
      <c r="D568" s="45"/>
      <c r="E568" s="45"/>
      <c r="F568" s="45"/>
      <c r="G568" s="45"/>
      <c r="H568" s="45"/>
      <c r="I568" s="45"/>
      <c r="J568" s="45"/>
      <c r="K568" s="45"/>
      <c r="L568" s="45"/>
      <c r="M568" s="45"/>
    </row>
    <row r="569" ht="15.75" customHeight="1">
      <c r="A569" s="45"/>
      <c r="B569" s="45"/>
      <c r="C569" s="45"/>
      <c r="D569" s="45"/>
      <c r="E569" s="45"/>
      <c r="F569" s="45"/>
      <c r="G569" s="45"/>
      <c r="H569" s="45"/>
      <c r="I569" s="45"/>
      <c r="J569" s="45"/>
      <c r="K569" s="45"/>
      <c r="L569" s="45"/>
      <c r="M569" s="45"/>
    </row>
    <row r="570" ht="15.75" customHeight="1">
      <c r="A570" s="45"/>
      <c r="B570" s="45"/>
      <c r="C570" s="45"/>
      <c r="D570" s="45"/>
      <c r="E570" s="45"/>
      <c r="F570" s="45"/>
      <c r="G570" s="45"/>
      <c r="H570" s="45"/>
      <c r="I570" s="45"/>
      <c r="J570" s="45"/>
      <c r="K570" s="45"/>
      <c r="L570" s="45"/>
      <c r="M570" s="45"/>
    </row>
    <row r="571" ht="15.75" customHeight="1">
      <c r="A571" s="45"/>
      <c r="B571" s="45"/>
      <c r="C571" s="45"/>
      <c r="D571" s="45"/>
      <c r="E571" s="45"/>
      <c r="F571" s="45"/>
      <c r="G571" s="45"/>
      <c r="H571" s="45"/>
      <c r="I571" s="45"/>
      <c r="J571" s="45"/>
      <c r="K571" s="45"/>
      <c r="L571" s="45"/>
      <c r="M571" s="45"/>
    </row>
    <row r="572" ht="15.75" customHeight="1">
      <c r="A572" s="45"/>
      <c r="B572" s="45"/>
      <c r="C572" s="45"/>
      <c r="D572" s="45"/>
      <c r="E572" s="45"/>
      <c r="F572" s="45"/>
      <c r="G572" s="45"/>
      <c r="H572" s="45"/>
      <c r="I572" s="45"/>
      <c r="J572" s="45"/>
      <c r="K572" s="45"/>
      <c r="L572" s="45"/>
      <c r="M572" s="45"/>
    </row>
    <row r="573" ht="15.75" customHeight="1">
      <c r="A573" s="45"/>
      <c r="B573" s="45"/>
      <c r="C573" s="45"/>
      <c r="D573" s="45"/>
      <c r="E573" s="45"/>
      <c r="F573" s="45"/>
      <c r="G573" s="45"/>
      <c r="H573" s="45"/>
      <c r="I573" s="45"/>
      <c r="J573" s="45"/>
      <c r="K573" s="45"/>
      <c r="L573" s="45"/>
      <c r="M573" s="45"/>
    </row>
    <row r="574" ht="15.75" customHeight="1">
      <c r="A574" s="45"/>
      <c r="B574" s="45"/>
      <c r="C574" s="45"/>
      <c r="D574" s="45"/>
      <c r="E574" s="45"/>
      <c r="F574" s="45"/>
      <c r="G574" s="45"/>
      <c r="H574" s="45"/>
      <c r="I574" s="45"/>
      <c r="J574" s="45"/>
      <c r="K574" s="45"/>
      <c r="L574" s="45"/>
      <c r="M574" s="45"/>
    </row>
    <row r="575" ht="15.75" customHeight="1">
      <c r="A575" s="45"/>
      <c r="B575" s="45"/>
      <c r="C575" s="45"/>
      <c r="D575" s="45"/>
      <c r="E575" s="45"/>
      <c r="F575" s="45"/>
      <c r="G575" s="45"/>
      <c r="H575" s="45"/>
      <c r="I575" s="45"/>
      <c r="J575" s="45"/>
      <c r="K575" s="45"/>
      <c r="L575" s="45"/>
      <c r="M575" s="45"/>
    </row>
    <row r="576" ht="15.75" customHeight="1">
      <c r="A576" s="45"/>
      <c r="B576" s="45"/>
      <c r="C576" s="45"/>
      <c r="D576" s="45"/>
      <c r="E576" s="45"/>
      <c r="F576" s="45"/>
      <c r="G576" s="45"/>
      <c r="H576" s="45"/>
      <c r="I576" s="45"/>
      <c r="J576" s="45"/>
      <c r="K576" s="45"/>
      <c r="L576" s="45"/>
      <c r="M576" s="45"/>
    </row>
    <row r="577" ht="15.75" customHeight="1">
      <c r="A577" s="45"/>
      <c r="B577" s="45"/>
      <c r="C577" s="45"/>
      <c r="D577" s="45"/>
      <c r="E577" s="45"/>
      <c r="F577" s="45"/>
      <c r="G577" s="45"/>
      <c r="H577" s="45"/>
      <c r="I577" s="45"/>
      <c r="J577" s="45"/>
      <c r="K577" s="45"/>
      <c r="L577" s="45"/>
      <c r="M577" s="45"/>
    </row>
    <row r="578" ht="15.75" customHeight="1">
      <c r="A578" s="45"/>
      <c r="B578" s="45"/>
      <c r="C578" s="45"/>
      <c r="D578" s="45"/>
      <c r="E578" s="45"/>
      <c r="F578" s="45"/>
      <c r="G578" s="45"/>
      <c r="H578" s="45"/>
      <c r="I578" s="45"/>
      <c r="J578" s="45"/>
      <c r="K578" s="45"/>
      <c r="L578" s="45"/>
      <c r="M578" s="45"/>
    </row>
    <row r="579" ht="15.75" customHeight="1">
      <c r="A579" s="45"/>
      <c r="B579" s="45"/>
      <c r="C579" s="45"/>
      <c r="D579" s="45"/>
      <c r="E579" s="45"/>
      <c r="F579" s="45"/>
      <c r="G579" s="45"/>
      <c r="H579" s="45"/>
      <c r="I579" s="45"/>
      <c r="J579" s="45"/>
      <c r="K579" s="45"/>
      <c r="L579" s="45"/>
      <c r="M579" s="45"/>
    </row>
    <row r="580" ht="15.75" customHeight="1">
      <c r="A580" s="45"/>
      <c r="B580" s="45"/>
      <c r="C580" s="45"/>
      <c r="D580" s="45"/>
      <c r="E580" s="45"/>
      <c r="F580" s="45"/>
      <c r="G580" s="45"/>
      <c r="H580" s="45"/>
      <c r="I580" s="45"/>
      <c r="J580" s="45"/>
      <c r="K580" s="45"/>
      <c r="L580" s="45"/>
      <c r="M580" s="45"/>
    </row>
    <row r="581" ht="15.75" customHeight="1">
      <c r="A581" s="45"/>
      <c r="B581" s="45"/>
      <c r="C581" s="45"/>
      <c r="D581" s="45"/>
      <c r="E581" s="45"/>
      <c r="F581" s="45"/>
      <c r="G581" s="45"/>
      <c r="H581" s="45"/>
      <c r="I581" s="45"/>
      <c r="J581" s="45"/>
      <c r="K581" s="45"/>
      <c r="L581" s="45"/>
      <c r="M581" s="45"/>
    </row>
    <row r="582" ht="15.75" customHeight="1">
      <c r="A582" s="45"/>
      <c r="B582" s="45"/>
      <c r="C582" s="45"/>
      <c r="D582" s="45"/>
      <c r="E582" s="45"/>
      <c r="F582" s="45"/>
      <c r="G582" s="45"/>
      <c r="H582" s="45"/>
      <c r="I582" s="45"/>
      <c r="J582" s="45"/>
      <c r="K582" s="45"/>
      <c r="L582" s="45"/>
      <c r="M582" s="45"/>
    </row>
    <row r="583" ht="15.75" customHeight="1">
      <c r="A583" s="45"/>
      <c r="B583" s="45"/>
      <c r="C583" s="45"/>
      <c r="D583" s="45"/>
      <c r="E583" s="45"/>
      <c r="F583" s="45"/>
      <c r="G583" s="45"/>
      <c r="H583" s="45"/>
      <c r="I583" s="45"/>
      <c r="J583" s="45"/>
      <c r="K583" s="45"/>
      <c r="L583" s="45"/>
      <c r="M583" s="45"/>
    </row>
    <row r="584" ht="15.75" customHeight="1">
      <c r="A584" s="45"/>
      <c r="B584" s="45"/>
      <c r="C584" s="45"/>
      <c r="D584" s="45"/>
      <c r="E584" s="45"/>
      <c r="F584" s="45"/>
      <c r="G584" s="45"/>
      <c r="H584" s="45"/>
      <c r="I584" s="45"/>
      <c r="J584" s="45"/>
      <c r="K584" s="45"/>
      <c r="L584" s="45"/>
      <c r="M584" s="45"/>
    </row>
    <row r="585" ht="15.75" customHeight="1">
      <c r="A585" s="45"/>
      <c r="B585" s="45"/>
      <c r="C585" s="45"/>
      <c r="D585" s="45"/>
      <c r="E585" s="45"/>
      <c r="F585" s="45"/>
      <c r="G585" s="45"/>
      <c r="H585" s="45"/>
      <c r="I585" s="45"/>
      <c r="J585" s="45"/>
      <c r="K585" s="45"/>
      <c r="L585" s="45"/>
      <c r="M585" s="45"/>
    </row>
    <row r="586" ht="15.75" customHeight="1">
      <c r="A586" s="45"/>
      <c r="B586" s="45"/>
      <c r="C586" s="45"/>
      <c r="D586" s="45"/>
      <c r="E586" s="45"/>
      <c r="F586" s="45"/>
      <c r="G586" s="45"/>
      <c r="H586" s="45"/>
      <c r="I586" s="45"/>
      <c r="J586" s="45"/>
      <c r="K586" s="45"/>
      <c r="L586" s="45"/>
      <c r="M586" s="45"/>
    </row>
    <row r="587" ht="15.75" customHeight="1">
      <c r="A587" s="45"/>
      <c r="B587" s="45"/>
      <c r="C587" s="45"/>
      <c r="D587" s="45"/>
      <c r="E587" s="45"/>
      <c r="F587" s="45"/>
      <c r="G587" s="45"/>
      <c r="H587" s="45"/>
      <c r="I587" s="45"/>
      <c r="J587" s="45"/>
      <c r="K587" s="45"/>
      <c r="L587" s="45"/>
      <c r="M587" s="45"/>
    </row>
    <row r="588" ht="15.75" customHeight="1">
      <c r="A588" s="45"/>
      <c r="B588" s="45"/>
      <c r="C588" s="45"/>
      <c r="D588" s="45"/>
      <c r="E588" s="45"/>
      <c r="F588" s="45"/>
      <c r="G588" s="45"/>
      <c r="H588" s="45"/>
      <c r="I588" s="45"/>
      <c r="J588" s="45"/>
      <c r="K588" s="45"/>
      <c r="L588" s="45"/>
      <c r="M588" s="45"/>
    </row>
    <row r="589" ht="15.75" customHeight="1">
      <c r="A589" s="45"/>
      <c r="B589" s="45"/>
      <c r="C589" s="45"/>
      <c r="D589" s="45"/>
      <c r="E589" s="45"/>
      <c r="F589" s="45"/>
      <c r="G589" s="45"/>
      <c r="H589" s="45"/>
      <c r="I589" s="45"/>
      <c r="J589" s="45"/>
      <c r="K589" s="45"/>
      <c r="L589" s="45"/>
      <c r="M589" s="45"/>
    </row>
    <row r="590" ht="15.75" customHeight="1">
      <c r="A590" s="45"/>
      <c r="B590" s="45"/>
      <c r="C590" s="45"/>
      <c r="D590" s="45"/>
      <c r="E590" s="45"/>
      <c r="F590" s="45"/>
      <c r="G590" s="45"/>
      <c r="H590" s="45"/>
      <c r="I590" s="45"/>
      <c r="J590" s="45"/>
      <c r="K590" s="45"/>
      <c r="L590" s="45"/>
      <c r="M590" s="45"/>
    </row>
    <row r="591" ht="15.75" customHeight="1">
      <c r="A591" s="45"/>
      <c r="B591" s="45"/>
      <c r="C591" s="45"/>
      <c r="D591" s="45"/>
      <c r="E591" s="45"/>
      <c r="F591" s="45"/>
      <c r="G591" s="45"/>
      <c r="H591" s="45"/>
      <c r="I591" s="45"/>
      <c r="J591" s="45"/>
      <c r="K591" s="45"/>
      <c r="L591" s="45"/>
      <c r="M591" s="45"/>
    </row>
    <row r="592" ht="15.75" customHeight="1">
      <c r="A592" s="45"/>
      <c r="B592" s="45"/>
      <c r="C592" s="45"/>
      <c r="D592" s="45"/>
      <c r="E592" s="45"/>
      <c r="F592" s="45"/>
      <c r="G592" s="45"/>
      <c r="H592" s="45"/>
      <c r="I592" s="45"/>
      <c r="J592" s="45"/>
      <c r="K592" s="45"/>
      <c r="L592" s="45"/>
      <c r="M592" s="45"/>
    </row>
    <row r="593" ht="15.75" customHeight="1">
      <c r="A593" s="45"/>
      <c r="B593" s="45"/>
      <c r="C593" s="45"/>
      <c r="D593" s="45"/>
      <c r="E593" s="45"/>
      <c r="F593" s="45"/>
      <c r="G593" s="45"/>
      <c r="H593" s="45"/>
      <c r="I593" s="45"/>
      <c r="J593" s="45"/>
      <c r="K593" s="45"/>
      <c r="L593" s="45"/>
      <c r="M593" s="45"/>
    </row>
    <row r="594" ht="15.75" customHeight="1">
      <c r="A594" s="45"/>
      <c r="B594" s="45"/>
      <c r="C594" s="45"/>
      <c r="D594" s="45"/>
      <c r="E594" s="45"/>
      <c r="F594" s="45"/>
      <c r="G594" s="45"/>
      <c r="H594" s="45"/>
      <c r="I594" s="45"/>
      <c r="J594" s="45"/>
      <c r="K594" s="45"/>
      <c r="L594" s="45"/>
      <c r="M594" s="45"/>
    </row>
    <row r="595" ht="15.75" customHeight="1">
      <c r="A595" s="45"/>
      <c r="B595" s="45"/>
      <c r="C595" s="45"/>
      <c r="D595" s="45"/>
      <c r="E595" s="45"/>
      <c r="F595" s="45"/>
      <c r="G595" s="45"/>
      <c r="H595" s="45"/>
      <c r="I595" s="45"/>
      <c r="J595" s="45"/>
      <c r="K595" s="45"/>
      <c r="L595" s="45"/>
      <c r="M595" s="45"/>
    </row>
    <row r="596" ht="15.75" customHeight="1">
      <c r="A596" s="45"/>
      <c r="B596" s="45"/>
      <c r="C596" s="45"/>
      <c r="D596" s="45"/>
      <c r="E596" s="45"/>
      <c r="F596" s="45"/>
      <c r="G596" s="45"/>
      <c r="H596" s="45"/>
      <c r="I596" s="45"/>
      <c r="J596" s="45"/>
      <c r="K596" s="45"/>
      <c r="L596" s="45"/>
      <c r="M596" s="45"/>
    </row>
    <row r="597" ht="15.75" customHeight="1">
      <c r="A597" s="45"/>
      <c r="B597" s="45"/>
      <c r="C597" s="45"/>
      <c r="D597" s="45"/>
      <c r="E597" s="45"/>
      <c r="F597" s="45"/>
      <c r="G597" s="45"/>
      <c r="H597" s="45"/>
      <c r="I597" s="45"/>
      <c r="J597" s="45"/>
      <c r="K597" s="45"/>
      <c r="L597" s="45"/>
      <c r="M597" s="45"/>
    </row>
    <row r="598" ht="15.75" customHeight="1">
      <c r="A598" s="45"/>
      <c r="B598" s="45"/>
      <c r="C598" s="45"/>
      <c r="D598" s="45"/>
      <c r="E598" s="45"/>
      <c r="F598" s="45"/>
      <c r="G598" s="45"/>
      <c r="H598" s="45"/>
      <c r="I598" s="45"/>
      <c r="J598" s="45"/>
      <c r="K598" s="45"/>
      <c r="L598" s="45"/>
      <c r="M598" s="45"/>
    </row>
    <row r="599" ht="15.75" customHeight="1">
      <c r="A599" s="45"/>
      <c r="B599" s="45"/>
      <c r="C599" s="45"/>
      <c r="D599" s="45"/>
      <c r="E599" s="45"/>
      <c r="F599" s="45"/>
      <c r="G599" s="45"/>
      <c r="H599" s="45"/>
      <c r="I599" s="45"/>
      <c r="J599" s="45"/>
      <c r="K599" s="45"/>
      <c r="L599" s="45"/>
      <c r="M599" s="45"/>
    </row>
    <row r="600" ht="15.75" customHeight="1">
      <c r="A600" s="45"/>
      <c r="B600" s="45"/>
      <c r="C600" s="45"/>
      <c r="D600" s="45"/>
      <c r="E600" s="45"/>
      <c r="F600" s="45"/>
      <c r="G600" s="45"/>
      <c r="H600" s="45"/>
      <c r="I600" s="45"/>
      <c r="J600" s="45"/>
      <c r="K600" s="45"/>
      <c r="L600" s="45"/>
      <c r="M600" s="45"/>
    </row>
    <row r="601" ht="15.75" customHeight="1">
      <c r="A601" s="45"/>
      <c r="B601" s="45"/>
      <c r="C601" s="45"/>
      <c r="D601" s="45"/>
      <c r="E601" s="45"/>
      <c r="F601" s="45"/>
      <c r="G601" s="45"/>
      <c r="H601" s="45"/>
      <c r="I601" s="45"/>
      <c r="J601" s="45"/>
      <c r="K601" s="45"/>
      <c r="L601" s="45"/>
      <c r="M601" s="45"/>
    </row>
    <row r="602" ht="15.75" customHeight="1">
      <c r="A602" s="45"/>
      <c r="B602" s="45"/>
      <c r="C602" s="45"/>
      <c r="D602" s="45"/>
      <c r="E602" s="45"/>
      <c r="F602" s="45"/>
      <c r="G602" s="45"/>
      <c r="H602" s="45"/>
      <c r="I602" s="45"/>
      <c r="J602" s="45"/>
      <c r="K602" s="45"/>
      <c r="L602" s="45"/>
      <c r="M602" s="45"/>
    </row>
    <row r="603" ht="15.75" customHeight="1">
      <c r="A603" s="45"/>
      <c r="B603" s="45"/>
      <c r="C603" s="45"/>
      <c r="D603" s="45"/>
      <c r="E603" s="45"/>
      <c r="F603" s="45"/>
      <c r="G603" s="45"/>
      <c r="H603" s="45"/>
      <c r="I603" s="45"/>
      <c r="J603" s="45"/>
      <c r="K603" s="45"/>
      <c r="L603" s="45"/>
      <c r="M603" s="45"/>
    </row>
    <row r="604" ht="15.75" customHeight="1">
      <c r="A604" s="45"/>
      <c r="B604" s="45"/>
      <c r="C604" s="45"/>
      <c r="D604" s="45"/>
      <c r="E604" s="45"/>
      <c r="F604" s="45"/>
      <c r="G604" s="45"/>
      <c r="H604" s="45"/>
      <c r="I604" s="45"/>
      <c r="J604" s="45"/>
      <c r="K604" s="45"/>
      <c r="L604" s="45"/>
      <c r="M604" s="45"/>
    </row>
    <row r="605" ht="15.75" customHeight="1">
      <c r="A605" s="45"/>
      <c r="B605" s="45"/>
      <c r="C605" s="45"/>
      <c r="D605" s="45"/>
      <c r="E605" s="45"/>
      <c r="F605" s="45"/>
      <c r="G605" s="45"/>
      <c r="H605" s="45"/>
      <c r="I605" s="45"/>
      <c r="J605" s="45"/>
      <c r="K605" s="45"/>
      <c r="L605" s="45"/>
      <c r="M605" s="45"/>
    </row>
    <row r="606" ht="15.75" customHeight="1">
      <c r="A606" s="45"/>
      <c r="B606" s="45"/>
      <c r="C606" s="45"/>
      <c r="D606" s="45"/>
      <c r="E606" s="45"/>
      <c r="F606" s="45"/>
      <c r="G606" s="45"/>
      <c r="H606" s="45"/>
      <c r="I606" s="45"/>
      <c r="J606" s="45"/>
      <c r="K606" s="45"/>
      <c r="L606" s="45"/>
      <c r="M606" s="45"/>
    </row>
    <row r="607" ht="15.75" customHeight="1">
      <c r="A607" s="45"/>
      <c r="B607" s="45"/>
      <c r="C607" s="45"/>
      <c r="D607" s="45"/>
      <c r="E607" s="45"/>
      <c r="F607" s="45"/>
      <c r="G607" s="45"/>
      <c r="H607" s="45"/>
      <c r="I607" s="45"/>
      <c r="J607" s="45"/>
      <c r="K607" s="45"/>
      <c r="L607" s="45"/>
      <c r="M607" s="45"/>
    </row>
    <row r="608" ht="15.75" customHeight="1">
      <c r="A608" s="45"/>
      <c r="B608" s="45"/>
      <c r="C608" s="45"/>
      <c r="D608" s="45"/>
      <c r="E608" s="45"/>
      <c r="F608" s="45"/>
      <c r="G608" s="45"/>
      <c r="H608" s="45"/>
      <c r="I608" s="45"/>
      <c r="J608" s="45"/>
      <c r="K608" s="45"/>
      <c r="L608" s="45"/>
      <c r="M608" s="45"/>
    </row>
    <row r="609" ht="15.75" customHeight="1">
      <c r="A609" s="45"/>
      <c r="B609" s="45"/>
      <c r="C609" s="45"/>
      <c r="D609" s="45"/>
      <c r="E609" s="45"/>
      <c r="F609" s="45"/>
      <c r="G609" s="45"/>
      <c r="H609" s="45"/>
      <c r="I609" s="45"/>
      <c r="J609" s="45"/>
      <c r="K609" s="45"/>
      <c r="L609" s="45"/>
      <c r="M609" s="45"/>
    </row>
    <row r="610" ht="15.75" customHeight="1">
      <c r="A610" s="45"/>
      <c r="B610" s="45"/>
      <c r="C610" s="45"/>
      <c r="D610" s="45"/>
      <c r="E610" s="45"/>
      <c r="F610" s="45"/>
      <c r="G610" s="45"/>
      <c r="H610" s="45"/>
      <c r="I610" s="45"/>
      <c r="J610" s="45"/>
      <c r="K610" s="45"/>
      <c r="L610" s="45"/>
      <c r="M610" s="45"/>
    </row>
    <row r="611" ht="15.75" customHeight="1">
      <c r="A611" s="45"/>
      <c r="B611" s="45"/>
      <c r="C611" s="45"/>
      <c r="D611" s="45"/>
      <c r="E611" s="45"/>
      <c r="F611" s="45"/>
      <c r="G611" s="45"/>
      <c r="H611" s="45"/>
      <c r="I611" s="45"/>
      <c r="J611" s="45"/>
      <c r="K611" s="45"/>
      <c r="L611" s="45"/>
      <c r="M611" s="45"/>
    </row>
    <row r="612" ht="15.75" customHeight="1">
      <c r="A612" s="45"/>
      <c r="B612" s="45"/>
      <c r="C612" s="45"/>
      <c r="D612" s="45"/>
      <c r="E612" s="45"/>
      <c r="F612" s="45"/>
      <c r="G612" s="45"/>
      <c r="H612" s="45"/>
      <c r="I612" s="45"/>
      <c r="J612" s="45"/>
      <c r="K612" s="45"/>
      <c r="L612" s="45"/>
      <c r="M612" s="45"/>
    </row>
    <row r="613" ht="15.75" customHeight="1">
      <c r="A613" s="45"/>
      <c r="B613" s="45"/>
      <c r="C613" s="45"/>
      <c r="D613" s="45"/>
      <c r="E613" s="45"/>
      <c r="F613" s="45"/>
      <c r="G613" s="45"/>
      <c r="H613" s="45"/>
      <c r="I613" s="45"/>
      <c r="J613" s="45"/>
      <c r="K613" s="45"/>
      <c r="L613" s="45"/>
      <c r="M613" s="45"/>
    </row>
    <row r="614" ht="15.75" customHeight="1">
      <c r="A614" s="45"/>
      <c r="B614" s="45"/>
      <c r="C614" s="45"/>
      <c r="D614" s="45"/>
      <c r="E614" s="45"/>
      <c r="F614" s="45"/>
      <c r="G614" s="45"/>
      <c r="H614" s="45"/>
      <c r="I614" s="45"/>
      <c r="J614" s="45"/>
      <c r="K614" s="45"/>
      <c r="L614" s="45"/>
      <c r="M614" s="45"/>
    </row>
    <row r="615" ht="15.75" customHeight="1">
      <c r="A615" s="45"/>
      <c r="B615" s="45"/>
      <c r="C615" s="45"/>
      <c r="D615" s="45"/>
      <c r="E615" s="45"/>
      <c r="F615" s="45"/>
      <c r="G615" s="45"/>
      <c r="H615" s="45"/>
      <c r="I615" s="45"/>
      <c r="J615" s="45"/>
      <c r="K615" s="45"/>
      <c r="L615" s="45"/>
      <c r="M615" s="45"/>
    </row>
    <row r="616" ht="15.75" customHeight="1">
      <c r="A616" s="45"/>
      <c r="B616" s="45"/>
      <c r="C616" s="45"/>
      <c r="D616" s="45"/>
      <c r="E616" s="45"/>
      <c r="F616" s="45"/>
      <c r="G616" s="45"/>
      <c r="H616" s="45"/>
      <c r="I616" s="45"/>
      <c r="J616" s="45"/>
      <c r="K616" s="45"/>
      <c r="L616" s="45"/>
      <c r="M616" s="45"/>
    </row>
    <row r="617" ht="15.75" customHeight="1">
      <c r="A617" s="45"/>
      <c r="B617" s="45"/>
      <c r="C617" s="45"/>
      <c r="D617" s="45"/>
      <c r="E617" s="45"/>
      <c r="F617" s="45"/>
      <c r="G617" s="45"/>
      <c r="H617" s="45"/>
      <c r="I617" s="45"/>
      <c r="J617" s="45"/>
      <c r="K617" s="45"/>
      <c r="L617" s="45"/>
      <c r="M617" s="45"/>
    </row>
    <row r="618" ht="15.75" customHeight="1">
      <c r="A618" s="45"/>
      <c r="B618" s="45"/>
      <c r="C618" s="45"/>
      <c r="D618" s="45"/>
      <c r="E618" s="45"/>
      <c r="F618" s="45"/>
      <c r="G618" s="45"/>
      <c r="H618" s="45"/>
      <c r="I618" s="45"/>
      <c r="J618" s="45"/>
      <c r="K618" s="45"/>
      <c r="L618" s="45"/>
      <c r="M618" s="45"/>
    </row>
    <row r="619" ht="15.75" customHeight="1">
      <c r="A619" s="45"/>
      <c r="B619" s="45"/>
      <c r="C619" s="45"/>
      <c r="D619" s="45"/>
      <c r="E619" s="45"/>
      <c r="F619" s="45"/>
      <c r="G619" s="45"/>
      <c r="H619" s="45"/>
      <c r="I619" s="45"/>
      <c r="J619" s="45"/>
      <c r="K619" s="45"/>
      <c r="L619" s="45"/>
      <c r="M619" s="45"/>
    </row>
    <row r="620" ht="15.75" customHeight="1">
      <c r="A620" s="45"/>
      <c r="B620" s="45"/>
      <c r="C620" s="45"/>
      <c r="D620" s="45"/>
      <c r="E620" s="45"/>
      <c r="F620" s="45"/>
      <c r="G620" s="45"/>
      <c r="H620" s="45"/>
      <c r="I620" s="45"/>
      <c r="J620" s="45"/>
      <c r="K620" s="45"/>
      <c r="L620" s="45"/>
      <c r="M620" s="45"/>
    </row>
    <row r="621" ht="15.75" customHeight="1">
      <c r="A621" s="45"/>
      <c r="B621" s="45"/>
      <c r="C621" s="45"/>
      <c r="D621" s="45"/>
      <c r="E621" s="45"/>
      <c r="F621" s="45"/>
      <c r="G621" s="45"/>
      <c r="H621" s="45"/>
      <c r="I621" s="45"/>
      <c r="J621" s="45"/>
      <c r="K621" s="45"/>
      <c r="L621" s="45"/>
      <c r="M621" s="45"/>
    </row>
    <row r="622" ht="15.75" customHeight="1">
      <c r="A622" s="45"/>
      <c r="B622" s="45"/>
      <c r="C622" s="45"/>
      <c r="D622" s="45"/>
      <c r="E622" s="45"/>
      <c r="F622" s="45"/>
      <c r="G622" s="45"/>
      <c r="H622" s="45"/>
      <c r="I622" s="45"/>
      <c r="J622" s="45"/>
      <c r="K622" s="45"/>
      <c r="L622" s="45"/>
      <c r="M622" s="45"/>
    </row>
    <row r="623" ht="15.75" customHeight="1">
      <c r="A623" s="45"/>
      <c r="B623" s="45"/>
      <c r="C623" s="45"/>
      <c r="D623" s="45"/>
      <c r="E623" s="45"/>
      <c r="F623" s="45"/>
      <c r="G623" s="45"/>
      <c r="H623" s="45"/>
      <c r="I623" s="45"/>
      <c r="J623" s="45"/>
      <c r="K623" s="45"/>
      <c r="L623" s="45"/>
      <c r="M623" s="45"/>
    </row>
    <row r="624" ht="15.75" customHeight="1">
      <c r="A624" s="45"/>
      <c r="B624" s="45"/>
      <c r="C624" s="45"/>
      <c r="D624" s="45"/>
      <c r="E624" s="45"/>
      <c r="F624" s="45"/>
      <c r="G624" s="45"/>
      <c r="H624" s="45"/>
      <c r="I624" s="45"/>
      <c r="J624" s="45"/>
      <c r="K624" s="45"/>
      <c r="L624" s="45"/>
      <c r="M624" s="45"/>
    </row>
    <row r="625" ht="15.75" customHeight="1">
      <c r="A625" s="45"/>
      <c r="B625" s="45"/>
      <c r="C625" s="45"/>
      <c r="D625" s="45"/>
      <c r="E625" s="45"/>
      <c r="F625" s="45"/>
      <c r="G625" s="45"/>
      <c r="H625" s="45"/>
      <c r="I625" s="45"/>
      <c r="J625" s="45"/>
      <c r="K625" s="45"/>
      <c r="L625" s="45"/>
      <c r="M625" s="45"/>
    </row>
    <row r="626" ht="15.75" customHeight="1">
      <c r="A626" s="45"/>
      <c r="B626" s="45"/>
      <c r="C626" s="45"/>
      <c r="D626" s="45"/>
      <c r="E626" s="45"/>
      <c r="F626" s="45"/>
      <c r="G626" s="45"/>
      <c r="H626" s="45"/>
      <c r="I626" s="45"/>
      <c r="J626" s="45"/>
      <c r="K626" s="45"/>
      <c r="L626" s="45"/>
      <c r="M626" s="45"/>
    </row>
    <row r="627" ht="15.75" customHeight="1">
      <c r="A627" s="45"/>
      <c r="B627" s="45"/>
      <c r="C627" s="45"/>
      <c r="D627" s="45"/>
      <c r="E627" s="45"/>
      <c r="F627" s="45"/>
      <c r="G627" s="45"/>
      <c r="H627" s="45"/>
      <c r="I627" s="45"/>
      <c r="J627" s="45"/>
      <c r="K627" s="45"/>
      <c r="L627" s="45"/>
      <c r="M627" s="45"/>
    </row>
    <row r="628" ht="15.75" customHeight="1">
      <c r="A628" s="45"/>
      <c r="B628" s="45"/>
      <c r="C628" s="45"/>
      <c r="D628" s="45"/>
      <c r="E628" s="45"/>
      <c r="F628" s="45"/>
      <c r="G628" s="45"/>
      <c r="H628" s="45"/>
      <c r="I628" s="45"/>
      <c r="J628" s="45"/>
      <c r="K628" s="45"/>
      <c r="L628" s="45"/>
      <c r="M628" s="45"/>
    </row>
    <row r="629" ht="15.75" customHeight="1">
      <c r="A629" s="45"/>
      <c r="B629" s="45"/>
      <c r="C629" s="45"/>
      <c r="D629" s="45"/>
      <c r="E629" s="45"/>
      <c r="F629" s="45"/>
      <c r="G629" s="45"/>
      <c r="H629" s="45"/>
      <c r="I629" s="45"/>
      <c r="J629" s="45"/>
      <c r="K629" s="45"/>
      <c r="L629" s="45"/>
      <c r="M629" s="45"/>
    </row>
    <row r="630" ht="15.75" customHeight="1">
      <c r="A630" s="45"/>
      <c r="B630" s="45"/>
      <c r="C630" s="45"/>
      <c r="D630" s="45"/>
      <c r="E630" s="45"/>
      <c r="F630" s="45"/>
      <c r="G630" s="45"/>
      <c r="H630" s="45"/>
      <c r="I630" s="45"/>
      <c r="J630" s="45"/>
      <c r="K630" s="45"/>
      <c r="L630" s="45"/>
      <c r="M630" s="45"/>
    </row>
    <row r="631" ht="15.75" customHeight="1">
      <c r="A631" s="45"/>
      <c r="B631" s="45"/>
      <c r="C631" s="45"/>
      <c r="D631" s="45"/>
      <c r="E631" s="45"/>
      <c r="F631" s="45"/>
      <c r="G631" s="45"/>
      <c r="H631" s="45"/>
      <c r="I631" s="45"/>
      <c r="J631" s="45"/>
      <c r="K631" s="45"/>
      <c r="L631" s="45"/>
      <c r="M631" s="45"/>
    </row>
    <row r="632" ht="15.75" customHeight="1">
      <c r="A632" s="45"/>
      <c r="B632" s="45"/>
      <c r="C632" s="45"/>
      <c r="D632" s="45"/>
      <c r="E632" s="45"/>
      <c r="F632" s="45"/>
      <c r="G632" s="45"/>
      <c r="H632" s="45"/>
      <c r="I632" s="45"/>
      <c r="J632" s="45"/>
      <c r="K632" s="45"/>
      <c r="L632" s="45"/>
      <c r="M632" s="45"/>
    </row>
    <row r="633" ht="15.75" customHeight="1">
      <c r="A633" s="45"/>
      <c r="B633" s="45"/>
      <c r="C633" s="45"/>
      <c r="D633" s="45"/>
      <c r="E633" s="45"/>
      <c r="F633" s="45"/>
      <c r="G633" s="45"/>
      <c r="H633" s="45"/>
      <c r="I633" s="45"/>
      <c r="J633" s="45"/>
      <c r="K633" s="45"/>
      <c r="L633" s="45"/>
      <c r="M633" s="45"/>
    </row>
    <row r="634" ht="15.75" customHeight="1">
      <c r="A634" s="45"/>
      <c r="B634" s="45"/>
      <c r="C634" s="45"/>
      <c r="D634" s="45"/>
      <c r="E634" s="45"/>
      <c r="F634" s="45"/>
      <c r="G634" s="45"/>
      <c r="H634" s="45"/>
      <c r="I634" s="45"/>
      <c r="J634" s="45"/>
      <c r="K634" s="45"/>
      <c r="L634" s="45"/>
      <c r="M634" s="45"/>
    </row>
    <row r="635" ht="15.75" customHeight="1">
      <c r="A635" s="45"/>
      <c r="B635" s="45"/>
      <c r="C635" s="45"/>
      <c r="D635" s="45"/>
      <c r="E635" s="45"/>
      <c r="F635" s="45"/>
      <c r="G635" s="45"/>
      <c r="H635" s="45"/>
      <c r="I635" s="45"/>
      <c r="J635" s="45"/>
      <c r="K635" s="45"/>
      <c r="L635" s="45"/>
      <c r="M635" s="45"/>
    </row>
    <row r="636" ht="15.75" customHeight="1">
      <c r="A636" s="45"/>
      <c r="B636" s="45"/>
      <c r="C636" s="45"/>
      <c r="D636" s="45"/>
      <c r="E636" s="45"/>
      <c r="F636" s="45"/>
      <c r="G636" s="45"/>
      <c r="H636" s="45"/>
      <c r="I636" s="45"/>
      <c r="J636" s="45"/>
      <c r="K636" s="45"/>
      <c r="L636" s="45"/>
      <c r="M636" s="45"/>
    </row>
    <row r="637" ht="15.75" customHeight="1">
      <c r="A637" s="45"/>
      <c r="B637" s="45"/>
      <c r="C637" s="45"/>
      <c r="D637" s="45"/>
      <c r="E637" s="45"/>
      <c r="F637" s="45"/>
      <c r="G637" s="45"/>
      <c r="H637" s="45"/>
      <c r="I637" s="45"/>
      <c r="J637" s="45"/>
      <c r="K637" s="45"/>
      <c r="L637" s="45"/>
      <c r="M637" s="45"/>
    </row>
    <row r="638" ht="15.75" customHeight="1">
      <c r="A638" s="45"/>
      <c r="B638" s="45"/>
      <c r="C638" s="45"/>
      <c r="D638" s="45"/>
      <c r="E638" s="45"/>
      <c r="F638" s="45"/>
      <c r="G638" s="45"/>
      <c r="H638" s="45"/>
      <c r="I638" s="45"/>
      <c r="J638" s="45"/>
      <c r="K638" s="45"/>
      <c r="L638" s="45"/>
      <c r="M638" s="45"/>
    </row>
    <row r="639" ht="15.75" customHeight="1">
      <c r="A639" s="45"/>
      <c r="B639" s="45"/>
      <c r="C639" s="45"/>
      <c r="D639" s="45"/>
      <c r="E639" s="45"/>
      <c r="F639" s="45"/>
      <c r="G639" s="45"/>
      <c r="H639" s="45"/>
      <c r="I639" s="45"/>
      <c r="J639" s="45"/>
      <c r="K639" s="45"/>
      <c r="L639" s="45"/>
      <c r="M639" s="45"/>
    </row>
    <row r="640" ht="15.75" customHeight="1">
      <c r="A640" s="45"/>
      <c r="B640" s="45"/>
      <c r="C640" s="45"/>
      <c r="D640" s="45"/>
      <c r="E640" s="45"/>
      <c r="F640" s="45"/>
      <c r="G640" s="45"/>
      <c r="H640" s="45"/>
      <c r="I640" s="45"/>
      <c r="J640" s="45"/>
      <c r="K640" s="45"/>
      <c r="L640" s="45"/>
      <c r="M640" s="45"/>
    </row>
    <row r="641" ht="15.75" customHeight="1">
      <c r="A641" s="45"/>
      <c r="B641" s="45"/>
      <c r="C641" s="45"/>
      <c r="D641" s="45"/>
      <c r="E641" s="45"/>
      <c r="F641" s="45"/>
      <c r="G641" s="45"/>
      <c r="H641" s="45"/>
      <c r="I641" s="45"/>
      <c r="J641" s="45"/>
      <c r="K641" s="45"/>
      <c r="L641" s="45"/>
      <c r="M641" s="45"/>
    </row>
    <row r="642" ht="15.75" customHeight="1">
      <c r="A642" s="45"/>
      <c r="B642" s="45"/>
      <c r="C642" s="45"/>
      <c r="D642" s="45"/>
      <c r="E642" s="45"/>
      <c r="F642" s="45"/>
      <c r="G642" s="45"/>
      <c r="H642" s="45"/>
      <c r="I642" s="45"/>
      <c r="J642" s="45"/>
      <c r="K642" s="45"/>
      <c r="L642" s="45"/>
      <c r="M642" s="45"/>
    </row>
    <row r="643" ht="15.75" customHeight="1">
      <c r="A643" s="45"/>
      <c r="B643" s="45"/>
      <c r="C643" s="45"/>
      <c r="D643" s="45"/>
      <c r="E643" s="45"/>
      <c r="F643" s="45"/>
      <c r="G643" s="45"/>
      <c r="H643" s="45"/>
      <c r="I643" s="45"/>
      <c r="J643" s="45"/>
      <c r="K643" s="45"/>
      <c r="L643" s="45"/>
      <c r="M643" s="45"/>
    </row>
    <row r="644" ht="15.75" customHeight="1">
      <c r="A644" s="45"/>
      <c r="B644" s="45"/>
      <c r="C644" s="45"/>
      <c r="D644" s="45"/>
      <c r="E644" s="45"/>
      <c r="F644" s="45"/>
      <c r="G644" s="45"/>
      <c r="H644" s="45"/>
      <c r="I644" s="45"/>
      <c r="J644" s="45"/>
      <c r="K644" s="45"/>
      <c r="L644" s="45"/>
      <c r="M644" s="45"/>
    </row>
    <row r="645" ht="15.75" customHeight="1">
      <c r="A645" s="45"/>
      <c r="B645" s="45"/>
      <c r="C645" s="45"/>
      <c r="D645" s="45"/>
      <c r="E645" s="45"/>
      <c r="F645" s="45"/>
      <c r="G645" s="45"/>
      <c r="H645" s="45"/>
      <c r="I645" s="45"/>
      <c r="J645" s="45"/>
      <c r="K645" s="45"/>
      <c r="L645" s="45"/>
      <c r="M645" s="45"/>
    </row>
    <row r="646" ht="15.75" customHeight="1">
      <c r="A646" s="45"/>
      <c r="B646" s="45"/>
      <c r="C646" s="45"/>
      <c r="D646" s="45"/>
      <c r="E646" s="45"/>
      <c r="F646" s="45"/>
      <c r="G646" s="45"/>
      <c r="H646" s="45"/>
      <c r="I646" s="45"/>
      <c r="J646" s="45"/>
      <c r="K646" s="45"/>
      <c r="L646" s="45"/>
      <c r="M646" s="45"/>
    </row>
    <row r="647" ht="15.75" customHeight="1">
      <c r="A647" s="45"/>
      <c r="B647" s="45"/>
      <c r="C647" s="45"/>
      <c r="D647" s="45"/>
      <c r="E647" s="45"/>
      <c r="F647" s="45"/>
      <c r="G647" s="45"/>
      <c r="H647" s="45"/>
      <c r="I647" s="45"/>
      <c r="J647" s="45"/>
      <c r="K647" s="45"/>
      <c r="L647" s="45"/>
      <c r="M647" s="45"/>
    </row>
    <row r="648" ht="15.75" customHeight="1">
      <c r="A648" s="45"/>
      <c r="B648" s="45"/>
      <c r="C648" s="45"/>
      <c r="D648" s="45"/>
      <c r="E648" s="45"/>
      <c r="F648" s="45"/>
      <c r="G648" s="45"/>
      <c r="H648" s="45"/>
      <c r="I648" s="45"/>
      <c r="J648" s="45"/>
      <c r="K648" s="45"/>
      <c r="L648" s="45"/>
      <c r="M648" s="45"/>
    </row>
    <row r="649" ht="15.75" customHeight="1">
      <c r="A649" s="45"/>
      <c r="B649" s="45"/>
      <c r="C649" s="45"/>
      <c r="D649" s="45"/>
      <c r="E649" s="45"/>
      <c r="F649" s="45"/>
      <c r="G649" s="45"/>
      <c r="H649" s="45"/>
      <c r="I649" s="45"/>
      <c r="J649" s="45"/>
      <c r="K649" s="45"/>
      <c r="L649" s="45"/>
      <c r="M649" s="45"/>
    </row>
    <row r="650" ht="15.75" customHeight="1">
      <c r="A650" s="45"/>
      <c r="B650" s="45"/>
      <c r="C650" s="45"/>
      <c r="D650" s="45"/>
      <c r="E650" s="45"/>
      <c r="F650" s="45"/>
      <c r="G650" s="45"/>
      <c r="H650" s="45"/>
      <c r="I650" s="45"/>
      <c r="J650" s="45"/>
      <c r="K650" s="45"/>
      <c r="L650" s="45"/>
      <c r="M650" s="45"/>
    </row>
    <row r="651" ht="15.75" customHeight="1">
      <c r="A651" s="45"/>
      <c r="B651" s="45"/>
      <c r="C651" s="45"/>
      <c r="D651" s="45"/>
      <c r="E651" s="45"/>
      <c r="F651" s="45"/>
      <c r="G651" s="45"/>
      <c r="H651" s="45"/>
      <c r="I651" s="45"/>
      <c r="J651" s="45"/>
      <c r="K651" s="45"/>
      <c r="L651" s="45"/>
      <c r="M651" s="45"/>
    </row>
    <row r="652" ht="15.75" customHeight="1">
      <c r="A652" s="45"/>
      <c r="B652" s="45"/>
      <c r="C652" s="45"/>
      <c r="D652" s="45"/>
      <c r="E652" s="45"/>
      <c r="F652" s="45"/>
      <c r="G652" s="45"/>
      <c r="H652" s="45"/>
      <c r="I652" s="45"/>
      <c r="J652" s="45"/>
      <c r="K652" s="45"/>
      <c r="L652" s="45"/>
      <c r="M652" s="45"/>
    </row>
    <row r="653" ht="15.75" customHeight="1">
      <c r="A653" s="45"/>
      <c r="B653" s="45"/>
      <c r="C653" s="45"/>
      <c r="D653" s="45"/>
      <c r="E653" s="45"/>
      <c r="F653" s="45"/>
      <c r="G653" s="45"/>
      <c r="H653" s="45"/>
      <c r="I653" s="45"/>
      <c r="J653" s="45"/>
      <c r="K653" s="45"/>
      <c r="L653" s="45"/>
      <c r="M653" s="45"/>
    </row>
    <row r="654" ht="15.75" customHeight="1">
      <c r="A654" s="45"/>
      <c r="B654" s="45"/>
      <c r="C654" s="45"/>
      <c r="D654" s="45"/>
      <c r="E654" s="45"/>
      <c r="F654" s="45"/>
      <c r="G654" s="45"/>
      <c r="H654" s="45"/>
      <c r="I654" s="45"/>
      <c r="J654" s="45"/>
      <c r="K654" s="45"/>
      <c r="L654" s="45"/>
      <c r="M654" s="45"/>
    </row>
    <row r="655" ht="15.75" customHeight="1">
      <c r="A655" s="45"/>
      <c r="B655" s="45"/>
      <c r="C655" s="45"/>
      <c r="D655" s="45"/>
      <c r="E655" s="45"/>
      <c r="F655" s="45"/>
      <c r="G655" s="45"/>
      <c r="H655" s="45"/>
      <c r="I655" s="45"/>
      <c r="J655" s="45"/>
      <c r="K655" s="45"/>
      <c r="L655" s="45"/>
      <c r="M655" s="45"/>
    </row>
    <row r="656" ht="15.75" customHeight="1">
      <c r="A656" s="45"/>
      <c r="B656" s="45"/>
      <c r="C656" s="45"/>
      <c r="D656" s="45"/>
      <c r="E656" s="45"/>
      <c r="F656" s="45"/>
      <c r="G656" s="45"/>
      <c r="H656" s="45"/>
      <c r="I656" s="45"/>
      <c r="J656" s="45"/>
      <c r="K656" s="45"/>
      <c r="L656" s="45"/>
      <c r="M656" s="45"/>
    </row>
    <row r="657" ht="15.75" customHeight="1">
      <c r="A657" s="45"/>
      <c r="B657" s="45"/>
      <c r="C657" s="45"/>
      <c r="D657" s="45"/>
      <c r="E657" s="45"/>
      <c r="F657" s="45"/>
      <c r="G657" s="45"/>
      <c r="H657" s="45"/>
      <c r="I657" s="45"/>
      <c r="J657" s="45"/>
      <c r="K657" s="45"/>
      <c r="L657" s="45"/>
      <c r="M657" s="45"/>
    </row>
    <row r="658" ht="15.75" customHeight="1">
      <c r="A658" s="45"/>
      <c r="B658" s="45"/>
      <c r="C658" s="45"/>
      <c r="D658" s="45"/>
      <c r="E658" s="45"/>
      <c r="F658" s="45"/>
      <c r="G658" s="45"/>
      <c r="H658" s="45"/>
      <c r="I658" s="45"/>
      <c r="J658" s="45"/>
      <c r="K658" s="45"/>
      <c r="L658" s="45"/>
      <c r="M658" s="45"/>
    </row>
    <row r="659" ht="15.75" customHeight="1">
      <c r="A659" s="45"/>
      <c r="B659" s="45"/>
      <c r="C659" s="45"/>
      <c r="D659" s="45"/>
      <c r="E659" s="45"/>
      <c r="F659" s="45"/>
      <c r="G659" s="45"/>
      <c r="H659" s="45"/>
      <c r="I659" s="45"/>
      <c r="J659" s="45"/>
      <c r="K659" s="45"/>
      <c r="L659" s="45"/>
      <c r="M659" s="45"/>
    </row>
    <row r="660" ht="15.75" customHeight="1">
      <c r="A660" s="45"/>
      <c r="B660" s="45"/>
      <c r="C660" s="45"/>
      <c r="D660" s="45"/>
      <c r="E660" s="45"/>
      <c r="F660" s="45"/>
      <c r="G660" s="45"/>
      <c r="H660" s="45"/>
      <c r="I660" s="45"/>
      <c r="J660" s="45"/>
      <c r="K660" s="45"/>
      <c r="L660" s="45"/>
      <c r="M660" s="45"/>
    </row>
    <row r="661" ht="15.75" customHeight="1">
      <c r="A661" s="45"/>
      <c r="B661" s="45"/>
      <c r="C661" s="45"/>
      <c r="D661" s="45"/>
      <c r="E661" s="45"/>
      <c r="F661" s="45"/>
      <c r="G661" s="45"/>
      <c r="H661" s="45"/>
      <c r="I661" s="45"/>
      <c r="J661" s="45"/>
      <c r="K661" s="45"/>
      <c r="L661" s="45"/>
      <c r="M661" s="45"/>
    </row>
    <row r="662" ht="15.75" customHeight="1">
      <c r="A662" s="45"/>
      <c r="B662" s="45"/>
      <c r="C662" s="45"/>
      <c r="D662" s="45"/>
      <c r="E662" s="45"/>
      <c r="F662" s="45"/>
      <c r="G662" s="45"/>
      <c r="H662" s="45"/>
      <c r="I662" s="45"/>
      <c r="J662" s="45"/>
      <c r="K662" s="45"/>
      <c r="L662" s="45"/>
      <c r="M662" s="45"/>
    </row>
    <row r="663" ht="15.75" customHeight="1">
      <c r="A663" s="45"/>
      <c r="B663" s="45"/>
      <c r="C663" s="45"/>
      <c r="D663" s="45"/>
      <c r="E663" s="45"/>
      <c r="F663" s="45"/>
      <c r="G663" s="45"/>
      <c r="H663" s="45"/>
      <c r="I663" s="45"/>
      <c r="J663" s="45"/>
      <c r="K663" s="45"/>
      <c r="L663" s="45"/>
      <c r="M663" s="45"/>
    </row>
    <row r="664" ht="15.75" customHeight="1">
      <c r="A664" s="45"/>
      <c r="B664" s="45"/>
      <c r="C664" s="45"/>
      <c r="D664" s="45"/>
      <c r="E664" s="45"/>
      <c r="F664" s="45"/>
      <c r="G664" s="45"/>
      <c r="H664" s="45"/>
      <c r="I664" s="45"/>
      <c r="J664" s="45"/>
      <c r="K664" s="45"/>
      <c r="L664" s="45"/>
      <c r="M664" s="45"/>
    </row>
    <row r="665" ht="15.75" customHeight="1">
      <c r="A665" s="45"/>
      <c r="B665" s="45"/>
      <c r="C665" s="45"/>
      <c r="D665" s="45"/>
      <c r="E665" s="45"/>
      <c r="F665" s="45"/>
      <c r="G665" s="45"/>
      <c r="H665" s="45"/>
      <c r="I665" s="45"/>
      <c r="J665" s="45"/>
      <c r="K665" s="45"/>
      <c r="L665" s="45"/>
      <c r="M665" s="45"/>
    </row>
    <row r="666" ht="15.75" customHeight="1">
      <c r="A666" s="45"/>
      <c r="B666" s="45"/>
      <c r="C666" s="45"/>
      <c r="D666" s="45"/>
      <c r="E666" s="45"/>
      <c r="F666" s="45"/>
      <c r="G666" s="45"/>
      <c r="H666" s="45"/>
      <c r="I666" s="45"/>
      <c r="J666" s="45"/>
      <c r="K666" s="45"/>
      <c r="L666" s="45"/>
      <c r="M666" s="45"/>
    </row>
    <row r="667" ht="15.75" customHeight="1">
      <c r="A667" s="45"/>
      <c r="B667" s="45"/>
      <c r="C667" s="45"/>
      <c r="D667" s="45"/>
      <c r="E667" s="45"/>
      <c r="F667" s="45"/>
      <c r="G667" s="45"/>
      <c r="H667" s="45"/>
      <c r="I667" s="45"/>
      <c r="J667" s="45"/>
      <c r="K667" s="45"/>
      <c r="L667" s="45"/>
      <c r="M667" s="45"/>
    </row>
    <row r="668" ht="15.75" customHeight="1">
      <c r="A668" s="45"/>
      <c r="B668" s="45"/>
      <c r="C668" s="45"/>
      <c r="D668" s="45"/>
      <c r="E668" s="45"/>
      <c r="F668" s="45"/>
      <c r="G668" s="45"/>
      <c r="H668" s="45"/>
      <c r="I668" s="45"/>
      <c r="J668" s="45"/>
      <c r="K668" s="45"/>
      <c r="L668" s="45"/>
      <c r="M668" s="45"/>
    </row>
    <row r="669" ht="15.75" customHeight="1">
      <c r="A669" s="45"/>
      <c r="B669" s="45"/>
      <c r="C669" s="45"/>
      <c r="D669" s="45"/>
      <c r="E669" s="45"/>
      <c r="F669" s="45"/>
      <c r="G669" s="45"/>
      <c r="H669" s="45"/>
      <c r="I669" s="45"/>
      <c r="J669" s="45"/>
      <c r="K669" s="45"/>
      <c r="L669" s="45"/>
      <c r="M669" s="45"/>
    </row>
    <row r="670" ht="15.75" customHeight="1">
      <c r="A670" s="45"/>
      <c r="B670" s="45"/>
      <c r="C670" s="45"/>
      <c r="D670" s="45"/>
      <c r="E670" s="45"/>
      <c r="F670" s="45"/>
      <c r="G670" s="45"/>
      <c r="H670" s="45"/>
      <c r="I670" s="45"/>
      <c r="J670" s="45"/>
      <c r="K670" s="45"/>
      <c r="L670" s="45"/>
      <c r="M670" s="45"/>
    </row>
    <row r="671" ht="15.75" customHeight="1">
      <c r="A671" s="45"/>
      <c r="B671" s="45"/>
      <c r="C671" s="45"/>
      <c r="D671" s="45"/>
      <c r="E671" s="45"/>
      <c r="F671" s="45"/>
      <c r="G671" s="45"/>
      <c r="H671" s="45"/>
      <c r="I671" s="45"/>
      <c r="J671" s="45"/>
      <c r="K671" s="45"/>
      <c r="L671" s="45"/>
      <c r="M671" s="45"/>
    </row>
    <row r="672" ht="15.75" customHeight="1">
      <c r="A672" s="45"/>
      <c r="B672" s="45"/>
      <c r="C672" s="45"/>
      <c r="D672" s="45"/>
      <c r="E672" s="45"/>
      <c r="F672" s="45"/>
      <c r="G672" s="45"/>
      <c r="H672" s="45"/>
      <c r="I672" s="45"/>
      <c r="J672" s="45"/>
      <c r="K672" s="45"/>
      <c r="L672" s="45"/>
      <c r="M672" s="45"/>
    </row>
    <row r="673" ht="15.75" customHeight="1">
      <c r="A673" s="45"/>
      <c r="B673" s="45"/>
      <c r="C673" s="45"/>
      <c r="D673" s="45"/>
      <c r="E673" s="45"/>
      <c r="F673" s="45"/>
      <c r="G673" s="45"/>
      <c r="H673" s="45"/>
      <c r="I673" s="45"/>
      <c r="J673" s="45"/>
      <c r="K673" s="45"/>
      <c r="L673" s="45"/>
      <c r="M673" s="45"/>
    </row>
    <row r="674" ht="15.75" customHeight="1">
      <c r="A674" s="45"/>
      <c r="B674" s="45"/>
      <c r="C674" s="45"/>
      <c r="D674" s="45"/>
      <c r="E674" s="45"/>
      <c r="F674" s="45"/>
      <c r="G674" s="45"/>
      <c r="H674" s="45"/>
      <c r="I674" s="45"/>
      <c r="J674" s="45"/>
      <c r="K674" s="45"/>
      <c r="L674" s="45"/>
      <c r="M674" s="45"/>
    </row>
    <row r="675" ht="15.75" customHeight="1">
      <c r="A675" s="45"/>
      <c r="B675" s="45"/>
      <c r="C675" s="45"/>
      <c r="D675" s="45"/>
      <c r="E675" s="45"/>
      <c r="F675" s="45"/>
      <c r="G675" s="45"/>
      <c r="H675" s="45"/>
      <c r="I675" s="45"/>
      <c r="J675" s="45"/>
      <c r="K675" s="45"/>
      <c r="L675" s="45"/>
      <c r="M675" s="45"/>
    </row>
    <row r="676" ht="15.75" customHeight="1">
      <c r="A676" s="45"/>
      <c r="B676" s="45"/>
      <c r="C676" s="45"/>
      <c r="D676" s="45"/>
      <c r="E676" s="45"/>
      <c r="F676" s="45"/>
      <c r="G676" s="45"/>
      <c r="H676" s="45"/>
      <c r="I676" s="45"/>
      <c r="J676" s="45"/>
      <c r="K676" s="45"/>
      <c r="L676" s="45"/>
      <c r="M676" s="45"/>
    </row>
    <row r="677" ht="15.75" customHeight="1">
      <c r="A677" s="45"/>
      <c r="B677" s="45"/>
      <c r="C677" s="45"/>
      <c r="D677" s="45"/>
      <c r="E677" s="45"/>
      <c r="F677" s="45"/>
      <c r="G677" s="45"/>
      <c r="H677" s="45"/>
      <c r="I677" s="45"/>
      <c r="J677" s="45"/>
      <c r="K677" s="45"/>
      <c r="L677" s="45"/>
      <c r="M677" s="45"/>
    </row>
    <row r="678" ht="15.75" customHeight="1">
      <c r="A678" s="45"/>
      <c r="B678" s="45"/>
      <c r="C678" s="45"/>
      <c r="D678" s="45"/>
      <c r="E678" s="45"/>
      <c r="F678" s="45"/>
      <c r="G678" s="45"/>
      <c r="H678" s="45"/>
      <c r="I678" s="45"/>
      <c r="J678" s="45"/>
      <c r="K678" s="45"/>
      <c r="L678" s="45"/>
      <c r="M678" s="45"/>
    </row>
    <row r="679" ht="15.75" customHeight="1">
      <c r="A679" s="45"/>
      <c r="B679" s="45"/>
      <c r="C679" s="45"/>
      <c r="D679" s="45"/>
      <c r="E679" s="45"/>
      <c r="F679" s="45"/>
      <c r="G679" s="45"/>
      <c r="H679" s="45"/>
      <c r="I679" s="45"/>
      <c r="J679" s="45"/>
      <c r="K679" s="45"/>
      <c r="L679" s="45"/>
      <c r="M679" s="45"/>
    </row>
    <row r="680" ht="15.75" customHeight="1">
      <c r="A680" s="45"/>
      <c r="B680" s="45"/>
      <c r="C680" s="45"/>
      <c r="D680" s="45"/>
      <c r="E680" s="45"/>
      <c r="F680" s="45"/>
      <c r="G680" s="45"/>
      <c r="H680" s="45"/>
      <c r="I680" s="45"/>
      <c r="J680" s="45"/>
      <c r="K680" s="45"/>
      <c r="L680" s="45"/>
      <c r="M680" s="45"/>
    </row>
    <row r="681" ht="15.75" customHeight="1">
      <c r="A681" s="45"/>
      <c r="B681" s="45"/>
      <c r="C681" s="45"/>
      <c r="D681" s="45"/>
      <c r="E681" s="45"/>
      <c r="F681" s="45"/>
      <c r="G681" s="45"/>
      <c r="H681" s="45"/>
      <c r="I681" s="45"/>
      <c r="J681" s="45"/>
      <c r="K681" s="45"/>
      <c r="L681" s="45"/>
      <c r="M681" s="45"/>
    </row>
    <row r="682" ht="15.75" customHeight="1">
      <c r="A682" s="45"/>
      <c r="B682" s="45"/>
      <c r="C682" s="45"/>
      <c r="D682" s="45"/>
      <c r="E682" s="45"/>
      <c r="F682" s="45"/>
      <c r="G682" s="45"/>
      <c r="H682" s="45"/>
      <c r="I682" s="45"/>
      <c r="J682" s="45"/>
      <c r="K682" s="45"/>
      <c r="L682" s="45"/>
      <c r="M682" s="45"/>
    </row>
    <row r="683" ht="15.75" customHeight="1">
      <c r="A683" s="45"/>
      <c r="B683" s="45"/>
      <c r="C683" s="45"/>
      <c r="D683" s="45"/>
      <c r="E683" s="45"/>
      <c r="F683" s="45"/>
      <c r="G683" s="45"/>
      <c r="H683" s="45"/>
      <c r="I683" s="45"/>
      <c r="J683" s="45"/>
      <c r="K683" s="45"/>
      <c r="L683" s="45"/>
      <c r="M683" s="45"/>
    </row>
    <row r="684" ht="15.75" customHeight="1">
      <c r="A684" s="45"/>
      <c r="B684" s="45"/>
      <c r="C684" s="45"/>
      <c r="D684" s="45"/>
      <c r="E684" s="45"/>
      <c r="F684" s="45"/>
      <c r="G684" s="45"/>
      <c r="H684" s="45"/>
      <c r="I684" s="45"/>
      <c r="J684" s="45"/>
      <c r="K684" s="45"/>
      <c r="L684" s="45"/>
      <c r="M684" s="45"/>
    </row>
    <row r="685" ht="15.75" customHeight="1">
      <c r="A685" s="45"/>
      <c r="B685" s="45"/>
      <c r="C685" s="45"/>
      <c r="D685" s="45"/>
      <c r="E685" s="45"/>
      <c r="F685" s="45"/>
      <c r="G685" s="45"/>
      <c r="H685" s="45"/>
      <c r="I685" s="45"/>
      <c r="J685" s="45"/>
      <c r="K685" s="45"/>
      <c r="L685" s="45"/>
      <c r="M685" s="45"/>
    </row>
    <row r="686" ht="15.75" customHeight="1">
      <c r="A686" s="45"/>
      <c r="B686" s="45"/>
      <c r="C686" s="45"/>
      <c r="D686" s="45"/>
      <c r="E686" s="45"/>
      <c r="F686" s="45"/>
      <c r="G686" s="45"/>
      <c r="H686" s="45"/>
      <c r="I686" s="45"/>
      <c r="J686" s="45"/>
      <c r="K686" s="45"/>
      <c r="L686" s="45"/>
      <c r="M686" s="45"/>
    </row>
    <row r="687" ht="15.75" customHeight="1">
      <c r="A687" s="45"/>
      <c r="B687" s="45"/>
      <c r="C687" s="45"/>
      <c r="D687" s="45"/>
      <c r="E687" s="45"/>
      <c r="F687" s="45"/>
      <c r="G687" s="45"/>
      <c r="H687" s="45"/>
      <c r="I687" s="45"/>
      <c r="J687" s="45"/>
      <c r="K687" s="45"/>
      <c r="L687" s="45"/>
      <c r="M687" s="45"/>
    </row>
    <row r="688" ht="15.75" customHeight="1">
      <c r="A688" s="45"/>
      <c r="B688" s="45"/>
      <c r="C688" s="45"/>
      <c r="D688" s="45"/>
      <c r="E688" s="45"/>
      <c r="F688" s="45"/>
      <c r="G688" s="45"/>
      <c r="H688" s="45"/>
      <c r="I688" s="45"/>
      <c r="J688" s="45"/>
      <c r="K688" s="45"/>
      <c r="L688" s="45"/>
      <c r="M688" s="45"/>
    </row>
    <row r="689" ht="15.75" customHeight="1">
      <c r="A689" s="45"/>
      <c r="B689" s="45"/>
      <c r="C689" s="45"/>
      <c r="D689" s="45"/>
      <c r="E689" s="45"/>
      <c r="F689" s="45"/>
      <c r="G689" s="45"/>
      <c r="H689" s="45"/>
      <c r="I689" s="45"/>
      <c r="J689" s="45"/>
      <c r="K689" s="45"/>
      <c r="L689" s="45"/>
      <c r="M689" s="45"/>
    </row>
    <row r="690" ht="15.75" customHeight="1">
      <c r="A690" s="45"/>
      <c r="B690" s="45"/>
      <c r="C690" s="45"/>
      <c r="D690" s="45"/>
      <c r="E690" s="45"/>
      <c r="F690" s="45"/>
      <c r="G690" s="45"/>
      <c r="H690" s="45"/>
      <c r="I690" s="45"/>
      <c r="J690" s="45"/>
      <c r="K690" s="45"/>
      <c r="L690" s="45"/>
      <c r="M690" s="45"/>
    </row>
    <row r="691" ht="15.75" customHeight="1">
      <c r="A691" s="45"/>
      <c r="B691" s="45"/>
      <c r="C691" s="45"/>
      <c r="D691" s="45"/>
      <c r="E691" s="45"/>
      <c r="F691" s="45"/>
      <c r="G691" s="45"/>
      <c r="H691" s="45"/>
      <c r="I691" s="45"/>
      <c r="J691" s="45"/>
      <c r="K691" s="45"/>
      <c r="L691" s="45"/>
      <c r="M691" s="45"/>
    </row>
    <row r="692" ht="15.75" customHeight="1">
      <c r="A692" s="45"/>
      <c r="B692" s="45"/>
      <c r="C692" s="45"/>
      <c r="D692" s="45"/>
      <c r="E692" s="45"/>
      <c r="F692" s="45"/>
      <c r="G692" s="45"/>
      <c r="H692" s="45"/>
      <c r="I692" s="45"/>
      <c r="J692" s="45"/>
      <c r="K692" s="45"/>
      <c r="L692" s="45"/>
      <c r="M692" s="45"/>
    </row>
    <row r="693" ht="15.75" customHeight="1">
      <c r="A693" s="45"/>
      <c r="B693" s="45"/>
      <c r="C693" s="45"/>
      <c r="D693" s="45"/>
      <c r="E693" s="45"/>
      <c r="F693" s="45"/>
      <c r="G693" s="45"/>
      <c r="H693" s="45"/>
      <c r="I693" s="45"/>
      <c r="J693" s="45"/>
      <c r="K693" s="45"/>
      <c r="L693" s="45"/>
      <c r="M693" s="45"/>
    </row>
    <row r="694" ht="15.75" customHeight="1">
      <c r="A694" s="45"/>
      <c r="B694" s="45"/>
      <c r="C694" s="45"/>
      <c r="D694" s="45"/>
      <c r="E694" s="45"/>
      <c r="F694" s="45"/>
      <c r="G694" s="45"/>
      <c r="H694" s="45"/>
      <c r="I694" s="45"/>
      <c r="J694" s="45"/>
      <c r="K694" s="45"/>
      <c r="L694" s="45"/>
      <c r="M694" s="45"/>
    </row>
    <row r="695" ht="15.75" customHeight="1">
      <c r="A695" s="45"/>
      <c r="B695" s="45"/>
      <c r="C695" s="45"/>
      <c r="D695" s="45"/>
      <c r="E695" s="45"/>
      <c r="F695" s="45"/>
      <c r="G695" s="45"/>
      <c r="H695" s="45"/>
      <c r="I695" s="45"/>
      <c r="J695" s="45"/>
      <c r="K695" s="45"/>
      <c r="L695" s="45"/>
      <c r="M695" s="45"/>
    </row>
    <row r="696" ht="15.75" customHeight="1">
      <c r="A696" s="45"/>
      <c r="B696" s="45"/>
      <c r="C696" s="45"/>
      <c r="D696" s="45"/>
      <c r="E696" s="45"/>
      <c r="F696" s="45"/>
      <c r="G696" s="45"/>
      <c r="H696" s="45"/>
      <c r="I696" s="45"/>
      <c r="J696" s="45"/>
      <c r="K696" s="45"/>
      <c r="L696" s="45"/>
      <c r="M696" s="45"/>
    </row>
    <row r="697" ht="15.75" customHeight="1">
      <c r="A697" s="45"/>
      <c r="B697" s="45"/>
      <c r="C697" s="45"/>
      <c r="D697" s="45"/>
      <c r="E697" s="45"/>
      <c r="F697" s="45"/>
      <c r="G697" s="45"/>
      <c r="H697" s="45"/>
      <c r="I697" s="45"/>
      <c r="J697" s="45"/>
      <c r="K697" s="45"/>
      <c r="L697" s="45"/>
      <c r="M697" s="45"/>
    </row>
    <row r="698" ht="15.75" customHeight="1">
      <c r="A698" s="45"/>
      <c r="B698" s="45"/>
      <c r="C698" s="45"/>
      <c r="D698" s="45"/>
      <c r="E698" s="45"/>
      <c r="F698" s="45"/>
      <c r="G698" s="45"/>
      <c r="H698" s="45"/>
      <c r="I698" s="45"/>
      <c r="J698" s="45"/>
      <c r="K698" s="45"/>
      <c r="L698" s="45"/>
      <c r="M698" s="45"/>
    </row>
    <row r="699" ht="15.75" customHeight="1">
      <c r="A699" s="45"/>
      <c r="B699" s="45"/>
      <c r="C699" s="45"/>
      <c r="D699" s="45"/>
      <c r="E699" s="45"/>
      <c r="F699" s="45"/>
      <c r="G699" s="45"/>
      <c r="H699" s="45"/>
      <c r="I699" s="45"/>
      <c r="J699" s="45"/>
      <c r="K699" s="45"/>
      <c r="L699" s="45"/>
      <c r="M699" s="45"/>
    </row>
    <row r="700" ht="15.75" customHeight="1">
      <c r="A700" s="45"/>
      <c r="B700" s="45"/>
      <c r="C700" s="45"/>
      <c r="D700" s="45"/>
      <c r="E700" s="45"/>
      <c r="F700" s="45"/>
      <c r="G700" s="45"/>
      <c r="H700" s="45"/>
      <c r="I700" s="45"/>
      <c r="J700" s="45"/>
      <c r="K700" s="45"/>
      <c r="L700" s="45"/>
      <c r="M700" s="45"/>
    </row>
    <row r="701" ht="15.75" customHeight="1">
      <c r="A701" s="45"/>
      <c r="B701" s="45"/>
      <c r="C701" s="45"/>
      <c r="D701" s="45"/>
      <c r="E701" s="45"/>
      <c r="F701" s="45"/>
      <c r="G701" s="45"/>
      <c r="H701" s="45"/>
      <c r="I701" s="45"/>
      <c r="J701" s="45"/>
      <c r="K701" s="45"/>
      <c r="L701" s="45"/>
      <c r="M701" s="45"/>
    </row>
    <row r="702" ht="15.75" customHeight="1">
      <c r="A702" s="45"/>
      <c r="B702" s="45"/>
      <c r="C702" s="45"/>
      <c r="D702" s="45"/>
      <c r="E702" s="45"/>
      <c r="F702" s="45"/>
      <c r="G702" s="45"/>
      <c r="H702" s="45"/>
      <c r="I702" s="45"/>
      <c r="J702" s="45"/>
      <c r="K702" s="45"/>
      <c r="L702" s="45"/>
      <c r="M702" s="45"/>
    </row>
    <row r="703" ht="15.75" customHeight="1">
      <c r="A703" s="45"/>
      <c r="B703" s="45"/>
      <c r="C703" s="45"/>
      <c r="D703" s="45"/>
      <c r="E703" s="45"/>
      <c r="F703" s="45"/>
      <c r="G703" s="45"/>
      <c r="H703" s="45"/>
      <c r="I703" s="45"/>
      <c r="J703" s="45"/>
      <c r="K703" s="45"/>
      <c r="L703" s="45"/>
      <c r="M703" s="45"/>
    </row>
    <row r="704" ht="15.75" customHeight="1">
      <c r="A704" s="45"/>
      <c r="B704" s="45"/>
      <c r="C704" s="45"/>
      <c r="D704" s="45"/>
      <c r="E704" s="45"/>
      <c r="F704" s="45"/>
      <c r="G704" s="45"/>
      <c r="H704" s="45"/>
      <c r="I704" s="45"/>
      <c r="J704" s="45"/>
      <c r="K704" s="45"/>
      <c r="L704" s="45"/>
      <c r="M704" s="45"/>
    </row>
    <row r="705" ht="15.75" customHeight="1">
      <c r="A705" s="45"/>
      <c r="B705" s="45"/>
      <c r="C705" s="45"/>
      <c r="D705" s="45"/>
      <c r="E705" s="45"/>
      <c r="F705" s="45"/>
      <c r="G705" s="45"/>
      <c r="H705" s="45"/>
      <c r="I705" s="45"/>
      <c r="J705" s="45"/>
      <c r="K705" s="45"/>
      <c r="L705" s="45"/>
      <c r="M705" s="45"/>
    </row>
    <row r="706" ht="15.75" customHeight="1">
      <c r="A706" s="45"/>
      <c r="B706" s="45"/>
      <c r="C706" s="45"/>
      <c r="D706" s="45"/>
      <c r="E706" s="45"/>
      <c r="F706" s="45"/>
      <c r="G706" s="45"/>
      <c r="H706" s="45"/>
      <c r="I706" s="45"/>
      <c r="J706" s="45"/>
      <c r="K706" s="45"/>
      <c r="L706" s="45"/>
      <c r="M706" s="45"/>
    </row>
    <row r="707" ht="15.75" customHeight="1">
      <c r="A707" s="45"/>
      <c r="B707" s="45"/>
      <c r="C707" s="45"/>
      <c r="D707" s="45"/>
      <c r="E707" s="45"/>
      <c r="F707" s="45"/>
      <c r="G707" s="45"/>
      <c r="H707" s="45"/>
      <c r="I707" s="45"/>
      <c r="J707" s="45"/>
      <c r="K707" s="45"/>
      <c r="L707" s="45"/>
      <c r="M707" s="45"/>
    </row>
    <row r="708" ht="15.75" customHeight="1">
      <c r="A708" s="45"/>
      <c r="B708" s="45"/>
      <c r="C708" s="45"/>
      <c r="D708" s="45"/>
      <c r="E708" s="45"/>
      <c r="F708" s="45"/>
      <c r="G708" s="45"/>
      <c r="H708" s="45"/>
      <c r="I708" s="45"/>
      <c r="J708" s="45"/>
      <c r="K708" s="45"/>
      <c r="L708" s="45"/>
      <c r="M708" s="45"/>
    </row>
    <row r="709" ht="15.75" customHeight="1">
      <c r="A709" s="45"/>
      <c r="B709" s="45"/>
      <c r="C709" s="45"/>
      <c r="D709" s="45"/>
      <c r="E709" s="45"/>
      <c r="F709" s="45"/>
      <c r="G709" s="45"/>
      <c r="H709" s="45"/>
      <c r="I709" s="45"/>
      <c r="J709" s="45"/>
      <c r="K709" s="45"/>
      <c r="L709" s="45"/>
      <c r="M709" s="45"/>
    </row>
    <row r="710" ht="15.75" customHeight="1">
      <c r="A710" s="45"/>
      <c r="B710" s="45"/>
      <c r="C710" s="45"/>
      <c r="D710" s="45"/>
      <c r="E710" s="45"/>
      <c r="F710" s="45"/>
      <c r="G710" s="45"/>
      <c r="H710" s="45"/>
      <c r="I710" s="45"/>
      <c r="J710" s="45"/>
      <c r="K710" s="45"/>
      <c r="L710" s="45"/>
      <c r="M710" s="45"/>
    </row>
    <row r="711" ht="15.75" customHeight="1">
      <c r="A711" s="45"/>
      <c r="B711" s="45"/>
      <c r="C711" s="45"/>
      <c r="D711" s="45"/>
      <c r="E711" s="45"/>
      <c r="F711" s="45"/>
      <c r="G711" s="45"/>
      <c r="H711" s="45"/>
      <c r="I711" s="45"/>
      <c r="J711" s="45"/>
      <c r="K711" s="45"/>
      <c r="L711" s="45"/>
      <c r="M711" s="45"/>
    </row>
    <row r="712" ht="15.75" customHeight="1">
      <c r="A712" s="45"/>
      <c r="B712" s="45"/>
      <c r="C712" s="45"/>
      <c r="D712" s="45"/>
      <c r="E712" s="45"/>
      <c r="F712" s="45"/>
      <c r="G712" s="45"/>
      <c r="H712" s="45"/>
      <c r="I712" s="45"/>
      <c r="J712" s="45"/>
      <c r="K712" s="45"/>
      <c r="L712" s="45"/>
      <c r="M712" s="45"/>
    </row>
    <row r="713" ht="15.75" customHeight="1">
      <c r="A713" s="45"/>
      <c r="B713" s="45"/>
      <c r="C713" s="45"/>
      <c r="D713" s="45"/>
      <c r="E713" s="45"/>
      <c r="F713" s="45"/>
      <c r="G713" s="45"/>
      <c r="H713" s="45"/>
      <c r="I713" s="45"/>
      <c r="J713" s="45"/>
      <c r="K713" s="45"/>
      <c r="L713" s="45"/>
      <c r="M713" s="45"/>
    </row>
    <row r="714" ht="15.75" customHeight="1">
      <c r="A714" s="45"/>
      <c r="B714" s="45"/>
      <c r="C714" s="45"/>
      <c r="D714" s="45"/>
      <c r="E714" s="45"/>
      <c r="F714" s="45"/>
      <c r="G714" s="45"/>
      <c r="H714" s="45"/>
      <c r="I714" s="45"/>
      <c r="J714" s="45"/>
      <c r="K714" s="45"/>
      <c r="L714" s="45"/>
      <c r="M714" s="45"/>
    </row>
    <row r="715" ht="15.75" customHeight="1">
      <c r="A715" s="45"/>
      <c r="B715" s="45"/>
      <c r="C715" s="45"/>
      <c r="D715" s="45"/>
      <c r="E715" s="45"/>
      <c r="F715" s="45"/>
      <c r="G715" s="45"/>
      <c r="H715" s="45"/>
      <c r="I715" s="45"/>
      <c r="J715" s="45"/>
      <c r="K715" s="45"/>
      <c r="L715" s="45"/>
      <c r="M715" s="45"/>
    </row>
    <row r="716" ht="15.75" customHeight="1">
      <c r="A716" s="45"/>
      <c r="B716" s="45"/>
      <c r="C716" s="45"/>
      <c r="D716" s="45"/>
      <c r="E716" s="45"/>
      <c r="F716" s="45"/>
      <c r="G716" s="45"/>
      <c r="H716" s="45"/>
      <c r="I716" s="45"/>
      <c r="J716" s="45"/>
      <c r="K716" s="45"/>
      <c r="L716" s="45"/>
      <c r="M716" s="45"/>
    </row>
    <row r="717" ht="15.75" customHeight="1">
      <c r="A717" s="45"/>
      <c r="B717" s="45"/>
      <c r="C717" s="45"/>
      <c r="D717" s="45"/>
      <c r="E717" s="45"/>
      <c r="F717" s="45"/>
      <c r="G717" s="45"/>
      <c r="H717" s="45"/>
      <c r="I717" s="45"/>
      <c r="J717" s="45"/>
      <c r="K717" s="45"/>
      <c r="L717" s="45"/>
      <c r="M717" s="45"/>
    </row>
    <row r="718" ht="15.75" customHeight="1">
      <c r="A718" s="45"/>
      <c r="B718" s="45"/>
      <c r="C718" s="45"/>
      <c r="D718" s="45"/>
      <c r="E718" s="45"/>
      <c r="F718" s="45"/>
      <c r="G718" s="45"/>
      <c r="H718" s="45"/>
      <c r="I718" s="45"/>
      <c r="J718" s="45"/>
      <c r="K718" s="45"/>
      <c r="L718" s="45"/>
      <c r="M718" s="45"/>
    </row>
    <row r="719" ht="15.75" customHeight="1">
      <c r="A719" s="45"/>
      <c r="B719" s="45"/>
      <c r="C719" s="45"/>
      <c r="D719" s="45"/>
      <c r="E719" s="45"/>
      <c r="F719" s="45"/>
      <c r="G719" s="45"/>
      <c r="H719" s="45"/>
      <c r="I719" s="45"/>
      <c r="J719" s="45"/>
      <c r="K719" s="45"/>
      <c r="L719" s="45"/>
      <c r="M719" s="45"/>
    </row>
    <row r="720" ht="15.75" customHeight="1">
      <c r="A720" s="45"/>
      <c r="B720" s="45"/>
      <c r="C720" s="45"/>
      <c r="D720" s="45"/>
      <c r="E720" s="45"/>
      <c r="F720" s="45"/>
      <c r="G720" s="45"/>
      <c r="H720" s="45"/>
      <c r="I720" s="45"/>
      <c r="J720" s="45"/>
      <c r="K720" s="45"/>
      <c r="L720" s="45"/>
      <c r="M720" s="45"/>
    </row>
    <row r="721" ht="15.75" customHeight="1">
      <c r="A721" s="45"/>
      <c r="B721" s="45"/>
      <c r="C721" s="45"/>
      <c r="D721" s="45"/>
      <c r="E721" s="45"/>
      <c r="F721" s="45"/>
      <c r="G721" s="45"/>
      <c r="H721" s="45"/>
      <c r="I721" s="45"/>
      <c r="J721" s="45"/>
      <c r="K721" s="45"/>
      <c r="L721" s="45"/>
      <c r="M721" s="45"/>
    </row>
    <row r="722" ht="15.75" customHeight="1">
      <c r="A722" s="45"/>
      <c r="B722" s="45"/>
      <c r="C722" s="45"/>
      <c r="D722" s="45"/>
      <c r="E722" s="45"/>
      <c r="F722" s="45"/>
      <c r="G722" s="45"/>
      <c r="H722" s="45"/>
      <c r="I722" s="45"/>
      <c r="J722" s="45"/>
      <c r="K722" s="45"/>
      <c r="L722" s="45"/>
      <c r="M722" s="45"/>
    </row>
    <row r="723" ht="15.75" customHeight="1">
      <c r="A723" s="45"/>
      <c r="B723" s="45"/>
      <c r="C723" s="45"/>
      <c r="D723" s="45"/>
      <c r="E723" s="45"/>
      <c r="F723" s="45"/>
      <c r="G723" s="45"/>
      <c r="H723" s="45"/>
      <c r="I723" s="45"/>
      <c r="J723" s="45"/>
      <c r="K723" s="45"/>
      <c r="L723" s="45"/>
      <c r="M723" s="45"/>
    </row>
    <row r="724" ht="15.75" customHeight="1">
      <c r="A724" s="45"/>
      <c r="B724" s="45"/>
      <c r="C724" s="45"/>
      <c r="D724" s="45"/>
      <c r="E724" s="45"/>
      <c r="F724" s="45"/>
      <c r="G724" s="45"/>
      <c r="H724" s="45"/>
      <c r="I724" s="45"/>
      <c r="J724" s="45"/>
      <c r="K724" s="45"/>
      <c r="L724" s="45"/>
      <c r="M724" s="45"/>
    </row>
    <row r="725" ht="15.75" customHeight="1">
      <c r="A725" s="45"/>
      <c r="B725" s="45"/>
      <c r="C725" s="45"/>
      <c r="D725" s="45"/>
      <c r="E725" s="45"/>
      <c r="F725" s="45"/>
      <c r="G725" s="45"/>
      <c r="H725" s="45"/>
      <c r="I725" s="45"/>
      <c r="J725" s="45"/>
      <c r="K725" s="45"/>
      <c r="L725" s="45"/>
      <c r="M725" s="45"/>
    </row>
    <row r="726" ht="15.75" customHeight="1">
      <c r="A726" s="45"/>
      <c r="B726" s="45"/>
      <c r="C726" s="45"/>
      <c r="D726" s="45"/>
      <c r="E726" s="45"/>
      <c r="F726" s="45"/>
      <c r="G726" s="45"/>
      <c r="H726" s="45"/>
      <c r="I726" s="45"/>
      <c r="J726" s="45"/>
      <c r="K726" s="45"/>
      <c r="L726" s="45"/>
      <c r="M726" s="45"/>
    </row>
    <row r="727" ht="15.75" customHeight="1">
      <c r="A727" s="45"/>
      <c r="B727" s="45"/>
      <c r="C727" s="45"/>
      <c r="D727" s="45"/>
      <c r="E727" s="45"/>
      <c r="F727" s="45"/>
      <c r="G727" s="45"/>
      <c r="H727" s="45"/>
      <c r="I727" s="45"/>
      <c r="J727" s="45"/>
      <c r="K727" s="45"/>
      <c r="L727" s="45"/>
      <c r="M727" s="45"/>
    </row>
    <row r="728" ht="15.75" customHeight="1">
      <c r="A728" s="45"/>
      <c r="B728" s="45"/>
      <c r="C728" s="45"/>
      <c r="D728" s="45"/>
      <c r="E728" s="45"/>
      <c r="F728" s="45"/>
      <c r="G728" s="45"/>
      <c r="H728" s="45"/>
      <c r="I728" s="45"/>
      <c r="J728" s="45"/>
      <c r="K728" s="45"/>
      <c r="L728" s="45"/>
      <c r="M728" s="45"/>
    </row>
    <row r="729" ht="15.75" customHeight="1">
      <c r="A729" s="45"/>
      <c r="B729" s="45"/>
      <c r="C729" s="45"/>
      <c r="D729" s="45"/>
      <c r="E729" s="45"/>
      <c r="F729" s="45"/>
      <c r="G729" s="45"/>
      <c r="H729" s="45"/>
      <c r="I729" s="45"/>
      <c r="J729" s="45"/>
      <c r="K729" s="45"/>
      <c r="L729" s="45"/>
      <c r="M729" s="45"/>
    </row>
    <row r="730" ht="15.75" customHeight="1">
      <c r="A730" s="45"/>
      <c r="B730" s="45"/>
      <c r="C730" s="45"/>
      <c r="D730" s="45"/>
      <c r="E730" s="45"/>
      <c r="F730" s="45"/>
      <c r="G730" s="45"/>
      <c r="H730" s="45"/>
      <c r="I730" s="45"/>
      <c r="J730" s="45"/>
      <c r="K730" s="45"/>
      <c r="L730" s="45"/>
      <c r="M730" s="45"/>
    </row>
    <row r="731" ht="15.75" customHeight="1">
      <c r="A731" s="45"/>
      <c r="B731" s="45"/>
      <c r="C731" s="45"/>
      <c r="D731" s="45"/>
      <c r="E731" s="45"/>
      <c r="F731" s="45"/>
      <c r="G731" s="45"/>
      <c r="H731" s="45"/>
      <c r="I731" s="45"/>
      <c r="J731" s="45"/>
      <c r="K731" s="45"/>
      <c r="L731" s="45"/>
      <c r="M731" s="45"/>
    </row>
    <row r="732" ht="15.75" customHeight="1">
      <c r="A732" s="45"/>
      <c r="B732" s="45"/>
      <c r="C732" s="45"/>
      <c r="D732" s="45"/>
      <c r="E732" s="45"/>
      <c r="F732" s="45"/>
      <c r="G732" s="45"/>
      <c r="H732" s="45"/>
      <c r="I732" s="45"/>
      <c r="J732" s="45"/>
      <c r="K732" s="45"/>
      <c r="L732" s="45"/>
      <c r="M732" s="45"/>
    </row>
    <row r="733" ht="15.75" customHeight="1">
      <c r="A733" s="45"/>
      <c r="B733" s="45"/>
      <c r="C733" s="45"/>
      <c r="D733" s="45"/>
      <c r="E733" s="45"/>
      <c r="F733" s="45"/>
      <c r="G733" s="45"/>
      <c r="H733" s="45"/>
      <c r="I733" s="45"/>
      <c r="J733" s="45"/>
      <c r="K733" s="45"/>
      <c r="L733" s="45"/>
      <c r="M733" s="45"/>
    </row>
    <row r="734" ht="15.75" customHeight="1">
      <c r="A734" s="45"/>
      <c r="B734" s="45"/>
      <c r="C734" s="45"/>
      <c r="D734" s="45"/>
      <c r="E734" s="45"/>
      <c r="F734" s="45"/>
      <c r="G734" s="45"/>
      <c r="H734" s="45"/>
      <c r="I734" s="45"/>
      <c r="J734" s="45"/>
      <c r="K734" s="45"/>
      <c r="L734" s="45"/>
      <c r="M734" s="45"/>
    </row>
    <row r="735" ht="15.75" customHeight="1">
      <c r="A735" s="45"/>
      <c r="B735" s="45"/>
      <c r="C735" s="45"/>
      <c r="D735" s="45"/>
      <c r="E735" s="45"/>
      <c r="F735" s="45"/>
      <c r="G735" s="45"/>
      <c r="H735" s="45"/>
      <c r="I735" s="45"/>
      <c r="J735" s="45"/>
      <c r="K735" s="45"/>
      <c r="L735" s="45"/>
      <c r="M735" s="45"/>
    </row>
    <row r="736" ht="15.75" customHeight="1">
      <c r="A736" s="45"/>
      <c r="B736" s="45"/>
      <c r="C736" s="45"/>
      <c r="D736" s="45"/>
      <c r="E736" s="45"/>
      <c r="F736" s="45"/>
      <c r="G736" s="45"/>
      <c r="H736" s="45"/>
      <c r="I736" s="45"/>
      <c r="J736" s="45"/>
      <c r="K736" s="45"/>
      <c r="L736" s="45"/>
      <c r="M736" s="45"/>
    </row>
    <row r="737" ht="15.75" customHeight="1">
      <c r="A737" s="45"/>
      <c r="B737" s="45"/>
      <c r="C737" s="45"/>
      <c r="D737" s="45"/>
      <c r="E737" s="45"/>
      <c r="F737" s="45"/>
      <c r="G737" s="45"/>
      <c r="H737" s="45"/>
      <c r="I737" s="45"/>
      <c r="J737" s="45"/>
      <c r="K737" s="45"/>
      <c r="L737" s="45"/>
      <c r="M737" s="45"/>
    </row>
    <row r="738" ht="15.75" customHeight="1">
      <c r="A738" s="45"/>
      <c r="B738" s="45"/>
      <c r="C738" s="45"/>
      <c r="D738" s="45"/>
      <c r="E738" s="45"/>
      <c r="F738" s="45"/>
      <c r="G738" s="45"/>
      <c r="H738" s="45"/>
      <c r="I738" s="45"/>
      <c r="J738" s="45"/>
      <c r="K738" s="45"/>
      <c r="L738" s="45"/>
      <c r="M738" s="45"/>
    </row>
    <row r="739" ht="15.75" customHeight="1">
      <c r="A739" s="45"/>
      <c r="B739" s="45"/>
      <c r="C739" s="45"/>
      <c r="D739" s="45"/>
      <c r="E739" s="45"/>
      <c r="F739" s="45"/>
      <c r="G739" s="45"/>
      <c r="H739" s="45"/>
      <c r="I739" s="45"/>
      <c r="J739" s="45"/>
      <c r="K739" s="45"/>
      <c r="L739" s="45"/>
      <c r="M739" s="45"/>
    </row>
    <row r="740" ht="15.75" customHeight="1">
      <c r="A740" s="45"/>
      <c r="B740" s="45"/>
      <c r="C740" s="45"/>
      <c r="D740" s="45"/>
      <c r="E740" s="45"/>
      <c r="F740" s="45"/>
      <c r="G740" s="45"/>
      <c r="H740" s="45"/>
      <c r="I740" s="45"/>
      <c r="J740" s="45"/>
      <c r="K740" s="45"/>
      <c r="L740" s="45"/>
      <c r="M740" s="45"/>
    </row>
    <row r="741" ht="15.75" customHeight="1">
      <c r="A741" s="45"/>
      <c r="B741" s="45"/>
      <c r="C741" s="45"/>
      <c r="D741" s="45"/>
      <c r="E741" s="45"/>
      <c r="F741" s="45"/>
      <c r="G741" s="45"/>
      <c r="H741" s="45"/>
      <c r="I741" s="45"/>
      <c r="J741" s="45"/>
      <c r="K741" s="45"/>
      <c r="L741" s="45"/>
      <c r="M741" s="45"/>
    </row>
    <row r="742" ht="15.75" customHeight="1">
      <c r="A742" s="45"/>
      <c r="B742" s="45"/>
      <c r="C742" s="45"/>
      <c r="D742" s="45"/>
      <c r="E742" s="45"/>
      <c r="F742" s="45"/>
      <c r="G742" s="45"/>
      <c r="H742" s="45"/>
      <c r="I742" s="45"/>
      <c r="J742" s="45"/>
      <c r="K742" s="45"/>
      <c r="L742" s="45"/>
      <c r="M742" s="45"/>
    </row>
    <row r="743" ht="15.75" customHeight="1">
      <c r="A743" s="45"/>
      <c r="B743" s="45"/>
      <c r="C743" s="45"/>
      <c r="D743" s="45"/>
      <c r="E743" s="45"/>
      <c r="F743" s="45"/>
      <c r="G743" s="45"/>
      <c r="H743" s="45"/>
      <c r="I743" s="45"/>
      <c r="J743" s="45"/>
      <c r="K743" s="45"/>
      <c r="L743" s="45"/>
      <c r="M743" s="45"/>
    </row>
    <row r="744" ht="15.75" customHeight="1">
      <c r="A744" s="45"/>
      <c r="B744" s="45"/>
      <c r="C744" s="45"/>
      <c r="D744" s="45"/>
      <c r="E744" s="45"/>
      <c r="F744" s="45"/>
      <c r="G744" s="45"/>
      <c r="H744" s="45"/>
      <c r="I744" s="45"/>
      <c r="J744" s="45"/>
      <c r="K744" s="45"/>
      <c r="L744" s="45"/>
      <c r="M744" s="45"/>
    </row>
    <row r="745" ht="15.75" customHeight="1">
      <c r="A745" s="45"/>
      <c r="B745" s="45"/>
      <c r="C745" s="45"/>
      <c r="D745" s="45"/>
      <c r="E745" s="45"/>
      <c r="F745" s="45"/>
      <c r="G745" s="45"/>
      <c r="H745" s="45"/>
      <c r="I745" s="45"/>
      <c r="J745" s="45"/>
      <c r="K745" s="45"/>
      <c r="L745" s="45"/>
      <c r="M745" s="45"/>
    </row>
    <row r="746" ht="15.75" customHeight="1">
      <c r="A746" s="45"/>
      <c r="B746" s="45"/>
      <c r="C746" s="45"/>
      <c r="D746" s="45"/>
      <c r="E746" s="45"/>
      <c r="F746" s="45"/>
      <c r="G746" s="45"/>
      <c r="H746" s="45"/>
      <c r="I746" s="45"/>
      <c r="J746" s="45"/>
      <c r="K746" s="45"/>
      <c r="L746" s="45"/>
      <c r="M746" s="45"/>
    </row>
    <row r="747" ht="15.75" customHeight="1">
      <c r="A747" s="45"/>
      <c r="B747" s="45"/>
      <c r="C747" s="45"/>
      <c r="D747" s="45"/>
      <c r="E747" s="45"/>
      <c r="F747" s="45"/>
      <c r="G747" s="45"/>
      <c r="H747" s="45"/>
      <c r="I747" s="45"/>
      <c r="J747" s="45"/>
      <c r="K747" s="45"/>
      <c r="L747" s="45"/>
      <c r="M747" s="45"/>
    </row>
    <row r="748" ht="15.75" customHeight="1">
      <c r="A748" s="45"/>
      <c r="B748" s="45"/>
      <c r="C748" s="45"/>
      <c r="D748" s="45"/>
      <c r="E748" s="45"/>
      <c r="F748" s="45"/>
      <c r="G748" s="45"/>
      <c r="H748" s="45"/>
      <c r="I748" s="45"/>
      <c r="J748" s="45"/>
      <c r="K748" s="45"/>
      <c r="L748" s="45"/>
      <c r="M748" s="45"/>
    </row>
    <row r="749" ht="15.75" customHeight="1">
      <c r="A749" s="45"/>
      <c r="B749" s="45"/>
      <c r="C749" s="45"/>
      <c r="D749" s="45"/>
      <c r="E749" s="45"/>
      <c r="F749" s="45"/>
      <c r="G749" s="45"/>
      <c r="H749" s="45"/>
      <c r="I749" s="45"/>
      <c r="J749" s="45"/>
      <c r="K749" s="45"/>
      <c r="L749" s="45"/>
      <c r="M749" s="45"/>
    </row>
    <row r="750" ht="15.75" customHeight="1">
      <c r="A750" s="45"/>
      <c r="B750" s="45"/>
      <c r="C750" s="45"/>
      <c r="D750" s="45"/>
      <c r="E750" s="45"/>
      <c r="F750" s="45"/>
      <c r="G750" s="45"/>
      <c r="H750" s="45"/>
      <c r="I750" s="45"/>
      <c r="J750" s="45"/>
      <c r="K750" s="45"/>
      <c r="L750" s="45"/>
      <c r="M750" s="45"/>
    </row>
    <row r="751" ht="15.75" customHeight="1">
      <c r="A751" s="45"/>
      <c r="B751" s="45"/>
      <c r="C751" s="45"/>
      <c r="D751" s="45"/>
      <c r="E751" s="45"/>
      <c r="F751" s="45"/>
      <c r="G751" s="45"/>
      <c r="H751" s="45"/>
      <c r="I751" s="45"/>
      <c r="J751" s="45"/>
      <c r="K751" s="45"/>
      <c r="L751" s="45"/>
      <c r="M751" s="45"/>
    </row>
    <row r="752" ht="15.75" customHeight="1">
      <c r="A752" s="45"/>
      <c r="B752" s="45"/>
      <c r="C752" s="45"/>
      <c r="D752" s="45"/>
      <c r="E752" s="45"/>
      <c r="F752" s="45"/>
      <c r="G752" s="45"/>
      <c r="H752" s="45"/>
      <c r="I752" s="45"/>
      <c r="J752" s="45"/>
      <c r="K752" s="45"/>
      <c r="L752" s="45"/>
      <c r="M752" s="45"/>
    </row>
    <row r="753" ht="15.75" customHeight="1">
      <c r="A753" s="45"/>
      <c r="B753" s="45"/>
      <c r="C753" s="45"/>
      <c r="D753" s="45"/>
      <c r="E753" s="45"/>
      <c r="F753" s="45"/>
      <c r="G753" s="45"/>
      <c r="H753" s="45"/>
      <c r="I753" s="45"/>
      <c r="J753" s="45"/>
      <c r="K753" s="45"/>
      <c r="L753" s="45"/>
      <c r="M753" s="45"/>
    </row>
    <row r="754" ht="15.75" customHeight="1">
      <c r="A754" s="45"/>
      <c r="B754" s="45"/>
      <c r="C754" s="45"/>
      <c r="D754" s="45"/>
      <c r="E754" s="45"/>
      <c r="F754" s="45"/>
      <c r="G754" s="45"/>
      <c r="H754" s="45"/>
      <c r="I754" s="45"/>
      <c r="J754" s="45"/>
      <c r="K754" s="45"/>
      <c r="L754" s="45"/>
      <c r="M754" s="45"/>
    </row>
    <row r="755" ht="15.75" customHeight="1">
      <c r="A755" s="45"/>
      <c r="B755" s="45"/>
      <c r="C755" s="45"/>
      <c r="D755" s="45"/>
      <c r="E755" s="45"/>
      <c r="F755" s="45"/>
      <c r="G755" s="45"/>
      <c r="H755" s="45"/>
      <c r="I755" s="45"/>
      <c r="J755" s="45"/>
      <c r="K755" s="45"/>
      <c r="L755" s="45"/>
      <c r="M755" s="45"/>
    </row>
    <row r="756" ht="15.75" customHeight="1">
      <c r="A756" s="45"/>
      <c r="B756" s="45"/>
      <c r="C756" s="45"/>
      <c r="D756" s="45"/>
      <c r="E756" s="45"/>
      <c r="F756" s="45"/>
      <c r="G756" s="45"/>
      <c r="H756" s="45"/>
      <c r="I756" s="45"/>
      <c r="J756" s="45"/>
      <c r="K756" s="45"/>
      <c r="L756" s="45"/>
      <c r="M756" s="45"/>
    </row>
    <row r="757" ht="15.75" customHeight="1">
      <c r="A757" s="45"/>
      <c r="B757" s="45"/>
      <c r="C757" s="45"/>
      <c r="D757" s="45"/>
      <c r="E757" s="45"/>
      <c r="F757" s="45"/>
      <c r="G757" s="45"/>
      <c r="H757" s="45"/>
      <c r="I757" s="45"/>
      <c r="J757" s="45"/>
      <c r="K757" s="45"/>
      <c r="L757" s="45"/>
      <c r="M757" s="45"/>
    </row>
    <row r="758" ht="15.75" customHeight="1">
      <c r="A758" s="45"/>
      <c r="B758" s="45"/>
      <c r="C758" s="45"/>
      <c r="D758" s="45"/>
      <c r="E758" s="45"/>
      <c r="F758" s="45"/>
      <c r="G758" s="45"/>
      <c r="H758" s="45"/>
      <c r="I758" s="45"/>
      <c r="J758" s="45"/>
      <c r="K758" s="45"/>
      <c r="L758" s="45"/>
      <c r="M758" s="45"/>
    </row>
    <row r="759" ht="15.75" customHeight="1">
      <c r="A759" s="45"/>
      <c r="B759" s="45"/>
      <c r="C759" s="45"/>
      <c r="D759" s="45"/>
      <c r="E759" s="45"/>
      <c r="F759" s="45"/>
      <c r="G759" s="45"/>
      <c r="H759" s="45"/>
      <c r="I759" s="45"/>
      <c r="J759" s="45"/>
      <c r="K759" s="45"/>
      <c r="L759" s="45"/>
      <c r="M759" s="45"/>
    </row>
    <row r="760" ht="15.75" customHeight="1">
      <c r="A760" s="45"/>
      <c r="B760" s="45"/>
      <c r="C760" s="45"/>
      <c r="D760" s="45"/>
      <c r="E760" s="45"/>
      <c r="F760" s="45"/>
      <c r="G760" s="45"/>
      <c r="H760" s="45"/>
      <c r="I760" s="45"/>
      <c r="J760" s="45"/>
      <c r="K760" s="45"/>
      <c r="L760" s="45"/>
      <c r="M760" s="45"/>
    </row>
    <row r="761" ht="15.75" customHeight="1">
      <c r="A761" s="45"/>
      <c r="B761" s="45"/>
      <c r="C761" s="45"/>
      <c r="D761" s="45"/>
      <c r="E761" s="45"/>
      <c r="F761" s="45"/>
      <c r="G761" s="45"/>
      <c r="H761" s="45"/>
      <c r="I761" s="45"/>
      <c r="J761" s="45"/>
      <c r="K761" s="45"/>
      <c r="L761" s="45"/>
      <c r="M761" s="45"/>
    </row>
    <row r="762" ht="15.75" customHeight="1">
      <c r="A762" s="45"/>
      <c r="B762" s="45"/>
      <c r="C762" s="45"/>
      <c r="D762" s="45"/>
      <c r="E762" s="45"/>
      <c r="F762" s="45"/>
      <c r="G762" s="45"/>
      <c r="H762" s="45"/>
      <c r="I762" s="45"/>
      <c r="J762" s="45"/>
      <c r="K762" s="45"/>
      <c r="L762" s="45"/>
      <c r="M762" s="45"/>
    </row>
    <row r="763" ht="15.75" customHeight="1">
      <c r="A763" s="45"/>
      <c r="B763" s="45"/>
      <c r="C763" s="45"/>
      <c r="D763" s="45"/>
      <c r="E763" s="45"/>
      <c r="F763" s="45"/>
      <c r="G763" s="45"/>
      <c r="H763" s="45"/>
      <c r="I763" s="45"/>
      <c r="J763" s="45"/>
      <c r="K763" s="45"/>
      <c r="L763" s="45"/>
      <c r="M763" s="45"/>
    </row>
    <row r="764" ht="15.75" customHeight="1">
      <c r="A764" s="45"/>
      <c r="B764" s="45"/>
      <c r="C764" s="45"/>
      <c r="D764" s="45"/>
      <c r="E764" s="45"/>
      <c r="F764" s="45"/>
      <c r="G764" s="45"/>
      <c r="H764" s="45"/>
      <c r="I764" s="45"/>
      <c r="J764" s="45"/>
      <c r="K764" s="45"/>
      <c r="L764" s="45"/>
      <c r="M764" s="45"/>
    </row>
    <row r="765" ht="15.75" customHeight="1">
      <c r="A765" s="45"/>
      <c r="B765" s="45"/>
      <c r="C765" s="45"/>
      <c r="D765" s="45"/>
      <c r="E765" s="45"/>
      <c r="F765" s="45"/>
      <c r="G765" s="45"/>
      <c r="H765" s="45"/>
      <c r="I765" s="45"/>
      <c r="J765" s="45"/>
      <c r="K765" s="45"/>
      <c r="L765" s="45"/>
      <c r="M765" s="45"/>
    </row>
    <row r="766" ht="15.75" customHeight="1">
      <c r="A766" s="45"/>
      <c r="B766" s="45"/>
      <c r="C766" s="45"/>
      <c r="D766" s="45"/>
      <c r="E766" s="45"/>
      <c r="F766" s="45"/>
      <c r="G766" s="45"/>
      <c r="H766" s="45"/>
      <c r="I766" s="45"/>
      <c r="J766" s="45"/>
      <c r="K766" s="45"/>
      <c r="L766" s="45"/>
      <c r="M766" s="45"/>
    </row>
    <row r="767" ht="15.75" customHeight="1">
      <c r="A767" s="45"/>
      <c r="B767" s="45"/>
      <c r="C767" s="45"/>
      <c r="D767" s="45"/>
      <c r="E767" s="45"/>
      <c r="F767" s="45"/>
      <c r="G767" s="45"/>
      <c r="H767" s="45"/>
      <c r="I767" s="45"/>
      <c r="J767" s="45"/>
      <c r="K767" s="45"/>
      <c r="L767" s="45"/>
      <c r="M767" s="45"/>
    </row>
    <row r="768" ht="15.75" customHeight="1">
      <c r="A768" s="45"/>
      <c r="B768" s="45"/>
      <c r="C768" s="45"/>
      <c r="D768" s="45"/>
      <c r="E768" s="45"/>
      <c r="F768" s="45"/>
      <c r="G768" s="45"/>
      <c r="H768" s="45"/>
      <c r="I768" s="45"/>
      <c r="J768" s="45"/>
      <c r="K768" s="45"/>
      <c r="L768" s="45"/>
      <c r="M768" s="45"/>
    </row>
    <row r="769" ht="15.75" customHeight="1">
      <c r="A769" s="45"/>
      <c r="B769" s="45"/>
      <c r="C769" s="45"/>
      <c r="D769" s="45"/>
      <c r="E769" s="45"/>
      <c r="F769" s="45"/>
      <c r="G769" s="45"/>
      <c r="H769" s="45"/>
      <c r="I769" s="45"/>
      <c r="J769" s="45"/>
      <c r="K769" s="45"/>
      <c r="L769" s="45"/>
      <c r="M769" s="45"/>
    </row>
    <row r="770" ht="15.75" customHeight="1">
      <c r="A770" s="45"/>
      <c r="B770" s="45"/>
      <c r="C770" s="45"/>
      <c r="D770" s="45"/>
      <c r="E770" s="45"/>
      <c r="F770" s="45"/>
      <c r="G770" s="45"/>
      <c r="H770" s="45"/>
      <c r="I770" s="45"/>
      <c r="J770" s="45"/>
      <c r="K770" s="45"/>
      <c r="L770" s="45"/>
      <c r="M770" s="45"/>
    </row>
    <row r="771" ht="15.75" customHeight="1">
      <c r="A771" s="45"/>
      <c r="B771" s="45"/>
      <c r="C771" s="45"/>
      <c r="D771" s="45"/>
      <c r="E771" s="45"/>
      <c r="F771" s="45"/>
      <c r="G771" s="45"/>
      <c r="H771" s="45"/>
      <c r="I771" s="45"/>
      <c r="J771" s="45"/>
      <c r="K771" s="45"/>
      <c r="L771" s="45"/>
      <c r="M771" s="45"/>
    </row>
    <row r="772" ht="15.75" customHeight="1">
      <c r="A772" s="45"/>
      <c r="B772" s="45"/>
      <c r="C772" s="45"/>
      <c r="D772" s="45"/>
      <c r="E772" s="45"/>
      <c r="F772" s="45"/>
      <c r="G772" s="45"/>
      <c r="H772" s="45"/>
      <c r="I772" s="45"/>
      <c r="J772" s="45"/>
      <c r="K772" s="45"/>
      <c r="L772" s="45"/>
      <c r="M772" s="45"/>
    </row>
    <row r="773" ht="15.75" customHeight="1">
      <c r="A773" s="45"/>
      <c r="B773" s="45"/>
      <c r="C773" s="45"/>
      <c r="D773" s="45"/>
      <c r="E773" s="45"/>
      <c r="F773" s="45"/>
      <c r="G773" s="45"/>
      <c r="H773" s="45"/>
      <c r="I773" s="45"/>
      <c r="J773" s="45"/>
      <c r="K773" s="45"/>
      <c r="L773" s="45"/>
      <c r="M773" s="45"/>
    </row>
    <row r="774" ht="15.75" customHeight="1">
      <c r="A774" s="45"/>
      <c r="B774" s="45"/>
      <c r="C774" s="45"/>
      <c r="D774" s="45"/>
      <c r="E774" s="45"/>
      <c r="F774" s="45"/>
      <c r="G774" s="45"/>
      <c r="H774" s="45"/>
      <c r="I774" s="45"/>
      <c r="J774" s="45"/>
      <c r="K774" s="45"/>
      <c r="L774" s="45"/>
      <c r="M774" s="45"/>
    </row>
    <row r="775" ht="15.75" customHeight="1">
      <c r="A775" s="45"/>
      <c r="B775" s="45"/>
      <c r="C775" s="45"/>
      <c r="D775" s="45"/>
      <c r="E775" s="45"/>
      <c r="F775" s="45"/>
      <c r="G775" s="45"/>
      <c r="H775" s="45"/>
      <c r="I775" s="45"/>
      <c r="J775" s="45"/>
      <c r="K775" s="45"/>
      <c r="L775" s="45"/>
      <c r="M775" s="45"/>
    </row>
    <row r="776" ht="15.75" customHeight="1">
      <c r="A776" s="45"/>
      <c r="B776" s="45"/>
      <c r="C776" s="45"/>
      <c r="D776" s="45"/>
      <c r="E776" s="45"/>
      <c r="F776" s="45"/>
      <c r="G776" s="45"/>
      <c r="H776" s="45"/>
      <c r="I776" s="45"/>
      <c r="J776" s="45"/>
      <c r="K776" s="45"/>
      <c r="L776" s="45"/>
      <c r="M776" s="45"/>
    </row>
    <row r="777" ht="15.75" customHeight="1">
      <c r="A777" s="45"/>
      <c r="B777" s="45"/>
      <c r="C777" s="45"/>
      <c r="D777" s="45"/>
      <c r="E777" s="45"/>
      <c r="F777" s="45"/>
      <c r="G777" s="45"/>
      <c r="H777" s="45"/>
      <c r="I777" s="45"/>
      <c r="J777" s="45"/>
      <c r="K777" s="45"/>
      <c r="L777" s="45"/>
      <c r="M777" s="45"/>
    </row>
    <row r="778" ht="15.75" customHeight="1">
      <c r="A778" s="45"/>
      <c r="B778" s="45"/>
      <c r="C778" s="45"/>
      <c r="D778" s="45"/>
      <c r="E778" s="45"/>
      <c r="F778" s="45"/>
      <c r="G778" s="45"/>
      <c r="H778" s="45"/>
      <c r="I778" s="45"/>
      <c r="J778" s="45"/>
      <c r="K778" s="45"/>
      <c r="L778" s="45"/>
      <c r="M778" s="45"/>
    </row>
    <row r="779" ht="15.75" customHeight="1">
      <c r="A779" s="45"/>
      <c r="B779" s="45"/>
      <c r="C779" s="45"/>
      <c r="D779" s="45"/>
      <c r="E779" s="45"/>
      <c r="F779" s="45"/>
      <c r="G779" s="45"/>
      <c r="H779" s="45"/>
      <c r="I779" s="45"/>
      <c r="J779" s="45"/>
      <c r="K779" s="45"/>
      <c r="L779" s="45"/>
      <c r="M779" s="45"/>
    </row>
    <row r="780" ht="15.75" customHeight="1">
      <c r="A780" s="45"/>
      <c r="B780" s="45"/>
      <c r="C780" s="45"/>
      <c r="D780" s="45"/>
      <c r="E780" s="45"/>
      <c r="F780" s="45"/>
      <c r="G780" s="45"/>
      <c r="H780" s="45"/>
      <c r="I780" s="45"/>
      <c r="J780" s="45"/>
      <c r="K780" s="45"/>
      <c r="L780" s="45"/>
      <c r="M780" s="45"/>
    </row>
    <row r="781" ht="15.75" customHeight="1">
      <c r="A781" s="45"/>
      <c r="B781" s="45"/>
      <c r="C781" s="45"/>
      <c r="D781" s="45"/>
      <c r="E781" s="45"/>
      <c r="F781" s="45"/>
      <c r="G781" s="45"/>
      <c r="H781" s="45"/>
      <c r="I781" s="45"/>
      <c r="J781" s="45"/>
      <c r="K781" s="45"/>
      <c r="L781" s="45"/>
      <c r="M781" s="45"/>
    </row>
    <row r="782" ht="15.75" customHeight="1">
      <c r="A782" s="45"/>
      <c r="B782" s="45"/>
      <c r="C782" s="45"/>
      <c r="D782" s="45"/>
      <c r="E782" s="45"/>
      <c r="F782" s="45"/>
      <c r="G782" s="45"/>
      <c r="H782" s="45"/>
      <c r="I782" s="45"/>
      <c r="J782" s="45"/>
      <c r="K782" s="45"/>
      <c r="L782" s="45"/>
      <c r="M782" s="45"/>
    </row>
    <row r="783" ht="15.75" customHeight="1">
      <c r="A783" s="45"/>
      <c r="B783" s="45"/>
      <c r="C783" s="45"/>
      <c r="D783" s="45"/>
      <c r="E783" s="45"/>
      <c r="F783" s="45"/>
      <c r="G783" s="45"/>
      <c r="H783" s="45"/>
      <c r="I783" s="45"/>
      <c r="J783" s="45"/>
      <c r="K783" s="45"/>
      <c r="L783" s="45"/>
      <c r="M783" s="45"/>
    </row>
    <row r="784" ht="15.75" customHeight="1">
      <c r="A784" s="45"/>
      <c r="B784" s="45"/>
      <c r="C784" s="45"/>
      <c r="D784" s="45"/>
      <c r="E784" s="45"/>
      <c r="F784" s="45"/>
      <c r="G784" s="45"/>
      <c r="H784" s="45"/>
      <c r="I784" s="45"/>
      <c r="J784" s="45"/>
      <c r="K784" s="45"/>
      <c r="L784" s="45"/>
      <c r="M784" s="45"/>
    </row>
    <row r="785" ht="15.75" customHeight="1">
      <c r="A785" s="45"/>
      <c r="B785" s="45"/>
      <c r="C785" s="45"/>
      <c r="D785" s="45"/>
      <c r="E785" s="45"/>
      <c r="F785" s="45"/>
      <c r="G785" s="45"/>
      <c r="H785" s="45"/>
      <c r="I785" s="45"/>
      <c r="J785" s="45"/>
      <c r="K785" s="45"/>
      <c r="L785" s="45"/>
      <c r="M785" s="45"/>
    </row>
    <row r="786" ht="15.75" customHeight="1">
      <c r="A786" s="45"/>
      <c r="B786" s="45"/>
      <c r="C786" s="45"/>
      <c r="D786" s="45"/>
      <c r="E786" s="45"/>
      <c r="F786" s="45"/>
      <c r="G786" s="45"/>
      <c r="H786" s="45"/>
      <c r="I786" s="45"/>
      <c r="J786" s="45"/>
      <c r="K786" s="45"/>
      <c r="L786" s="45"/>
      <c r="M786" s="45"/>
    </row>
    <row r="787" ht="15.75" customHeight="1">
      <c r="A787" s="45"/>
      <c r="B787" s="45"/>
      <c r="C787" s="45"/>
      <c r="D787" s="45"/>
      <c r="E787" s="45"/>
      <c r="F787" s="45"/>
      <c r="G787" s="45"/>
      <c r="H787" s="45"/>
      <c r="I787" s="45"/>
      <c r="J787" s="45"/>
      <c r="K787" s="45"/>
      <c r="L787" s="45"/>
      <c r="M787" s="45"/>
    </row>
    <row r="788" ht="15.75" customHeight="1">
      <c r="A788" s="45"/>
      <c r="B788" s="45"/>
      <c r="C788" s="45"/>
      <c r="D788" s="45"/>
      <c r="E788" s="45"/>
      <c r="F788" s="45"/>
      <c r="G788" s="45"/>
      <c r="H788" s="45"/>
      <c r="I788" s="45"/>
      <c r="J788" s="45"/>
      <c r="K788" s="45"/>
      <c r="L788" s="45"/>
      <c r="M788" s="45"/>
    </row>
    <row r="789" ht="15.75" customHeight="1">
      <c r="A789" s="45"/>
      <c r="B789" s="45"/>
      <c r="C789" s="45"/>
      <c r="D789" s="45"/>
      <c r="E789" s="45"/>
      <c r="F789" s="45"/>
      <c r="G789" s="45"/>
      <c r="H789" s="45"/>
      <c r="I789" s="45"/>
      <c r="J789" s="45"/>
      <c r="K789" s="45"/>
      <c r="L789" s="45"/>
      <c r="M789" s="45"/>
    </row>
    <row r="790" ht="15.75" customHeight="1">
      <c r="A790" s="45"/>
      <c r="B790" s="45"/>
      <c r="C790" s="45"/>
      <c r="D790" s="45"/>
      <c r="E790" s="45"/>
      <c r="F790" s="45"/>
      <c r="G790" s="45"/>
      <c r="H790" s="45"/>
      <c r="I790" s="45"/>
      <c r="J790" s="45"/>
      <c r="K790" s="45"/>
      <c r="L790" s="45"/>
      <c r="M790" s="45"/>
    </row>
    <row r="791" ht="15.75" customHeight="1">
      <c r="A791" s="45"/>
      <c r="B791" s="45"/>
      <c r="C791" s="45"/>
      <c r="D791" s="45"/>
      <c r="E791" s="45"/>
      <c r="F791" s="45"/>
      <c r="G791" s="45"/>
      <c r="H791" s="45"/>
      <c r="I791" s="45"/>
      <c r="J791" s="45"/>
      <c r="K791" s="45"/>
      <c r="L791" s="45"/>
      <c r="M791" s="45"/>
    </row>
    <row r="792" ht="15.75" customHeight="1">
      <c r="A792" s="45"/>
      <c r="B792" s="45"/>
      <c r="C792" s="45"/>
      <c r="D792" s="45"/>
      <c r="E792" s="45"/>
      <c r="F792" s="45"/>
      <c r="G792" s="45"/>
      <c r="H792" s="45"/>
      <c r="I792" s="45"/>
      <c r="J792" s="45"/>
      <c r="K792" s="45"/>
      <c r="L792" s="45"/>
      <c r="M792" s="45"/>
    </row>
    <row r="793" ht="15.75" customHeight="1">
      <c r="A793" s="45"/>
      <c r="B793" s="45"/>
      <c r="C793" s="45"/>
      <c r="D793" s="45"/>
      <c r="E793" s="45"/>
      <c r="F793" s="45"/>
      <c r="G793" s="45"/>
      <c r="H793" s="45"/>
      <c r="I793" s="45"/>
      <c r="J793" s="45"/>
      <c r="K793" s="45"/>
      <c r="L793" s="45"/>
      <c r="M793" s="45"/>
    </row>
    <row r="794" ht="15.75" customHeight="1">
      <c r="A794" s="45"/>
      <c r="B794" s="45"/>
      <c r="C794" s="45"/>
      <c r="D794" s="45"/>
      <c r="E794" s="45"/>
      <c r="F794" s="45"/>
      <c r="G794" s="45"/>
      <c r="H794" s="45"/>
      <c r="I794" s="45"/>
      <c r="J794" s="45"/>
      <c r="K794" s="45"/>
      <c r="L794" s="45"/>
      <c r="M794" s="45"/>
    </row>
    <row r="795" ht="15.75" customHeight="1">
      <c r="A795" s="45"/>
      <c r="B795" s="45"/>
      <c r="C795" s="45"/>
      <c r="D795" s="45"/>
      <c r="E795" s="45"/>
      <c r="F795" s="45"/>
      <c r="G795" s="45"/>
      <c r="H795" s="45"/>
      <c r="I795" s="45"/>
      <c r="J795" s="45"/>
      <c r="K795" s="45"/>
      <c r="L795" s="45"/>
      <c r="M795" s="45"/>
    </row>
    <row r="796" ht="15.75" customHeight="1">
      <c r="A796" s="45"/>
      <c r="B796" s="45"/>
      <c r="C796" s="45"/>
      <c r="D796" s="45"/>
      <c r="E796" s="45"/>
      <c r="F796" s="45"/>
      <c r="G796" s="45"/>
      <c r="H796" s="45"/>
      <c r="I796" s="45"/>
      <c r="J796" s="45"/>
      <c r="K796" s="45"/>
      <c r="L796" s="45"/>
      <c r="M796" s="45"/>
    </row>
    <row r="797" ht="15.75" customHeight="1">
      <c r="A797" s="45"/>
      <c r="B797" s="45"/>
      <c r="C797" s="45"/>
      <c r="D797" s="45"/>
      <c r="E797" s="45"/>
      <c r="F797" s="45"/>
      <c r="G797" s="45"/>
      <c r="H797" s="45"/>
      <c r="I797" s="45"/>
      <c r="J797" s="45"/>
      <c r="K797" s="45"/>
      <c r="L797" s="45"/>
      <c r="M797" s="45"/>
    </row>
    <row r="798" ht="15.75" customHeight="1">
      <c r="A798" s="45"/>
      <c r="B798" s="45"/>
      <c r="C798" s="45"/>
      <c r="D798" s="45"/>
      <c r="E798" s="45"/>
      <c r="F798" s="45"/>
      <c r="G798" s="45"/>
      <c r="H798" s="45"/>
      <c r="I798" s="45"/>
      <c r="J798" s="45"/>
      <c r="K798" s="45"/>
      <c r="L798" s="45"/>
      <c r="M798" s="45"/>
    </row>
    <row r="799" ht="15.75" customHeight="1">
      <c r="A799" s="45"/>
      <c r="B799" s="45"/>
      <c r="C799" s="45"/>
      <c r="D799" s="45"/>
      <c r="E799" s="45"/>
      <c r="F799" s="45"/>
      <c r="G799" s="45"/>
      <c r="H799" s="45"/>
      <c r="I799" s="45"/>
      <c r="J799" s="45"/>
      <c r="K799" s="45"/>
      <c r="L799" s="45"/>
      <c r="M799" s="45"/>
    </row>
    <row r="800" ht="15.75" customHeight="1">
      <c r="A800" s="45"/>
      <c r="B800" s="45"/>
      <c r="C800" s="45"/>
      <c r="D800" s="45"/>
      <c r="E800" s="45"/>
      <c r="F800" s="45"/>
      <c r="G800" s="45"/>
      <c r="H800" s="45"/>
      <c r="I800" s="45"/>
      <c r="J800" s="45"/>
      <c r="K800" s="45"/>
      <c r="L800" s="45"/>
      <c r="M800" s="45"/>
    </row>
    <row r="801" ht="15.75" customHeight="1">
      <c r="A801" s="45"/>
      <c r="B801" s="45"/>
      <c r="C801" s="45"/>
      <c r="D801" s="45"/>
      <c r="E801" s="45"/>
      <c r="F801" s="45"/>
      <c r="G801" s="45"/>
      <c r="H801" s="45"/>
      <c r="I801" s="45"/>
      <c r="J801" s="45"/>
      <c r="K801" s="45"/>
      <c r="L801" s="45"/>
      <c r="M801" s="45"/>
    </row>
    <row r="802" ht="15.75" customHeight="1">
      <c r="A802" s="45"/>
      <c r="B802" s="45"/>
      <c r="C802" s="45"/>
      <c r="D802" s="45"/>
      <c r="E802" s="45"/>
      <c r="F802" s="45"/>
      <c r="G802" s="45"/>
      <c r="H802" s="45"/>
      <c r="I802" s="45"/>
      <c r="J802" s="45"/>
      <c r="K802" s="45"/>
      <c r="L802" s="45"/>
      <c r="M802" s="45"/>
    </row>
    <row r="803" ht="15.75" customHeight="1">
      <c r="A803" s="45"/>
      <c r="B803" s="45"/>
      <c r="C803" s="45"/>
      <c r="D803" s="45"/>
      <c r="E803" s="45"/>
      <c r="F803" s="45"/>
      <c r="G803" s="45"/>
      <c r="H803" s="45"/>
      <c r="I803" s="45"/>
      <c r="J803" s="45"/>
      <c r="K803" s="45"/>
      <c r="L803" s="45"/>
      <c r="M803" s="45"/>
    </row>
    <row r="804" ht="15.75" customHeight="1">
      <c r="A804" s="45"/>
      <c r="B804" s="45"/>
      <c r="C804" s="45"/>
      <c r="D804" s="45"/>
      <c r="E804" s="45"/>
      <c r="F804" s="45"/>
      <c r="G804" s="45"/>
      <c r="H804" s="45"/>
      <c r="I804" s="45"/>
      <c r="J804" s="45"/>
      <c r="K804" s="45"/>
      <c r="L804" s="45"/>
      <c r="M804" s="45"/>
    </row>
    <row r="805" ht="15.75" customHeight="1">
      <c r="A805" s="45"/>
      <c r="B805" s="45"/>
      <c r="C805" s="45"/>
      <c r="D805" s="45"/>
      <c r="E805" s="45"/>
      <c r="F805" s="45"/>
      <c r="G805" s="45"/>
      <c r="H805" s="45"/>
      <c r="I805" s="45"/>
      <c r="J805" s="45"/>
      <c r="K805" s="45"/>
      <c r="L805" s="45"/>
      <c r="M805" s="45"/>
    </row>
    <row r="806" ht="15.75" customHeight="1">
      <c r="A806" s="45"/>
      <c r="B806" s="45"/>
      <c r="C806" s="45"/>
      <c r="D806" s="45"/>
      <c r="E806" s="45"/>
      <c r="F806" s="45"/>
      <c r="G806" s="45"/>
      <c r="H806" s="45"/>
      <c r="I806" s="45"/>
      <c r="J806" s="45"/>
      <c r="K806" s="45"/>
      <c r="L806" s="45"/>
      <c r="M806" s="45"/>
    </row>
    <row r="807" ht="15.75" customHeight="1">
      <c r="A807" s="45"/>
      <c r="B807" s="45"/>
      <c r="C807" s="45"/>
      <c r="D807" s="45"/>
      <c r="E807" s="45"/>
      <c r="F807" s="45"/>
      <c r="G807" s="45"/>
      <c r="H807" s="45"/>
      <c r="I807" s="45"/>
      <c r="J807" s="45"/>
      <c r="K807" s="45"/>
      <c r="L807" s="45"/>
      <c r="M807" s="45"/>
    </row>
    <row r="808" ht="15.75" customHeight="1">
      <c r="A808" s="45"/>
      <c r="B808" s="45"/>
      <c r="C808" s="45"/>
      <c r="D808" s="45"/>
      <c r="E808" s="45"/>
      <c r="F808" s="45"/>
      <c r="G808" s="45"/>
      <c r="H808" s="45"/>
      <c r="I808" s="45"/>
      <c r="J808" s="45"/>
      <c r="K808" s="45"/>
      <c r="L808" s="45"/>
      <c r="M808" s="45"/>
    </row>
    <row r="809" ht="15.75" customHeight="1">
      <c r="A809" s="45"/>
      <c r="B809" s="45"/>
      <c r="C809" s="45"/>
      <c r="D809" s="45"/>
      <c r="E809" s="45"/>
      <c r="F809" s="45"/>
      <c r="G809" s="45"/>
      <c r="H809" s="45"/>
      <c r="I809" s="45"/>
      <c r="J809" s="45"/>
      <c r="K809" s="45"/>
      <c r="L809" s="45"/>
      <c r="M809" s="45"/>
    </row>
    <row r="810" ht="15.75" customHeight="1">
      <c r="A810" s="45"/>
      <c r="B810" s="45"/>
      <c r="C810" s="45"/>
      <c r="D810" s="45"/>
      <c r="E810" s="45"/>
      <c r="F810" s="45"/>
      <c r="G810" s="45"/>
      <c r="H810" s="45"/>
      <c r="I810" s="45"/>
      <c r="J810" s="45"/>
      <c r="K810" s="45"/>
      <c r="L810" s="45"/>
      <c r="M810" s="45"/>
    </row>
    <row r="811" ht="15.75" customHeight="1">
      <c r="A811" s="45"/>
      <c r="B811" s="45"/>
      <c r="C811" s="45"/>
      <c r="D811" s="45"/>
      <c r="E811" s="45"/>
      <c r="F811" s="45"/>
      <c r="G811" s="45"/>
      <c r="H811" s="45"/>
      <c r="I811" s="45"/>
      <c r="J811" s="45"/>
      <c r="K811" s="45"/>
      <c r="L811" s="45"/>
      <c r="M811" s="45"/>
    </row>
    <row r="812" ht="15.75" customHeight="1">
      <c r="A812" s="45"/>
      <c r="B812" s="45"/>
      <c r="C812" s="45"/>
      <c r="D812" s="45"/>
      <c r="E812" s="45"/>
      <c r="F812" s="45"/>
      <c r="G812" s="45"/>
      <c r="H812" s="45"/>
      <c r="I812" s="45"/>
      <c r="J812" s="45"/>
      <c r="K812" s="45"/>
      <c r="L812" s="45"/>
      <c r="M812" s="45"/>
    </row>
    <row r="813" ht="15.75" customHeight="1">
      <c r="A813" s="45"/>
      <c r="B813" s="45"/>
      <c r="C813" s="45"/>
      <c r="D813" s="45"/>
      <c r="E813" s="45"/>
      <c r="F813" s="45"/>
      <c r="G813" s="45"/>
      <c r="H813" s="45"/>
      <c r="I813" s="45"/>
      <c r="J813" s="45"/>
      <c r="K813" s="45"/>
      <c r="L813" s="45"/>
      <c r="M813" s="45"/>
    </row>
    <row r="814" ht="15.75" customHeight="1">
      <c r="A814" s="45"/>
      <c r="B814" s="45"/>
      <c r="C814" s="45"/>
      <c r="D814" s="45"/>
      <c r="E814" s="45"/>
      <c r="F814" s="45"/>
      <c r="G814" s="45"/>
      <c r="H814" s="45"/>
      <c r="I814" s="45"/>
      <c r="J814" s="45"/>
      <c r="K814" s="45"/>
      <c r="L814" s="45"/>
      <c r="M814" s="45"/>
    </row>
    <row r="815" ht="15.75" customHeight="1">
      <c r="A815" s="45"/>
      <c r="B815" s="45"/>
      <c r="C815" s="45"/>
      <c r="D815" s="45"/>
      <c r="E815" s="45"/>
      <c r="F815" s="45"/>
      <c r="G815" s="45"/>
      <c r="H815" s="45"/>
      <c r="I815" s="45"/>
      <c r="J815" s="45"/>
      <c r="K815" s="45"/>
      <c r="L815" s="45"/>
      <c r="M815" s="45"/>
    </row>
    <row r="816" ht="15.75" customHeight="1">
      <c r="A816" s="45"/>
      <c r="B816" s="45"/>
      <c r="C816" s="45"/>
      <c r="D816" s="45"/>
      <c r="E816" s="45"/>
      <c r="F816" s="45"/>
      <c r="G816" s="45"/>
      <c r="H816" s="45"/>
      <c r="I816" s="45"/>
      <c r="J816" s="45"/>
      <c r="K816" s="45"/>
      <c r="L816" s="45"/>
      <c r="M816" s="45"/>
    </row>
    <row r="817" ht="15.75" customHeight="1">
      <c r="A817" s="45"/>
      <c r="B817" s="45"/>
      <c r="C817" s="45"/>
      <c r="D817" s="45"/>
      <c r="E817" s="45"/>
      <c r="F817" s="45"/>
      <c r="G817" s="45"/>
      <c r="H817" s="45"/>
      <c r="I817" s="45"/>
      <c r="J817" s="45"/>
      <c r="K817" s="45"/>
      <c r="L817" s="45"/>
      <c r="M817" s="45"/>
    </row>
    <row r="818" ht="15.75" customHeight="1">
      <c r="A818" s="45"/>
      <c r="B818" s="45"/>
      <c r="C818" s="45"/>
      <c r="D818" s="45"/>
      <c r="E818" s="45"/>
      <c r="F818" s="45"/>
      <c r="G818" s="45"/>
      <c r="H818" s="45"/>
      <c r="I818" s="45"/>
      <c r="J818" s="45"/>
      <c r="K818" s="45"/>
      <c r="L818" s="45"/>
      <c r="M818" s="45"/>
    </row>
    <row r="819" ht="15.75" customHeight="1">
      <c r="A819" s="45"/>
      <c r="B819" s="45"/>
      <c r="C819" s="45"/>
      <c r="D819" s="45"/>
      <c r="E819" s="45"/>
      <c r="F819" s="45"/>
      <c r="G819" s="45"/>
      <c r="H819" s="45"/>
      <c r="I819" s="45"/>
      <c r="J819" s="45"/>
      <c r="K819" s="45"/>
      <c r="L819" s="45"/>
      <c r="M819" s="45"/>
    </row>
    <row r="820" ht="15.75" customHeight="1">
      <c r="A820" s="45"/>
      <c r="B820" s="45"/>
      <c r="C820" s="45"/>
      <c r="D820" s="45"/>
      <c r="E820" s="45"/>
      <c r="F820" s="45"/>
      <c r="G820" s="45"/>
      <c r="H820" s="45"/>
      <c r="I820" s="45"/>
      <c r="J820" s="45"/>
      <c r="K820" s="45"/>
      <c r="L820" s="45"/>
      <c r="M820" s="45"/>
    </row>
    <row r="821" ht="15.75" customHeight="1">
      <c r="A821" s="45"/>
      <c r="B821" s="45"/>
      <c r="C821" s="45"/>
      <c r="D821" s="45"/>
      <c r="E821" s="45"/>
      <c r="F821" s="45"/>
      <c r="G821" s="45"/>
      <c r="H821" s="45"/>
      <c r="I821" s="45"/>
      <c r="J821" s="45"/>
      <c r="K821" s="45"/>
      <c r="L821" s="45"/>
      <c r="M821" s="45"/>
    </row>
    <row r="822" ht="15.75" customHeight="1">
      <c r="A822" s="45"/>
      <c r="B822" s="45"/>
      <c r="C822" s="45"/>
      <c r="D822" s="45"/>
      <c r="E822" s="45"/>
      <c r="F822" s="45"/>
      <c r="G822" s="45"/>
      <c r="H822" s="45"/>
      <c r="I822" s="45"/>
      <c r="J822" s="45"/>
      <c r="K822" s="45"/>
      <c r="L822" s="45"/>
      <c r="M822" s="45"/>
    </row>
    <row r="823" ht="15.75" customHeight="1">
      <c r="A823" s="45"/>
      <c r="B823" s="45"/>
      <c r="C823" s="45"/>
      <c r="D823" s="45"/>
      <c r="E823" s="45"/>
      <c r="F823" s="45"/>
      <c r="G823" s="45"/>
      <c r="H823" s="45"/>
      <c r="I823" s="45"/>
      <c r="J823" s="45"/>
      <c r="K823" s="45"/>
      <c r="L823" s="45"/>
      <c r="M823" s="45"/>
    </row>
    <row r="824" ht="15.75" customHeight="1">
      <c r="A824" s="45"/>
      <c r="B824" s="45"/>
      <c r="C824" s="45"/>
      <c r="D824" s="45"/>
      <c r="E824" s="45"/>
      <c r="F824" s="45"/>
      <c r="G824" s="45"/>
      <c r="H824" s="45"/>
      <c r="I824" s="45"/>
      <c r="J824" s="45"/>
      <c r="K824" s="45"/>
      <c r="L824" s="45"/>
      <c r="M824" s="45"/>
    </row>
    <row r="825" ht="15.75" customHeight="1">
      <c r="A825" s="45"/>
      <c r="B825" s="45"/>
      <c r="C825" s="45"/>
      <c r="D825" s="45"/>
      <c r="E825" s="45"/>
      <c r="F825" s="45"/>
      <c r="G825" s="45"/>
      <c r="H825" s="45"/>
      <c r="I825" s="45"/>
      <c r="J825" s="45"/>
      <c r="K825" s="45"/>
      <c r="L825" s="45"/>
      <c r="M825" s="45"/>
    </row>
    <row r="826" ht="15.75" customHeight="1">
      <c r="A826" s="45"/>
      <c r="B826" s="45"/>
      <c r="C826" s="45"/>
      <c r="D826" s="45"/>
      <c r="E826" s="45"/>
      <c r="F826" s="45"/>
      <c r="G826" s="45"/>
      <c r="H826" s="45"/>
      <c r="I826" s="45"/>
      <c r="J826" s="45"/>
      <c r="K826" s="45"/>
      <c r="L826" s="45"/>
      <c r="M826" s="45"/>
    </row>
    <row r="827" ht="15.75" customHeight="1">
      <c r="A827" s="45"/>
      <c r="B827" s="45"/>
      <c r="C827" s="45"/>
      <c r="D827" s="45"/>
      <c r="E827" s="45"/>
      <c r="F827" s="45"/>
      <c r="G827" s="45"/>
      <c r="H827" s="45"/>
      <c r="I827" s="45"/>
      <c r="J827" s="45"/>
      <c r="K827" s="45"/>
      <c r="L827" s="45"/>
      <c r="M827" s="45"/>
    </row>
    <row r="828" ht="15.75" customHeight="1">
      <c r="A828" s="45"/>
      <c r="B828" s="45"/>
      <c r="C828" s="45"/>
      <c r="D828" s="45"/>
      <c r="E828" s="45"/>
      <c r="F828" s="45"/>
      <c r="G828" s="45"/>
      <c r="H828" s="45"/>
      <c r="I828" s="45"/>
      <c r="J828" s="45"/>
      <c r="K828" s="45"/>
      <c r="L828" s="45"/>
      <c r="M828" s="45"/>
    </row>
    <row r="829" ht="15.75" customHeight="1">
      <c r="A829" s="45"/>
      <c r="B829" s="45"/>
      <c r="C829" s="45"/>
      <c r="D829" s="45"/>
      <c r="E829" s="45"/>
      <c r="F829" s="45"/>
      <c r="G829" s="45"/>
      <c r="H829" s="45"/>
      <c r="I829" s="45"/>
      <c r="J829" s="45"/>
      <c r="K829" s="45"/>
      <c r="L829" s="45"/>
      <c r="M829" s="45"/>
    </row>
    <row r="830" ht="15.75" customHeight="1">
      <c r="A830" s="45"/>
      <c r="B830" s="45"/>
      <c r="C830" s="45"/>
      <c r="D830" s="45"/>
      <c r="E830" s="45"/>
      <c r="F830" s="45"/>
      <c r="G830" s="45"/>
      <c r="H830" s="45"/>
      <c r="I830" s="45"/>
      <c r="J830" s="45"/>
      <c r="K830" s="45"/>
      <c r="L830" s="45"/>
      <c r="M830" s="45"/>
    </row>
    <row r="831" ht="15.75" customHeight="1">
      <c r="A831" s="45"/>
      <c r="B831" s="45"/>
      <c r="C831" s="45"/>
      <c r="D831" s="45"/>
      <c r="E831" s="45"/>
      <c r="F831" s="45"/>
      <c r="G831" s="45"/>
      <c r="H831" s="45"/>
      <c r="I831" s="45"/>
      <c r="J831" s="45"/>
      <c r="K831" s="45"/>
      <c r="L831" s="45"/>
      <c r="M831" s="45"/>
    </row>
    <row r="832" ht="15.75" customHeight="1">
      <c r="A832" s="45"/>
      <c r="B832" s="45"/>
      <c r="C832" s="45"/>
      <c r="D832" s="45"/>
      <c r="E832" s="45"/>
      <c r="F832" s="45"/>
      <c r="G832" s="45"/>
      <c r="H832" s="45"/>
      <c r="I832" s="45"/>
      <c r="J832" s="45"/>
      <c r="K832" s="45"/>
      <c r="L832" s="45"/>
      <c r="M832" s="45"/>
    </row>
    <row r="833" ht="15.75" customHeight="1">
      <c r="A833" s="45"/>
      <c r="B833" s="45"/>
      <c r="C833" s="45"/>
      <c r="D833" s="45"/>
      <c r="E833" s="45"/>
      <c r="F833" s="45"/>
      <c r="G833" s="45"/>
      <c r="H833" s="45"/>
      <c r="I833" s="45"/>
      <c r="J833" s="45"/>
      <c r="K833" s="45"/>
      <c r="L833" s="45"/>
      <c r="M833" s="45"/>
    </row>
    <row r="834" ht="15.75" customHeight="1">
      <c r="A834" s="45"/>
      <c r="B834" s="45"/>
      <c r="C834" s="45"/>
      <c r="D834" s="45"/>
      <c r="E834" s="45"/>
      <c r="F834" s="45"/>
      <c r="G834" s="45"/>
      <c r="H834" s="45"/>
      <c r="I834" s="45"/>
      <c r="J834" s="45"/>
      <c r="K834" s="45"/>
      <c r="L834" s="45"/>
      <c r="M834" s="45"/>
    </row>
    <row r="835" ht="15.75" customHeight="1">
      <c r="A835" s="45"/>
      <c r="B835" s="45"/>
      <c r="C835" s="45"/>
      <c r="D835" s="45"/>
      <c r="E835" s="45"/>
      <c r="F835" s="45"/>
      <c r="G835" s="45"/>
      <c r="H835" s="45"/>
      <c r="I835" s="45"/>
      <c r="J835" s="45"/>
      <c r="K835" s="45"/>
      <c r="L835" s="45"/>
      <c r="M835" s="45"/>
    </row>
    <row r="836" ht="15.75" customHeight="1">
      <c r="A836" s="45"/>
      <c r="B836" s="45"/>
      <c r="C836" s="45"/>
      <c r="D836" s="45"/>
      <c r="E836" s="45"/>
      <c r="F836" s="45"/>
      <c r="G836" s="45"/>
      <c r="H836" s="45"/>
      <c r="I836" s="45"/>
      <c r="J836" s="45"/>
      <c r="K836" s="45"/>
      <c r="L836" s="45"/>
      <c r="M836" s="45"/>
    </row>
    <row r="837" ht="15.75" customHeight="1">
      <c r="A837" s="45"/>
      <c r="B837" s="45"/>
      <c r="C837" s="45"/>
      <c r="D837" s="45"/>
      <c r="E837" s="45"/>
      <c r="F837" s="45"/>
      <c r="G837" s="45"/>
      <c r="H837" s="45"/>
      <c r="I837" s="45"/>
      <c r="J837" s="45"/>
      <c r="K837" s="45"/>
      <c r="L837" s="45"/>
      <c r="M837" s="45"/>
    </row>
    <row r="838" ht="15.75" customHeight="1">
      <c r="A838" s="45"/>
      <c r="B838" s="45"/>
      <c r="C838" s="45"/>
      <c r="D838" s="45"/>
      <c r="E838" s="45"/>
      <c r="F838" s="45"/>
      <c r="G838" s="45"/>
      <c r="H838" s="45"/>
      <c r="I838" s="45"/>
      <c r="J838" s="45"/>
      <c r="K838" s="45"/>
      <c r="L838" s="45"/>
      <c r="M838" s="45"/>
    </row>
    <row r="839" ht="15.75" customHeight="1">
      <c r="A839" s="45"/>
      <c r="B839" s="45"/>
      <c r="C839" s="45"/>
      <c r="D839" s="45"/>
      <c r="E839" s="45"/>
      <c r="F839" s="45"/>
      <c r="G839" s="45"/>
      <c r="H839" s="45"/>
      <c r="I839" s="45"/>
      <c r="J839" s="45"/>
      <c r="K839" s="45"/>
      <c r="L839" s="45"/>
      <c r="M839" s="45"/>
    </row>
    <row r="840" ht="15.75" customHeight="1">
      <c r="A840" s="45"/>
      <c r="B840" s="45"/>
      <c r="C840" s="45"/>
      <c r="D840" s="45"/>
      <c r="E840" s="45"/>
      <c r="F840" s="45"/>
      <c r="G840" s="45"/>
      <c r="H840" s="45"/>
      <c r="I840" s="45"/>
      <c r="J840" s="45"/>
      <c r="K840" s="45"/>
      <c r="L840" s="45"/>
      <c r="M840" s="45"/>
    </row>
    <row r="841" ht="15.75" customHeight="1">
      <c r="A841" s="45"/>
      <c r="B841" s="45"/>
      <c r="C841" s="45"/>
      <c r="D841" s="45"/>
      <c r="E841" s="45"/>
      <c r="F841" s="45"/>
      <c r="G841" s="45"/>
      <c r="H841" s="45"/>
      <c r="I841" s="45"/>
      <c r="J841" s="45"/>
      <c r="K841" s="45"/>
      <c r="L841" s="45"/>
      <c r="M841" s="45"/>
    </row>
    <row r="842" ht="15.75" customHeight="1">
      <c r="A842" s="45"/>
      <c r="B842" s="45"/>
      <c r="C842" s="45"/>
      <c r="D842" s="45"/>
      <c r="E842" s="45"/>
      <c r="F842" s="45"/>
      <c r="G842" s="45"/>
      <c r="H842" s="45"/>
      <c r="I842" s="45"/>
      <c r="J842" s="45"/>
      <c r="K842" s="45"/>
      <c r="L842" s="45"/>
      <c r="M842" s="45"/>
    </row>
    <row r="843" ht="15.75" customHeight="1">
      <c r="A843" s="45"/>
      <c r="B843" s="45"/>
      <c r="C843" s="45"/>
      <c r="D843" s="45"/>
      <c r="E843" s="45"/>
      <c r="F843" s="45"/>
      <c r="G843" s="45"/>
      <c r="H843" s="45"/>
      <c r="I843" s="45"/>
      <c r="J843" s="45"/>
      <c r="K843" s="45"/>
      <c r="L843" s="45"/>
      <c r="M843" s="45"/>
    </row>
    <row r="844" ht="15.75" customHeight="1">
      <c r="A844" s="45"/>
      <c r="B844" s="45"/>
      <c r="C844" s="45"/>
      <c r="D844" s="45"/>
      <c r="E844" s="45"/>
      <c r="F844" s="45"/>
      <c r="G844" s="45"/>
      <c r="H844" s="45"/>
      <c r="I844" s="45"/>
      <c r="J844" s="45"/>
      <c r="K844" s="45"/>
      <c r="L844" s="45"/>
      <c r="M844" s="45"/>
    </row>
    <row r="845" ht="15.75" customHeight="1">
      <c r="A845" s="45"/>
      <c r="B845" s="45"/>
      <c r="C845" s="45"/>
      <c r="D845" s="45"/>
      <c r="E845" s="45"/>
      <c r="F845" s="45"/>
      <c r="G845" s="45"/>
      <c r="H845" s="45"/>
      <c r="I845" s="45"/>
      <c r="J845" s="45"/>
      <c r="K845" s="45"/>
      <c r="L845" s="45"/>
      <c r="M845" s="45"/>
    </row>
    <row r="846" ht="15.75" customHeight="1">
      <c r="A846" s="45"/>
      <c r="B846" s="45"/>
      <c r="C846" s="45"/>
      <c r="D846" s="45"/>
      <c r="E846" s="45"/>
      <c r="F846" s="45"/>
      <c r="G846" s="45"/>
      <c r="H846" s="45"/>
      <c r="I846" s="45"/>
      <c r="J846" s="45"/>
      <c r="K846" s="45"/>
      <c r="L846" s="45"/>
      <c r="M846" s="45"/>
    </row>
    <row r="847" ht="15.75" customHeight="1">
      <c r="A847" s="45"/>
      <c r="B847" s="45"/>
      <c r="C847" s="45"/>
      <c r="D847" s="45"/>
      <c r="E847" s="45"/>
      <c r="F847" s="45"/>
      <c r="G847" s="45"/>
      <c r="H847" s="45"/>
      <c r="I847" s="45"/>
      <c r="J847" s="45"/>
      <c r="K847" s="45"/>
      <c r="L847" s="45"/>
      <c r="M847" s="45"/>
    </row>
    <row r="848" ht="15.75" customHeight="1">
      <c r="A848" s="45"/>
      <c r="B848" s="45"/>
      <c r="C848" s="45"/>
      <c r="D848" s="45"/>
      <c r="E848" s="45"/>
      <c r="F848" s="45"/>
      <c r="G848" s="45"/>
      <c r="H848" s="45"/>
      <c r="I848" s="45"/>
      <c r="J848" s="45"/>
      <c r="K848" s="45"/>
      <c r="L848" s="45"/>
      <c r="M848" s="45"/>
    </row>
    <row r="849" ht="15.75" customHeight="1">
      <c r="A849" s="45"/>
      <c r="B849" s="45"/>
      <c r="C849" s="45"/>
      <c r="D849" s="45"/>
      <c r="E849" s="45"/>
      <c r="F849" s="45"/>
      <c r="G849" s="45"/>
      <c r="H849" s="45"/>
      <c r="I849" s="45"/>
      <c r="J849" s="45"/>
      <c r="K849" s="45"/>
      <c r="L849" s="45"/>
      <c r="M849" s="45"/>
    </row>
    <row r="850" ht="15.75" customHeight="1">
      <c r="A850" s="45"/>
      <c r="B850" s="45"/>
      <c r="C850" s="45"/>
      <c r="D850" s="45"/>
      <c r="E850" s="45"/>
      <c r="F850" s="45"/>
      <c r="G850" s="45"/>
      <c r="H850" s="45"/>
      <c r="I850" s="45"/>
      <c r="J850" s="45"/>
      <c r="K850" s="45"/>
      <c r="L850" s="45"/>
      <c r="M850" s="45"/>
    </row>
    <row r="851" ht="15.75" customHeight="1">
      <c r="A851" s="45"/>
      <c r="B851" s="45"/>
      <c r="C851" s="45"/>
      <c r="D851" s="45"/>
      <c r="E851" s="45"/>
      <c r="F851" s="45"/>
      <c r="G851" s="45"/>
      <c r="H851" s="45"/>
      <c r="I851" s="45"/>
      <c r="J851" s="45"/>
      <c r="K851" s="45"/>
      <c r="L851" s="45"/>
      <c r="M851" s="45"/>
    </row>
    <row r="852" ht="15.75" customHeight="1">
      <c r="A852" s="45"/>
      <c r="B852" s="45"/>
      <c r="C852" s="45"/>
      <c r="D852" s="45"/>
      <c r="E852" s="45"/>
      <c r="F852" s="45"/>
      <c r="G852" s="45"/>
      <c r="H852" s="45"/>
      <c r="I852" s="45"/>
      <c r="J852" s="45"/>
      <c r="K852" s="45"/>
      <c r="L852" s="45"/>
      <c r="M852" s="45"/>
    </row>
    <row r="853" ht="15.75" customHeight="1">
      <c r="A853" s="45"/>
      <c r="B853" s="45"/>
      <c r="C853" s="45"/>
      <c r="D853" s="45"/>
      <c r="E853" s="45"/>
      <c r="F853" s="45"/>
      <c r="G853" s="45"/>
      <c r="H853" s="45"/>
      <c r="I853" s="45"/>
      <c r="J853" s="45"/>
      <c r="K853" s="45"/>
      <c r="L853" s="45"/>
      <c r="M853" s="45"/>
    </row>
    <row r="854" ht="15.75" customHeight="1">
      <c r="A854" s="45"/>
      <c r="B854" s="45"/>
      <c r="C854" s="45"/>
      <c r="D854" s="45"/>
      <c r="E854" s="45"/>
      <c r="F854" s="45"/>
      <c r="G854" s="45"/>
      <c r="H854" s="45"/>
      <c r="I854" s="45"/>
      <c r="J854" s="45"/>
      <c r="K854" s="45"/>
      <c r="L854" s="45"/>
      <c r="M854" s="45"/>
    </row>
    <row r="855" ht="15.75" customHeight="1">
      <c r="A855" s="45"/>
      <c r="B855" s="45"/>
      <c r="C855" s="45"/>
      <c r="D855" s="45"/>
      <c r="E855" s="45"/>
      <c r="F855" s="45"/>
      <c r="G855" s="45"/>
      <c r="H855" s="45"/>
      <c r="I855" s="45"/>
      <c r="J855" s="45"/>
      <c r="K855" s="45"/>
      <c r="L855" s="45"/>
      <c r="M855" s="45"/>
    </row>
    <row r="856" ht="15.75" customHeight="1">
      <c r="A856" s="45"/>
      <c r="B856" s="45"/>
      <c r="C856" s="45"/>
      <c r="D856" s="45"/>
      <c r="E856" s="45"/>
      <c r="F856" s="45"/>
      <c r="G856" s="45"/>
      <c r="H856" s="45"/>
      <c r="I856" s="45"/>
      <c r="J856" s="45"/>
      <c r="K856" s="45"/>
      <c r="L856" s="45"/>
      <c r="M856" s="45"/>
    </row>
    <row r="857" ht="15.75" customHeight="1">
      <c r="A857" s="45"/>
      <c r="B857" s="45"/>
      <c r="C857" s="45"/>
      <c r="D857" s="45"/>
      <c r="E857" s="45"/>
      <c r="F857" s="45"/>
      <c r="G857" s="45"/>
      <c r="H857" s="45"/>
      <c r="I857" s="45"/>
      <c r="J857" s="45"/>
      <c r="K857" s="45"/>
      <c r="L857" s="45"/>
      <c r="M857" s="45"/>
    </row>
    <row r="858" ht="15.75" customHeight="1">
      <c r="A858" s="45"/>
      <c r="B858" s="45"/>
      <c r="C858" s="45"/>
      <c r="D858" s="45"/>
      <c r="E858" s="45"/>
      <c r="F858" s="45"/>
      <c r="G858" s="45"/>
      <c r="H858" s="45"/>
      <c r="I858" s="45"/>
      <c r="J858" s="45"/>
      <c r="K858" s="45"/>
      <c r="L858" s="45"/>
      <c r="M858" s="45"/>
    </row>
    <row r="859" ht="15.75" customHeight="1">
      <c r="A859" s="45"/>
      <c r="B859" s="45"/>
      <c r="C859" s="45"/>
      <c r="D859" s="45"/>
      <c r="E859" s="45"/>
      <c r="F859" s="45"/>
      <c r="G859" s="45"/>
      <c r="H859" s="45"/>
      <c r="I859" s="45"/>
      <c r="J859" s="45"/>
      <c r="K859" s="45"/>
      <c r="L859" s="45"/>
      <c r="M859" s="45"/>
    </row>
    <row r="860" ht="15.75" customHeight="1">
      <c r="A860" s="45"/>
      <c r="B860" s="45"/>
      <c r="C860" s="45"/>
      <c r="D860" s="45"/>
      <c r="E860" s="45"/>
      <c r="F860" s="45"/>
      <c r="G860" s="45"/>
      <c r="H860" s="45"/>
      <c r="I860" s="45"/>
      <c r="J860" s="45"/>
      <c r="K860" s="45"/>
      <c r="L860" s="45"/>
      <c r="M860" s="45"/>
    </row>
    <row r="861" ht="15.75" customHeight="1">
      <c r="A861" s="45"/>
      <c r="B861" s="45"/>
      <c r="C861" s="45"/>
      <c r="D861" s="45"/>
      <c r="E861" s="45"/>
      <c r="F861" s="45"/>
      <c r="G861" s="45"/>
      <c r="H861" s="45"/>
      <c r="I861" s="45"/>
      <c r="J861" s="45"/>
      <c r="K861" s="45"/>
      <c r="L861" s="45"/>
      <c r="M861" s="45"/>
    </row>
    <row r="862" ht="15.75" customHeight="1">
      <c r="A862" s="45"/>
      <c r="B862" s="45"/>
      <c r="C862" s="45"/>
      <c r="D862" s="45"/>
      <c r="E862" s="45"/>
      <c r="F862" s="45"/>
      <c r="G862" s="45"/>
      <c r="H862" s="45"/>
      <c r="I862" s="45"/>
      <c r="J862" s="45"/>
      <c r="K862" s="45"/>
      <c r="L862" s="45"/>
      <c r="M862" s="45"/>
    </row>
    <row r="863" ht="15.75" customHeight="1">
      <c r="A863" s="45"/>
      <c r="B863" s="45"/>
      <c r="C863" s="45"/>
      <c r="D863" s="45"/>
      <c r="E863" s="45"/>
      <c r="F863" s="45"/>
      <c r="G863" s="45"/>
      <c r="H863" s="45"/>
      <c r="I863" s="45"/>
      <c r="J863" s="45"/>
      <c r="K863" s="45"/>
      <c r="L863" s="45"/>
      <c r="M863" s="45"/>
    </row>
    <row r="864" ht="15.75" customHeight="1">
      <c r="A864" s="45"/>
      <c r="B864" s="45"/>
      <c r="C864" s="45"/>
      <c r="D864" s="45"/>
      <c r="E864" s="45"/>
      <c r="F864" s="45"/>
      <c r="G864" s="45"/>
      <c r="H864" s="45"/>
      <c r="I864" s="45"/>
      <c r="J864" s="45"/>
      <c r="K864" s="45"/>
      <c r="L864" s="45"/>
      <c r="M864" s="45"/>
    </row>
    <row r="865" ht="15.75" customHeight="1">
      <c r="A865" s="45"/>
      <c r="B865" s="45"/>
      <c r="C865" s="45"/>
      <c r="D865" s="45"/>
      <c r="E865" s="45"/>
      <c r="F865" s="45"/>
      <c r="G865" s="45"/>
      <c r="H865" s="45"/>
      <c r="I865" s="45"/>
      <c r="J865" s="45"/>
      <c r="K865" s="45"/>
      <c r="L865" s="45"/>
      <c r="M865" s="45"/>
    </row>
    <row r="866" ht="15.75" customHeight="1">
      <c r="A866" s="45"/>
      <c r="B866" s="45"/>
      <c r="C866" s="45"/>
      <c r="D866" s="45"/>
      <c r="E866" s="45"/>
      <c r="F866" s="45"/>
      <c r="G866" s="45"/>
      <c r="H866" s="45"/>
      <c r="I866" s="45"/>
      <c r="J866" s="45"/>
      <c r="K866" s="45"/>
      <c r="L866" s="45"/>
      <c r="M866" s="45"/>
    </row>
    <row r="867" ht="15.75" customHeight="1">
      <c r="A867" s="45"/>
      <c r="B867" s="45"/>
      <c r="C867" s="45"/>
      <c r="D867" s="45"/>
      <c r="E867" s="45"/>
      <c r="F867" s="45"/>
      <c r="G867" s="45"/>
      <c r="H867" s="45"/>
      <c r="I867" s="45"/>
      <c r="J867" s="45"/>
      <c r="K867" s="45"/>
      <c r="L867" s="45"/>
      <c r="M867" s="45"/>
    </row>
    <row r="868" ht="15.75" customHeight="1">
      <c r="A868" s="45"/>
      <c r="B868" s="45"/>
      <c r="C868" s="45"/>
      <c r="D868" s="45"/>
      <c r="E868" s="45"/>
      <c r="F868" s="45"/>
      <c r="G868" s="45"/>
      <c r="H868" s="45"/>
      <c r="I868" s="45"/>
      <c r="J868" s="45"/>
      <c r="K868" s="45"/>
      <c r="L868" s="45"/>
      <c r="M868" s="45"/>
    </row>
    <row r="869" ht="15.75" customHeight="1">
      <c r="A869" s="45"/>
      <c r="B869" s="45"/>
      <c r="C869" s="45"/>
      <c r="D869" s="45"/>
      <c r="E869" s="45"/>
      <c r="F869" s="45"/>
      <c r="G869" s="45"/>
      <c r="H869" s="45"/>
      <c r="I869" s="45"/>
      <c r="J869" s="45"/>
      <c r="K869" s="45"/>
      <c r="L869" s="45"/>
      <c r="M869" s="45"/>
    </row>
    <row r="870" ht="15.75" customHeight="1">
      <c r="A870" s="45"/>
      <c r="B870" s="45"/>
      <c r="C870" s="45"/>
      <c r="D870" s="45"/>
      <c r="E870" s="45"/>
      <c r="F870" s="45"/>
      <c r="G870" s="45"/>
      <c r="H870" s="45"/>
      <c r="I870" s="45"/>
      <c r="J870" s="45"/>
      <c r="K870" s="45"/>
      <c r="L870" s="45"/>
      <c r="M870" s="45"/>
    </row>
    <row r="871" ht="15.75" customHeight="1">
      <c r="A871" s="45"/>
      <c r="B871" s="45"/>
      <c r="C871" s="45"/>
      <c r="D871" s="45"/>
      <c r="E871" s="45"/>
      <c r="F871" s="45"/>
      <c r="G871" s="45"/>
      <c r="H871" s="45"/>
      <c r="I871" s="45"/>
      <c r="J871" s="45"/>
      <c r="K871" s="45"/>
      <c r="L871" s="45"/>
      <c r="M871" s="45"/>
    </row>
    <row r="872" ht="15.75" customHeight="1">
      <c r="A872" s="45"/>
      <c r="B872" s="45"/>
      <c r="C872" s="45"/>
      <c r="D872" s="45"/>
      <c r="E872" s="45"/>
      <c r="F872" s="45"/>
      <c r="G872" s="45"/>
      <c r="H872" s="45"/>
      <c r="I872" s="45"/>
      <c r="J872" s="45"/>
      <c r="K872" s="45"/>
      <c r="L872" s="45"/>
      <c r="M872" s="45"/>
    </row>
    <row r="873" ht="15.75" customHeight="1">
      <c r="A873" s="45"/>
      <c r="B873" s="45"/>
      <c r="C873" s="45"/>
      <c r="D873" s="45"/>
      <c r="E873" s="45"/>
      <c r="F873" s="45"/>
      <c r="G873" s="45"/>
      <c r="H873" s="45"/>
      <c r="I873" s="45"/>
      <c r="J873" s="45"/>
      <c r="K873" s="45"/>
      <c r="L873" s="45"/>
      <c r="M873" s="45"/>
    </row>
    <row r="874" ht="15.75" customHeight="1">
      <c r="A874" s="45"/>
      <c r="B874" s="45"/>
      <c r="C874" s="45"/>
      <c r="D874" s="45"/>
      <c r="E874" s="45"/>
      <c r="F874" s="45"/>
      <c r="G874" s="45"/>
      <c r="H874" s="45"/>
      <c r="I874" s="45"/>
      <c r="J874" s="45"/>
      <c r="K874" s="45"/>
      <c r="L874" s="45"/>
      <c r="M874" s="45"/>
    </row>
    <row r="875" ht="15.75" customHeight="1">
      <c r="A875" s="45"/>
      <c r="B875" s="45"/>
      <c r="C875" s="45"/>
      <c r="D875" s="45"/>
      <c r="E875" s="45"/>
      <c r="F875" s="45"/>
      <c r="G875" s="45"/>
      <c r="H875" s="45"/>
      <c r="I875" s="45"/>
      <c r="J875" s="45"/>
      <c r="K875" s="45"/>
      <c r="L875" s="45"/>
      <c r="M875" s="45"/>
    </row>
    <row r="876" ht="15.75" customHeight="1">
      <c r="A876" s="45"/>
      <c r="B876" s="45"/>
      <c r="C876" s="45"/>
      <c r="D876" s="45"/>
      <c r="E876" s="45"/>
      <c r="F876" s="45"/>
      <c r="G876" s="45"/>
      <c r="H876" s="45"/>
      <c r="I876" s="45"/>
      <c r="J876" s="45"/>
      <c r="K876" s="45"/>
      <c r="L876" s="45"/>
      <c r="M876" s="45"/>
    </row>
    <row r="877" ht="15.75" customHeight="1">
      <c r="A877" s="45"/>
      <c r="B877" s="45"/>
      <c r="C877" s="45"/>
      <c r="D877" s="45"/>
      <c r="E877" s="45"/>
      <c r="F877" s="45"/>
      <c r="G877" s="45"/>
      <c r="H877" s="45"/>
      <c r="I877" s="45"/>
      <c r="J877" s="45"/>
      <c r="K877" s="45"/>
      <c r="L877" s="45"/>
      <c r="M877" s="45"/>
    </row>
    <row r="878" ht="15.75" customHeight="1">
      <c r="A878" s="45"/>
      <c r="B878" s="45"/>
      <c r="C878" s="45"/>
      <c r="D878" s="45"/>
      <c r="E878" s="45"/>
      <c r="F878" s="45"/>
      <c r="G878" s="45"/>
      <c r="H878" s="45"/>
      <c r="I878" s="45"/>
      <c r="J878" s="45"/>
      <c r="K878" s="45"/>
      <c r="L878" s="45"/>
      <c r="M878" s="45"/>
    </row>
    <row r="879" ht="15.75" customHeight="1">
      <c r="A879" s="45"/>
      <c r="B879" s="45"/>
      <c r="C879" s="45"/>
      <c r="D879" s="45"/>
      <c r="E879" s="45"/>
      <c r="F879" s="45"/>
      <c r="G879" s="45"/>
      <c r="H879" s="45"/>
      <c r="I879" s="45"/>
      <c r="J879" s="45"/>
      <c r="K879" s="45"/>
      <c r="L879" s="45"/>
      <c r="M879" s="45"/>
    </row>
    <row r="880" ht="15.75" customHeight="1">
      <c r="A880" s="45"/>
      <c r="B880" s="45"/>
      <c r="C880" s="45"/>
      <c r="D880" s="45"/>
      <c r="E880" s="45"/>
      <c r="F880" s="45"/>
      <c r="G880" s="45"/>
      <c r="H880" s="45"/>
      <c r="I880" s="45"/>
      <c r="J880" s="45"/>
      <c r="K880" s="45"/>
      <c r="L880" s="45"/>
      <c r="M880" s="45"/>
    </row>
    <row r="881" ht="15.75" customHeight="1">
      <c r="A881" s="45"/>
      <c r="B881" s="45"/>
      <c r="C881" s="45"/>
      <c r="D881" s="45"/>
      <c r="E881" s="45"/>
      <c r="F881" s="45"/>
      <c r="G881" s="45"/>
      <c r="H881" s="45"/>
      <c r="I881" s="45"/>
      <c r="J881" s="45"/>
      <c r="K881" s="45"/>
      <c r="L881" s="45"/>
      <c r="M881" s="45"/>
    </row>
    <row r="882" ht="15.75" customHeight="1">
      <c r="A882" s="45"/>
      <c r="B882" s="45"/>
      <c r="C882" s="45"/>
      <c r="D882" s="45"/>
      <c r="E882" s="45"/>
      <c r="F882" s="45"/>
      <c r="G882" s="45"/>
      <c r="H882" s="45"/>
      <c r="I882" s="45"/>
      <c r="J882" s="45"/>
      <c r="K882" s="45"/>
      <c r="L882" s="45"/>
      <c r="M882" s="45"/>
    </row>
    <row r="883" ht="15.75" customHeight="1">
      <c r="A883" s="45"/>
      <c r="B883" s="45"/>
      <c r="C883" s="45"/>
      <c r="D883" s="45"/>
      <c r="E883" s="45"/>
      <c r="F883" s="45"/>
      <c r="G883" s="45"/>
      <c r="H883" s="45"/>
      <c r="I883" s="45"/>
      <c r="J883" s="45"/>
      <c r="K883" s="45"/>
      <c r="L883" s="45"/>
      <c r="M883" s="45"/>
    </row>
    <row r="884" ht="15.75" customHeight="1">
      <c r="A884" s="45"/>
      <c r="B884" s="45"/>
      <c r="C884" s="45"/>
      <c r="D884" s="45"/>
      <c r="E884" s="45"/>
      <c r="F884" s="45"/>
      <c r="G884" s="45"/>
      <c r="H884" s="45"/>
      <c r="I884" s="45"/>
      <c r="J884" s="45"/>
      <c r="K884" s="45"/>
      <c r="L884" s="45"/>
      <c r="M884" s="45"/>
    </row>
    <row r="885" ht="15.75" customHeight="1">
      <c r="A885" s="45"/>
      <c r="B885" s="45"/>
      <c r="C885" s="45"/>
      <c r="D885" s="45"/>
      <c r="E885" s="45"/>
      <c r="F885" s="45"/>
      <c r="G885" s="45"/>
      <c r="H885" s="45"/>
      <c r="I885" s="45"/>
      <c r="J885" s="45"/>
      <c r="K885" s="45"/>
      <c r="L885" s="45"/>
      <c r="M885" s="45"/>
    </row>
    <row r="886" ht="15.75" customHeight="1">
      <c r="A886" s="45"/>
      <c r="B886" s="45"/>
      <c r="C886" s="45"/>
      <c r="D886" s="45"/>
      <c r="E886" s="45"/>
      <c r="F886" s="45"/>
      <c r="G886" s="45"/>
      <c r="H886" s="45"/>
      <c r="I886" s="45"/>
      <c r="J886" s="45"/>
      <c r="K886" s="45"/>
      <c r="L886" s="45"/>
      <c r="M886" s="45"/>
    </row>
    <row r="887" ht="15.75" customHeight="1">
      <c r="A887" s="45"/>
      <c r="B887" s="45"/>
      <c r="C887" s="45"/>
      <c r="D887" s="45"/>
      <c r="E887" s="45"/>
      <c r="F887" s="45"/>
      <c r="G887" s="45"/>
      <c r="H887" s="45"/>
      <c r="I887" s="45"/>
      <c r="J887" s="45"/>
      <c r="K887" s="45"/>
      <c r="L887" s="45"/>
      <c r="M887" s="45"/>
    </row>
    <row r="888" ht="15.75" customHeight="1">
      <c r="A888" s="45"/>
      <c r="B888" s="45"/>
      <c r="C888" s="45"/>
      <c r="D888" s="45"/>
      <c r="E888" s="45"/>
      <c r="F888" s="45"/>
      <c r="G888" s="45"/>
      <c r="H888" s="45"/>
      <c r="I888" s="45"/>
      <c r="J888" s="45"/>
      <c r="K888" s="45"/>
      <c r="L888" s="45"/>
      <c r="M888" s="45"/>
    </row>
    <row r="889" ht="15.75" customHeight="1">
      <c r="A889" s="45"/>
      <c r="B889" s="45"/>
      <c r="C889" s="45"/>
      <c r="D889" s="45"/>
      <c r="E889" s="45"/>
      <c r="F889" s="45"/>
      <c r="G889" s="45"/>
      <c r="H889" s="45"/>
      <c r="I889" s="45"/>
      <c r="J889" s="45"/>
      <c r="K889" s="45"/>
      <c r="L889" s="45"/>
      <c r="M889" s="45"/>
    </row>
    <row r="890" ht="15.75" customHeight="1">
      <c r="A890" s="45"/>
      <c r="B890" s="45"/>
      <c r="C890" s="45"/>
      <c r="D890" s="45"/>
      <c r="E890" s="45"/>
      <c r="F890" s="45"/>
      <c r="G890" s="45"/>
      <c r="H890" s="45"/>
      <c r="I890" s="45"/>
      <c r="J890" s="45"/>
      <c r="K890" s="45"/>
      <c r="L890" s="45"/>
      <c r="M890" s="45"/>
    </row>
    <row r="891" ht="15.75" customHeight="1">
      <c r="A891" s="45"/>
      <c r="B891" s="45"/>
      <c r="C891" s="45"/>
      <c r="D891" s="45"/>
      <c r="E891" s="45"/>
      <c r="F891" s="45"/>
      <c r="G891" s="45"/>
      <c r="H891" s="45"/>
      <c r="I891" s="45"/>
      <c r="J891" s="45"/>
      <c r="K891" s="45"/>
      <c r="L891" s="45"/>
      <c r="M891" s="45"/>
    </row>
    <row r="892" ht="15.75" customHeight="1">
      <c r="A892" s="45"/>
      <c r="B892" s="45"/>
      <c r="C892" s="45"/>
      <c r="D892" s="45"/>
      <c r="E892" s="45"/>
      <c r="F892" s="45"/>
      <c r="G892" s="45"/>
      <c r="H892" s="45"/>
      <c r="I892" s="45"/>
      <c r="J892" s="45"/>
      <c r="K892" s="45"/>
      <c r="L892" s="45"/>
      <c r="M892" s="45"/>
    </row>
    <row r="893" ht="15.75" customHeight="1">
      <c r="A893" s="45"/>
      <c r="B893" s="45"/>
      <c r="C893" s="45"/>
      <c r="D893" s="45"/>
      <c r="E893" s="45"/>
      <c r="F893" s="45"/>
      <c r="G893" s="45"/>
      <c r="H893" s="45"/>
      <c r="I893" s="45"/>
      <c r="J893" s="45"/>
      <c r="K893" s="45"/>
      <c r="L893" s="45"/>
      <c r="M893" s="45"/>
    </row>
    <row r="894" ht="15.75" customHeight="1">
      <c r="A894" s="45"/>
      <c r="B894" s="45"/>
      <c r="C894" s="45"/>
      <c r="D894" s="45"/>
      <c r="E894" s="45"/>
      <c r="F894" s="45"/>
      <c r="G894" s="45"/>
      <c r="H894" s="45"/>
      <c r="I894" s="45"/>
      <c r="J894" s="45"/>
      <c r="K894" s="45"/>
      <c r="L894" s="45"/>
      <c r="M894" s="45"/>
    </row>
    <row r="895" ht="15.75" customHeight="1">
      <c r="A895" s="45"/>
      <c r="B895" s="45"/>
      <c r="C895" s="45"/>
      <c r="D895" s="45"/>
      <c r="E895" s="45"/>
      <c r="F895" s="45"/>
      <c r="G895" s="45"/>
      <c r="H895" s="45"/>
      <c r="I895" s="45"/>
      <c r="J895" s="45"/>
      <c r="K895" s="45"/>
      <c r="L895" s="45"/>
      <c r="M895" s="45"/>
    </row>
    <row r="896" ht="15.75" customHeight="1">
      <c r="A896" s="45"/>
      <c r="B896" s="45"/>
      <c r="C896" s="45"/>
      <c r="D896" s="45"/>
      <c r="E896" s="45"/>
      <c r="F896" s="45"/>
      <c r="G896" s="45"/>
      <c r="H896" s="45"/>
      <c r="I896" s="45"/>
      <c r="J896" s="45"/>
      <c r="K896" s="45"/>
      <c r="L896" s="45"/>
      <c r="M896" s="45"/>
    </row>
    <row r="897" ht="15.75" customHeight="1">
      <c r="A897" s="45"/>
      <c r="B897" s="45"/>
      <c r="C897" s="45"/>
      <c r="D897" s="45"/>
      <c r="E897" s="45"/>
      <c r="F897" s="45"/>
      <c r="G897" s="45"/>
      <c r="H897" s="45"/>
      <c r="I897" s="45"/>
      <c r="J897" s="45"/>
      <c r="K897" s="45"/>
      <c r="L897" s="45"/>
      <c r="M897" s="45"/>
    </row>
    <row r="898" ht="15.75" customHeight="1">
      <c r="A898" s="45"/>
      <c r="B898" s="45"/>
      <c r="C898" s="45"/>
      <c r="D898" s="45"/>
      <c r="E898" s="45"/>
      <c r="F898" s="45"/>
      <c r="G898" s="45"/>
      <c r="H898" s="45"/>
      <c r="I898" s="45"/>
      <c r="J898" s="45"/>
      <c r="K898" s="45"/>
      <c r="L898" s="45"/>
      <c r="M898" s="45"/>
    </row>
    <row r="899" ht="15.75" customHeight="1">
      <c r="A899" s="45"/>
      <c r="B899" s="45"/>
      <c r="C899" s="45"/>
      <c r="D899" s="45"/>
      <c r="E899" s="45"/>
      <c r="F899" s="45"/>
      <c r="G899" s="45"/>
      <c r="H899" s="45"/>
      <c r="I899" s="45"/>
      <c r="J899" s="45"/>
      <c r="K899" s="45"/>
      <c r="L899" s="45"/>
      <c r="M899" s="45"/>
    </row>
    <row r="900" ht="15.75" customHeight="1">
      <c r="A900" s="45"/>
      <c r="B900" s="45"/>
      <c r="C900" s="45"/>
      <c r="D900" s="45"/>
      <c r="E900" s="45"/>
      <c r="F900" s="45"/>
      <c r="G900" s="45"/>
      <c r="H900" s="45"/>
      <c r="I900" s="45"/>
      <c r="J900" s="45"/>
      <c r="K900" s="45"/>
      <c r="L900" s="45"/>
      <c r="M900" s="45"/>
    </row>
    <row r="901" ht="15.75" customHeight="1">
      <c r="A901" s="45"/>
      <c r="B901" s="45"/>
      <c r="C901" s="45"/>
      <c r="D901" s="45"/>
      <c r="E901" s="45"/>
      <c r="F901" s="45"/>
      <c r="G901" s="45"/>
      <c r="H901" s="45"/>
      <c r="I901" s="45"/>
      <c r="J901" s="45"/>
      <c r="K901" s="45"/>
      <c r="L901" s="45"/>
      <c r="M901" s="45"/>
    </row>
    <row r="902" ht="15.75" customHeight="1">
      <c r="A902" s="45"/>
      <c r="B902" s="45"/>
      <c r="C902" s="45"/>
      <c r="D902" s="45"/>
      <c r="E902" s="45"/>
      <c r="F902" s="45"/>
      <c r="G902" s="45"/>
      <c r="H902" s="45"/>
      <c r="I902" s="45"/>
      <c r="J902" s="45"/>
      <c r="K902" s="45"/>
      <c r="L902" s="45"/>
      <c r="M902" s="45"/>
    </row>
    <row r="903" ht="15.75" customHeight="1">
      <c r="A903" s="45"/>
      <c r="B903" s="45"/>
      <c r="C903" s="45"/>
      <c r="D903" s="45"/>
      <c r="E903" s="45"/>
      <c r="F903" s="45"/>
      <c r="G903" s="45"/>
      <c r="H903" s="45"/>
      <c r="I903" s="45"/>
      <c r="J903" s="45"/>
      <c r="K903" s="45"/>
      <c r="L903" s="45"/>
      <c r="M903" s="45"/>
    </row>
    <row r="904" ht="15.75" customHeight="1">
      <c r="A904" s="45"/>
      <c r="B904" s="45"/>
      <c r="C904" s="45"/>
      <c r="D904" s="45"/>
      <c r="E904" s="45"/>
      <c r="F904" s="45"/>
      <c r="G904" s="45"/>
      <c r="H904" s="45"/>
      <c r="I904" s="45"/>
      <c r="J904" s="45"/>
      <c r="K904" s="45"/>
      <c r="L904" s="45"/>
      <c r="M904" s="45"/>
    </row>
    <row r="905" ht="15.75" customHeight="1">
      <c r="A905" s="45"/>
      <c r="B905" s="45"/>
      <c r="C905" s="45"/>
      <c r="D905" s="45"/>
      <c r="E905" s="45"/>
      <c r="F905" s="45"/>
      <c r="G905" s="45"/>
      <c r="H905" s="45"/>
      <c r="I905" s="45"/>
      <c r="J905" s="45"/>
      <c r="K905" s="45"/>
      <c r="L905" s="45"/>
      <c r="M905" s="45"/>
    </row>
    <row r="906" ht="15.75" customHeight="1">
      <c r="A906" s="45"/>
      <c r="B906" s="45"/>
      <c r="C906" s="45"/>
      <c r="D906" s="45"/>
      <c r="E906" s="45"/>
      <c r="F906" s="45"/>
      <c r="G906" s="45"/>
      <c r="H906" s="45"/>
      <c r="I906" s="45"/>
      <c r="J906" s="45"/>
      <c r="K906" s="45"/>
      <c r="L906" s="45"/>
      <c r="M906" s="45"/>
    </row>
    <row r="907" ht="15.75" customHeight="1">
      <c r="A907" s="45"/>
      <c r="B907" s="45"/>
      <c r="C907" s="45"/>
      <c r="D907" s="45"/>
      <c r="E907" s="45"/>
      <c r="F907" s="45"/>
      <c r="G907" s="45"/>
      <c r="H907" s="45"/>
      <c r="I907" s="45"/>
      <c r="J907" s="45"/>
      <c r="K907" s="45"/>
      <c r="L907" s="45"/>
      <c r="M907" s="45"/>
    </row>
    <row r="908" ht="15.75" customHeight="1">
      <c r="A908" s="45"/>
      <c r="B908" s="45"/>
      <c r="C908" s="45"/>
      <c r="D908" s="45"/>
      <c r="E908" s="45"/>
      <c r="F908" s="45"/>
      <c r="G908" s="45"/>
      <c r="H908" s="45"/>
      <c r="I908" s="45"/>
      <c r="J908" s="45"/>
      <c r="K908" s="45"/>
      <c r="L908" s="45"/>
      <c r="M908" s="45"/>
    </row>
    <row r="909" ht="15.75" customHeight="1">
      <c r="A909" s="45"/>
      <c r="B909" s="45"/>
      <c r="C909" s="45"/>
      <c r="D909" s="45"/>
      <c r="E909" s="45"/>
      <c r="F909" s="45"/>
      <c r="G909" s="45"/>
      <c r="H909" s="45"/>
      <c r="I909" s="45"/>
      <c r="J909" s="45"/>
      <c r="K909" s="45"/>
      <c r="L909" s="45"/>
      <c r="M909" s="45"/>
    </row>
    <row r="910" ht="15.75" customHeight="1">
      <c r="A910" s="45"/>
      <c r="B910" s="45"/>
      <c r="C910" s="45"/>
      <c r="D910" s="45"/>
      <c r="E910" s="45"/>
      <c r="F910" s="45"/>
      <c r="G910" s="45"/>
      <c r="H910" s="45"/>
      <c r="I910" s="45"/>
      <c r="J910" s="45"/>
      <c r="K910" s="45"/>
      <c r="L910" s="45"/>
      <c r="M910" s="45"/>
    </row>
    <row r="911" ht="15.75" customHeight="1">
      <c r="A911" s="45"/>
      <c r="B911" s="45"/>
      <c r="C911" s="45"/>
      <c r="D911" s="45"/>
      <c r="E911" s="45"/>
      <c r="F911" s="45"/>
      <c r="G911" s="45"/>
      <c r="H911" s="45"/>
      <c r="I911" s="45"/>
      <c r="J911" s="45"/>
      <c r="K911" s="45"/>
      <c r="L911" s="45"/>
      <c r="M911" s="45"/>
    </row>
    <row r="912" ht="15.75" customHeight="1">
      <c r="A912" s="45"/>
      <c r="B912" s="45"/>
      <c r="C912" s="45"/>
      <c r="D912" s="45"/>
      <c r="E912" s="45"/>
      <c r="F912" s="45"/>
      <c r="G912" s="45"/>
      <c r="H912" s="45"/>
      <c r="I912" s="45"/>
      <c r="J912" s="45"/>
      <c r="K912" s="45"/>
      <c r="L912" s="45"/>
      <c r="M912" s="45"/>
    </row>
    <row r="913" ht="15.75" customHeight="1">
      <c r="A913" s="45"/>
      <c r="B913" s="45"/>
      <c r="C913" s="45"/>
      <c r="D913" s="45"/>
      <c r="E913" s="45"/>
      <c r="F913" s="45"/>
      <c r="G913" s="45"/>
      <c r="H913" s="45"/>
      <c r="I913" s="45"/>
      <c r="J913" s="45"/>
      <c r="K913" s="45"/>
      <c r="L913" s="45"/>
      <c r="M913" s="45"/>
    </row>
    <row r="914" ht="15.75" customHeight="1">
      <c r="A914" s="45"/>
      <c r="B914" s="45"/>
      <c r="C914" s="45"/>
      <c r="D914" s="45"/>
      <c r="E914" s="45"/>
      <c r="F914" s="45"/>
      <c r="G914" s="45"/>
      <c r="H914" s="45"/>
      <c r="I914" s="45"/>
      <c r="J914" s="45"/>
      <c r="K914" s="45"/>
      <c r="L914" s="45"/>
      <c r="M914" s="45"/>
    </row>
    <row r="915" ht="15.75" customHeight="1">
      <c r="A915" s="45"/>
      <c r="B915" s="45"/>
      <c r="C915" s="45"/>
      <c r="D915" s="45"/>
      <c r="E915" s="45"/>
      <c r="F915" s="45"/>
      <c r="G915" s="45"/>
      <c r="H915" s="45"/>
      <c r="I915" s="45"/>
      <c r="J915" s="45"/>
      <c r="K915" s="45"/>
      <c r="L915" s="45"/>
      <c r="M915" s="45"/>
    </row>
    <row r="916" ht="15.75" customHeight="1">
      <c r="A916" s="45"/>
      <c r="B916" s="45"/>
      <c r="C916" s="45"/>
      <c r="D916" s="45"/>
      <c r="E916" s="45"/>
      <c r="F916" s="45"/>
      <c r="G916" s="45"/>
      <c r="H916" s="45"/>
      <c r="I916" s="45"/>
      <c r="J916" s="45"/>
      <c r="K916" s="45"/>
      <c r="L916" s="45"/>
      <c r="M916" s="45"/>
    </row>
    <row r="917" ht="15.75" customHeight="1">
      <c r="A917" s="45"/>
      <c r="B917" s="45"/>
      <c r="C917" s="45"/>
      <c r="D917" s="45"/>
      <c r="E917" s="45"/>
      <c r="F917" s="45"/>
      <c r="G917" s="45"/>
      <c r="H917" s="45"/>
      <c r="I917" s="45"/>
      <c r="J917" s="45"/>
      <c r="K917" s="45"/>
      <c r="L917" s="45"/>
      <c r="M917" s="45"/>
    </row>
    <row r="918" ht="15.75" customHeight="1">
      <c r="A918" s="45"/>
      <c r="B918" s="45"/>
      <c r="C918" s="45"/>
      <c r="D918" s="45"/>
      <c r="E918" s="45"/>
      <c r="F918" s="45"/>
      <c r="G918" s="45"/>
      <c r="H918" s="45"/>
      <c r="I918" s="45"/>
      <c r="J918" s="45"/>
      <c r="K918" s="45"/>
      <c r="L918" s="45"/>
      <c r="M918" s="45"/>
    </row>
    <row r="919" ht="15.75" customHeight="1">
      <c r="A919" s="45"/>
      <c r="B919" s="45"/>
      <c r="C919" s="45"/>
      <c r="D919" s="45"/>
      <c r="E919" s="45"/>
      <c r="F919" s="45"/>
      <c r="G919" s="45"/>
      <c r="H919" s="45"/>
      <c r="I919" s="45"/>
      <c r="J919" s="45"/>
      <c r="K919" s="45"/>
      <c r="L919" s="45"/>
      <c r="M919" s="45"/>
    </row>
    <row r="920" ht="15.75" customHeight="1">
      <c r="A920" s="45"/>
      <c r="B920" s="45"/>
      <c r="C920" s="45"/>
      <c r="D920" s="45"/>
      <c r="E920" s="45"/>
      <c r="F920" s="45"/>
      <c r="G920" s="45"/>
      <c r="H920" s="45"/>
      <c r="I920" s="45"/>
      <c r="J920" s="45"/>
      <c r="K920" s="45"/>
      <c r="L920" s="45"/>
      <c r="M920" s="45"/>
    </row>
    <row r="921" ht="15.75" customHeight="1">
      <c r="A921" s="45"/>
      <c r="B921" s="45"/>
      <c r="C921" s="45"/>
      <c r="D921" s="45"/>
      <c r="E921" s="45"/>
      <c r="F921" s="45"/>
      <c r="G921" s="45"/>
      <c r="H921" s="45"/>
      <c r="I921" s="45"/>
      <c r="J921" s="45"/>
      <c r="K921" s="45"/>
      <c r="L921" s="45"/>
      <c r="M921" s="45"/>
    </row>
    <row r="922" ht="15.75" customHeight="1">
      <c r="A922" s="45"/>
      <c r="B922" s="45"/>
      <c r="C922" s="45"/>
      <c r="D922" s="45"/>
      <c r="E922" s="45"/>
      <c r="F922" s="45"/>
      <c r="G922" s="45"/>
      <c r="H922" s="45"/>
      <c r="I922" s="45"/>
      <c r="J922" s="45"/>
      <c r="K922" s="45"/>
      <c r="L922" s="45"/>
      <c r="M922" s="45"/>
    </row>
    <row r="923" ht="15.75" customHeight="1">
      <c r="A923" s="45"/>
      <c r="B923" s="45"/>
      <c r="C923" s="45"/>
      <c r="D923" s="45"/>
      <c r="E923" s="45"/>
      <c r="F923" s="45"/>
      <c r="G923" s="45"/>
      <c r="H923" s="45"/>
      <c r="I923" s="45"/>
      <c r="J923" s="45"/>
      <c r="K923" s="45"/>
      <c r="L923" s="45"/>
      <c r="M923" s="45"/>
    </row>
    <row r="924" ht="15.75" customHeight="1">
      <c r="A924" s="45"/>
      <c r="B924" s="45"/>
      <c r="C924" s="45"/>
      <c r="D924" s="45"/>
      <c r="E924" s="45"/>
      <c r="F924" s="45"/>
      <c r="G924" s="45"/>
      <c r="H924" s="45"/>
      <c r="I924" s="45"/>
      <c r="J924" s="45"/>
      <c r="K924" s="45"/>
      <c r="L924" s="45"/>
      <c r="M924" s="45"/>
    </row>
    <row r="925" ht="15.75" customHeight="1">
      <c r="A925" s="45"/>
      <c r="B925" s="45"/>
      <c r="C925" s="45"/>
      <c r="D925" s="45"/>
      <c r="E925" s="45"/>
      <c r="F925" s="45"/>
      <c r="G925" s="45"/>
      <c r="H925" s="45"/>
      <c r="I925" s="45"/>
      <c r="J925" s="45"/>
      <c r="K925" s="45"/>
      <c r="L925" s="45"/>
      <c r="M925" s="45"/>
    </row>
    <row r="926" ht="15.75" customHeight="1">
      <c r="A926" s="45"/>
      <c r="B926" s="45"/>
      <c r="C926" s="45"/>
      <c r="D926" s="45"/>
      <c r="E926" s="45"/>
      <c r="F926" s="45"/>
      <c r="G926" s="45"/>
      <c r="H926" s="45"/>
      <c r="I926" s="45"/>
      <c r="J926" s="45"/>
      <c r="K926" s="45"/>
      <c r="L926" s="45"/>
      <c r="M926" s="45"/>
    </row>
    <row r="927" ht="15.75" customHeight="1">
      <c r="A927" s="45"/>
      <c r="B927" s="45"/>
      <c r="C927" s="45"/>
      <c r="D927" s="45"/>
      <c r="E927" s="45"/>
      <c r="F927" s="45"/>
      <c r="G927" s="45"/>
      <c r="H927" s="45"/>
      <c r="I927" s="45"/>
      <c r="J927" s="45"/>
      <c r="K927" s="45"/>
      <c r="L927" s="45"/>
      <c r="M927" s="45"/>
    </row>
    <row r="928" ht="15.75" customHeight="1">
      <c r="A928" s="45"/>
      <c r="B928" s="45"/>
      <c r="C928" s="45"/>
      <c r="D928" s="45"/>
      <c r="E928" s="45"/>
      <c r="F928" s="45"/>
      <c r="G928" s="45"/>
      <c r="H928" s="45"/>
      <c r="I928" s="45"/>
      <c r="J928" s="45"/>
      <c r="K928" s="45"/>
      <c r="L928" s="45"/>
      <c r="M928" s="45"/>
    </row>
    <row r="929" ht="15.75" customHeight="1">
      <c r="A929" s="45"/>
      <c r="B929" s="45"/>
      <c r="C929" s="45"/>
      <c r="D929" s="45"/>
      <c r="E929" s="45"/>
      <c r="F929" s="45"/>
      <c r="G929" s="45"/>
      <c r="H929" s="45"/>
      <c r="I929" s="45"/>
      <c r="J929" s="45"/>
      <c r="K929" s="45"/>
      <c r="L929" s="45"/>
      <c r="M929" s="45"/>
    </row>
    <row r="930" ht="15.75" customHeight="1">
      <c r="A930" s="45"/>
      <c r="B930" s="45"/>
      <c r="C930" s="45"/>
      <c r="D930" s="45"/>
      <c r="E930" s="45"/>
      <c r="F930" s="45"/>
      <c r="G930" s="45"/>
      <c r="H930" s="45"/>
      <c r="I930" s="45"/>
      <c r="J930" s="45"/>
      <c r="K930" s="45"/>
      <c r="L930" s="45"/>
      <c r="M930" s="45"/>
    </row>
    <row r="931" ht="15.75" customHeight="1">
      <c r="A931" s="45"/>
      <c r="B931" s="45"/>
      <c r="C931" s="45"/>
      <c r="D931" s="45"/>
      <c r="E931" s="45"/>
      <c r="F931" s="45"/>
      <c r="G931" s="45"/>
      <c r="H931" s="45"/>
      <c r="I931" s="45"/>
      <c r="J931" s="45"/>
      <c r="K931" s="45"/>
      <c r="L931" s="45"/>
      <c r="M931" s="45"/>
    </row>
    <row r="932" ht="15.75" customHeight="1">
      <c r="A932" s="45"/>
      <c r="B932" s="45"/>
      <c r="C932" s="45"/>
      <c r="D932" s="45"/>
      <c r="E932" s="45"/>
      <c r="F932" s="45"/>
      <c r="G932" s="45"/>
      <c r="H932" s="45"/>
      <c r="I932" s="45"/>
      <c r="J932" s="45"/>
      <c r="K932" s="45"/>
      <c r="L932" s="45"/>
      <c r="M932" s="45"/>
    </row>
    <row r="933" ht="15.75" customHeight="1">
      <c r="A933" s="45"/>
      <c r="B933" s="45"/>
      <c r="C933" s="45"/>
      <c r="D933" s="45"/>
      <c r="E933" s="45"/>
      <c r="F933" s="45"/>
      <c r="G933" s="45"/>
      <c r="H933" s="45"/>
      <c r="I933" s="45"/>
      <c r="J933" s="45"/>
      <c r="K933" s="45"/>
      <c r="L933" s="45"/>
      <c r="M933" s="45"/>
    </row>
    <row r="934" ht="15.75" customHeight="1">
      <c r="A934" s="45"/>
      <c r="B934" s="45"/>
      <c r="C934" s="45"/>
      <c r="D934" s="45"/>
      <c r="E934" s="45"/>
      <c r="F934" s="45"/>
      <c r="G934" s="45"/>
      <c r="H934" s="45"/>
      <c r="I934" s="45"/>
      <c r="J934" s="45"/>
      <c r="K934" s="45"/>
      <c r="L934" s="45"/>
      <c r="M934" s="45"/>
    </row>
    <row r="935" ht="15.75" customHeight="1">
      <c r="A935" s="45"/>
      <c r="B935" s="45"/>
      <c r="C935" s="45"/>
      <c r="D935" s="45"/>
      <c r="E935" s="45"/>
      <c r="F935" s="45"/>
      <c r="G935" s="45"/>
      <c r="H935" s="45"/>
      <c r="I935" s="45"/>
      <c r="J935" s="45"/>
      <c r="K935" s="45"/>
      <c r="L935" s="45"/>
      <c r="M935" s="45"/>
    </row>
    <row r="936" ht="15.75" customHeight="1">
      <c r="A936" s="45"/>
      <c r="B936" s="45"/>
      <c r="C936" s="45"/>
      <c r="D936" s="45"/>
      <c r="E936" s="45"/>
      <c r="F936" s="45"/>
      <c r="G936" s="45"/>
      <c r="H936" s="45"/>
      <c r="I936" s="45"/>
      <c r="J936" s="45"/>
      <c r="K936" s="45"/>
      <c r="L936" s="45"/>
      <c r="M936" s="45"/>
    </row>
    <row r="937" ht="15.75" customHeight="1">
      <c r="A937" s="45"/>
      <c r="B937" s="45"/>
      <c r="C937" s="45"/>
      <c r="D937" s="45"/>
      <c r="E937" s="45"/>
      <c r="F937" s="45"/>
      <c r="G937" s="45"/>
      <c r="H937" s="45"/>
      <c r="I937" s="45"/>
      <c r="J937" s="45"/>
      <c r="K937" s="45"/>
      <c r="L937" s="45"/>
      <c r="M937" s="45"/>
    </row>
    <row r="938" ht="15.75" customHeight="1">
      <c r="A938" s="45"/>
      <c r="B938" s="45"/>
      <c r="C938" s="45"/>
      <c r="D938" s="45"/>
      <c r="E938" s="45"/>
      <c r="F938" s="45"/>
      <c r="G938" s="45"/>
      <c r="H938" s="45"/>
      <c r="I938" s="45"/>
      <c r="J938" s="45"/>
      <c r="K938" s="45"/>
      <c r="L938" s="45"/>
      <c r="M938" s="45"/>
    </row>
    <row r="939" ht="15.75" customHeight="1">
      <c r="A939" s="45"/>
      <c r="B939" s="45"/>
      <c r="C939" s="45"/>
      <c r="D939" s="45"/>
      <c r="E939" s="45"/>
      <c r="F939" s="45"/>
      <c r="G939" s="45"/>
      <c r="H939" s="45"/>
      <c r="I939" s="45"/>
      <c r="J939" s="45"/>
      <c r="K939" s="45"/>
      <c r="L939" s="45"/>
      <c r="M939" s="45"/>
    </row>
    <row r="940" ht="15.75" customHeight="1">
      <c r="A940" s="45"/>
      <c r="B940" s="45"/>
      <c r="C940" s="45"/>
      <c r="D940" s="45"/>
      <c r="E940" s="45"/>
      <c r="F940" s="45"/>
      <c r="G940" s="45"/>
      <c r="H940" s="45"/>
      <c r="I940" s="45"/>
      <c r="J940" s="45"/>
      <c r="K940" s="45"/>
      <c r="L940" s="45"/>
      <c r="M940" s="45"/>
    </row>
    <row r="941" ht="15.75" customHeight="1">
      <c r="A941" s="45"/>
      <c r="B941" s="45"/>
      <c r="C941" s="45"/>
      <c r="D941" s="45"/>
      <c r="E941" s="45"/>
      <c r="F941" s="45"/>
      <c r="G941" s="45"/>
      <c r="H941" s="45"/>
      <c r="I941" s="45"/>
      <c r="J941" s="45"/>
      <c r="K941" s="45"/>
      <c r="L941" s="45"/>
      <c r="M941" s="45"/>
    </row>
    <row r="942" ht="15.75" customHeight="1">
      <c r="A942" s="45"/>
      <c r="B942" s="45"/>
      <c r="C942" s="45"/>
      <c r="D942" s="45"/>
      <c r="E942" s="45"/>
      <c r="F942" s="45"/>
      <c r="G942" s="45"/>
      <c r="H942" s="45"/>
      <c r="I942" s="45"/>
      <c r="J942" s="45"/>
      <c r="K942" s="45"/>
      <c r="L942" s="45"/>
      <c r="M942" s="45"/>
    </row>
    <row r="943" ht="15.75" customHeight="1">
      <c r="A943" s="45"/>
      <c r="B943" s="45"/>
      <c r="C943" s="45"/>
      <c r="D943" s="45"/>
      <c r="E943" s="45"/>
      <c r="F943" s="45"/>
      <c r="G943" s="45"/>
      <c r="H943" s="45"/>
      <c r="I943" s="45"/>
      <c r="J943" s="45"/>
      <c r="K943" s="45"/>
      <c r="L943" s="45"/>
      <c r="M943" s="45"/>
    </row>
    <row r="944" ht="15.75" customHeight="1">
      <c r="A944" s="45"/>
      <c r="B944" s="45"/>
      <c r="C944" s="45"/>
      <c r="D944" s="45"/>
      <c r="E944" s="45"/>
      <c r="F944" s="45"/>
      <c r="G944" s="45"/>
      <c r="H944" s="45"/>
      <c r="I944" s="45"/>
      <c r="J944" s="45"/>
      <c r="K944" s="45"/>
      <c r="L944" s="45"/>
      <c r="M944" s="45"/>
    </row>
    <row r="945" ht="15.75" customHeight="1">
      <c r="A945" s="45"/>
      <c r="B945" s="45"/>
      <c r="C945" s="45"/>
      <c r="D945" s="45"/>
      <c r="E945" s="45"/>
      <c r="F945" s="45"/>
      <c r="G945" s="45"/>
      <c r="H945" s="45"/>
      <c r="I945" s="45"/>
      <c r="J945" s="45"/>
      <c r="K945" s="45"/>
      <c r="L945" s="45"/>
      <c r="M945" s="45"/>
    </row>
    <row r="946" ht="15.75" customHeight="1">
      <c r="A946" s="45"/>
      <c r="B946" s="45"/>
      <c r="C946" s="45"/>
      <c r="D946" s="45"/>
      <c r="E946" s="45"/>
      <c r="F946" s="45"/>
      <c r="G946" s="45"/>
      <c r="H946" s="45"/>
      <c r="I946" s="45"/>
      <c r="J946" s="45"/>
      <c r="K946" s="45"/>
      <c r="L946" s="45"/>
      <c r="M946" s="45"/>
    </row>
    <row r="947" ht="15.75" customHeight="1">
      <c r="A947" s="45"/>
      <c r="B947" s="45"/>
      <c r="C947" s="45"/>
      <c r="D947" s="45"/>
      <c r="E947" s="45"/>
      <c r="F947" s="45"/>
      <c r="G947" s="45"/>
      <c r="H947" s="45"/>
      <c r="I947" s="45"/>
      <c r="J947" s="45"/>
      <c r="K947" s="45"/>
      <c r="L947" s="45"/>
      <c r="M947" s="45"/>
    </row>
    <row r="948" ht="15.75" customHeight="1">
      <c r="A948" s="45"/>
      <c r="B948" s="45"/>
      <c r="C948" s="45"/>
      <c r="D948" s="45"/>
      <c r="E948" s="45"/>
      <c r="F948" s="45"/>
      <c r="G948" s="45"/>
      <c r="H948" s="45"/>
      <c r="I948" s="45"/>
      <c r="J948" s="45"/>
      <c r="K948" s="45"/>
      <c r="L948" s="45"/>
      <c r="M948" s="45"/>
    </row>
    <row r="949" ht="15.75" customHeight="1">
      <c r="A949" s="45"/>
      <c r="B949" s="45"/>
      <c r="C949" s="45"/>
      <c r="D949" s="45"/>
      <c r="E949" s="45"/>
      <c r="F949" s="45"/>
      <c r="G949" s="45"/>
      <c r="H949" s="45"/>
      <c r="I949" s="45"/>
      <c r="J949" s="45"/>
      <c r="K949" s="45"/>
      <c r="L949" s="45"/>
      <c r="M949" s="45"/>
    </row>
    <row r="950" ht="15.75" customHeight="1">
      <c r="A950" s="45"/>
      <c r="B950" s="45"/>
      <c r="C950" s="45"/>
      <c r="D950" s="45"/>
      <c r="E950" s="45"/>
      <c r="F950" s="45"/>
      <c r="G950" s="45"/>
      <c r="H950" s="45"/>
      <c r="I950" s="45"/>
      <c r="J950" s="45"/>
      <c r="K950" s="45"/>
      <c r="L950" s="45"/>
      <c r="M950" s="45"/>
    </row>
    <row r="951" ht="15.75" customHeight="1">
      <c r="A951" s="45"/>
      <c r="B951" s="45"/>
      <c r="C951" s="45"/>
      <c r="D951" s="45"/>
      <c r="E951" s="45"/>
      <c r="F951" s="45"/>
      <c r="G951" s="45"/>
      <c r="H951" s="45"/>
      <c r="I951" s="45"/>
      <c r="J951" s="45"/>
      <c r="K951" s="45"/>
      <c r="L951" s="45"/>
      <c r="M951" s="45"/>
    </row>
    <row r="952" ht="15.75" customHeight="1">
      <c r="A952" s="45"/>
      <c r="B952" s="45"/>
      <c r="C952" s="45"/>
      <c r="D952" s="45"/>
      <c r="E952" s="45"/>
      <c r="F952" s="45"/>
      <c r="G952" s="45"/>
      <c r="H952" s="45"/>
      <c r="I952" s="45"/>
      <c r="J952" s="45"/>
      <c r="K952" s="45"/>
      <c r="L952" s="45"/>
      <c r="M952" s="45"/>
    </row>
    <row r="953" ht="15.75" customHeight="1">
      <c r="A953" s="45"/>
      <c r="B953" s="45"/>
      <c r="C953" s="45"/>
      <c r="D953" s="45"/>
      <c r="E953" s="45"/>
      <c r="F953" s="45"/>
      <c r="G953" s="45"/>
      <c r="H953" s="45"/>
      <c r="I953" s="45"/>
      <c r="J953" s="45"/>
      <c r="K953" s="45"/>
      <c r="L953" s="45"/>
      <c r="M953" s="45"/>
    </row>
    <row r="954" ht="15.75" customHeight="1">
      <c r="A954" s="45"/>
      <c r="B954" s="45"/>
      <c r="C954" s="45"/>
      <c r="D954" s="45"/>
      <c r="E954" s="45"/>
      <c r="F954" s="45"/>
      <c r="G954" s="45"/>
      <c r="H954" s="45"/>
      <c r="I954" s="45"/>
      <c r="J954" s="45"/>
      <c r="K954" s="45"/>
      <c r="L954" s="45"/>
      <c r="M954" s="45"/>
    </row>
    <row r="955" ht="15.75" customHeight="1">
      <c r="A955" s="45"/>
      <c r="B955" s="45"/>
      <c r="C955" s="45"/>
      <c r="D955" s="45"/>
      <c r="E955" s="45"/>
      <c r="F955" s="45"/>
      <c r="G955" s="45"/>
      <c r="H955" s="45"/>
      <c r="I955" s="45"/>
      <c r="J955" s="45"/>
      <c r="K955" s="45"/>
      <c r="L955" s="45"/>
      <c r="M955" s="45"/>
    </row>
    <row r="956" ht="15.75" customHeight="1">
      <c r="A956" s="45"/>
      <c r="B956" s="45"/>
      <c r="C956" s="45"/>
      <c r="D956" s="45"/>
      <c r="E956" s="45"/>
      <c r="F956" s="45"/>
      <c r="G956" s="45"/>
      <c r="H956" s="45"/>
      <c r="I956" s="45"/>
      <c r="J956" s="45"/>
      <c r="K956" s="45"/>
      <c r="L956" s="45"/>
      <c r="M956" s="45"/>
    </row>
    <row r="957" ht="15.75" customHeight="1">
      <c r="A957" s="45"/>
      <c r="B957" s="45"/>
      <c r="C957" s="45"/>
      <c r="D957" s="45"/>
      <c r="E957" s="45"/>
      <c r="F957" s="45"/>
      <c r="G957" s="45"/>
      <c r="H957" s="45"/>
      <c r="I957" s="45"/>
      <c r="J957" s="45"/>
      <c r="K957" s="45"/>
      <c r="L957" s="45"/>
      <c r="M957" s="45"/>
    </row>
    <row r="958" ht="15.75" customHeight="1">
      <c r="A958" s="45"/>
      <c r="B958" s="45"/>
      <c r="C958" s="45"/>
      <c r="D958" s="45"/>
      <c r="E958" s="45"/>
      <c r="F958" s="45"/>
      <c r="G958" s="45"/>
      <c r="H958" s="45"/>
      <c r="I958" s="45"/>
      <c r="J958" s="45"/>
      <c r="K958" s="45"/>
      <c r="L958" s="45"/>
      <c r="M958" s="45"/>
    </row>
    <row r="959" ht="15.75" customHeight="1">
      <c r="A959" s="45"/>
      <c r="B959" s="45"/>
      <c r="C959" s="45"/>
      <c r="D959" s="45"/>
      <c r="E959" s="45"/>
      <c r="F959" s="45"/>
      <c r="G959" s="45"/>
      <c r="H959" s="45"/>
      <c r="I959" s="45"/>
      <c r="J959" s="45"/>
      <c r="K959" s="45"/>
      <c r="L959" s="45"/>
      <c r="M959" s="45"/>
    </row>
    <row r="960" ht="15.75" customHeight="1">
      <c r="A960" s="45"/>
      <c r="B960" s="45"/>
      <c r="C960" s="45"/>
      <c r="D960" s="45"/>
      <c r="E960" s="45"/>
      <c r="F960" s="45"/>
      <c r="G960" s="45"/>
      <c r="H960" s="45"/>
      <c r="I960" s="45"/>
      <c r="J960" s="45"/>
      <c r="K960" s="45"/>
      <c r="L960" s="45"/>
      <c r="M960" s="45"/>
    </row>
    <row r="961" ht="15.75" customHeight="1">
      <c r="A961" s="45"/>
      <c r="B961" s="45"/>
      <c r="C961" s="45"/>
      <c r="D961" s="45"/>
      <c r="E961" s="45"/>
      <c r="F961" s="45"/>
      <c r="G961" s="45"/>
      <c r="H961" s="45"/>
      <c r="I961" s="45"/>
      <c r="J961" s="45"/>
      <c r="K961" s="45"/>
      <c r="L961" s="45"/>
      <c r="M961" s="45"/>
    </row>
    <row r="962" ht="15.75" customHeight="1">
      <c r="A962" s="45"/>
      <c r="B962" s="45"/>
      <c r="C962" s="45"/>
      <c r="D962" s="45"/>
      <c r="E962" s="45"/>
      <c r="F962" s="45"/>
      <c r="G962" s="45"/>
      <c r="H962" s="45"/>
      <c r="I962" s="45"/>
      <c r="J962" s="45"/>
      <c r="K962" s="45"/>
      <c r="L962" s="45"/>
      <c r="M962" s="45"/>
    </row>
    <row r="963" ht="15.75" customHeight="1">
      <c r="A963" s="45"/>
      <c r="B963" s="45"/>
      <c r="C963" s="45"/>
      <c r="D963" s="45"/>
      <c r="E963" s="45"/>
      <c r="F963" s="45"/>
      <c r="G963" s="45"/>
      <c r="H963" s="45"/>
      <c r="I963" s="45"/>
      <c r="J963" s="45"/>
      <c r="K963" s="45"/>
      <c r="L963" s="45"/>
      <c r="M963" s="45"/>
    </row>
    <row r="964" ht="15.75" customHeight="1">
      <c r="A964" s="45"/>
      <c r="B964" s="45"/>
      <c r="C964" s="45"/>
      <c r="D964" s="45"/>
      <c r="E964" s="45"/>
      <c r="F964" s="45"/>
      <c r="G964" s="45"/>
      <c r="H964" s="45"/>
      <c r="I964" s="45"/>
      <c r="J964" s="45"/>
      <c r="K964" s="45"/>
      <c r="L964" s="45"/>
      <c r="M964" s="45"/>
    </row>
    <row r="965" ht="15.75" customHeight="1">
      <c r="A965" s="45"/>
      <c r="B965" s="45"/>
      <c r="C965" s="45"/>
      <c r="D965" s="45"/>
      <c r="E965" s="45"/>
      <c r="F965" s="45"/>
      <c r="G965" s="45"/>
      <c r="H965" s="45"/>
      <c r="I965" s="45"/>
      <c r="J965" s="45"/>
      <c r="K965" s="45"/>
      <c r="L965" s="45"/>
      <c r="M965" s="45"/>
    </row>
    <row r="966" ht="15.75" customHeight="1">
      <c r="A966" s="45"/>
      <c r="B966" s="45"/>
      <c r="C966" s="45"/>
      <c r="D966" s="45"/>
      <c r="E966" s="45"/>
      <c r="F966" s="45"/>
      <c r="G966" s="45"/>
      <c r="H966" s="45"/>
      <c r="I966" s="45"/>
      <c r="J966" s="45"/>
      <c r="K966" s="45"/>
      <c r="L966" s="45"/>
      <c r="M966" s="45"/>
    </row>
    <row r="967" ht="15.75" customHeight="1">
      <c r="A967" s="45"/>
      <c r="B967" s="45"/>
      <c r="C967" s="45"/>
      <c r="D967" s="45"/>
      <c r="E967" s="45"/>
      <c r="F967" s="45"/>
      <c r="G967" s="45"/>
      <c r="H967" s="45"/>
      <c r="I967" s="45"/>
      <c r="J967" s="45"/>
      <c r="K967" s="45"/>
      <c r="L967" s="45"/>
      <c r="M967" s="45"/>
    </row>
    <row r="968" ht="15.75" customHeight="1">
      <c r="A968" s="45"/>
      <c r="B968" s="45"/>
      <c r="C968" s="45"/>
      <c r="D968" s="45"/>
      <c r="E968" s="45"/>
      <c r="F968" s="45"/>
      <c r="G968" s="45"/>
      <c r="H968" s="45"/>
      <c r="I968" s="45"/>
      <c r="J968" s="45"/>
      <c r="K968" s="45"/>
      <c r="L968" s="45"/>
      <c r="M968" s="45"/>
    </row>
    <row r="969" ht="15.75" customHeight="1">
      <c r="A969" s="45"/>
      <c r="B969" s="45"/>
      <c r="C969" s="45"/>
      <c r="D969" s="45"/>
      <c r="E969" s="45"/>
      <c r="F969" s="45"/>
      <c r="G969" s="45"/>
      <c r="H969" s="45"/>
      <c r="I969" s="45"/>
      <c r="J969" s="45"/>
      <c r="K969" s="45"/>
      <c r="L969" s="45"/>
      <c r="M969" s="45"/>
    </row>
    <row r="970" ht="15.75" customHeight="1">
      <c r="A970" s="45"/>
      <c r="B970" s="45"/>
      <c r="C970" s="45"/>
      <c r="D970" s="45"/>
      <c r="E970" s="45"/>
      <c r="F970" s="45"/>
      <c r="G970" s="45"/>
      <c r="H970" s="45"/>
      <c r="I970" s="45"/>
      <c r="J970" s="45"/>
      <c r="K970" s="45"/>
      <c r="L970" s="45"/>
      <c r="M970" s="45"/>
    </row>
    <row r="971" ht="15.75" customHeight="1">
      <c r="A971" s="45"/>
      <c r="B971" s="45"/>
      <c r="C971" s="45"/>
      <c r="D971" s="45"/>
      <c r="E971" s="45"/>
      <c r="F971" s="45"/>
      <c r="G971" s="45"/>
      <c r="H971" s="45"/>
      <c r="I971" s="45"/>
      <c r="J971" s="45"/>
      <c r="K971" s="45"/>
      <c r="L971" s="45"/>
      <c r="M971" s="45"/>
    </row>
    <row r="972" ht="15.75" customHeight="1">
      <c r="A972" s="45"/>
      <c r="B972" s="45"/>
      <c r="C972" s="45"/>
      <c r="D972" s="45"/>
      <c r="E972" s="45"/>
      <c r="F972" s="45"/>
      <c r="G972" s="45"/>
      <c r="H972" s="45"/>
      <c r="I972" s="45"/>
      <c r="J972" s="45"/>
      <c r="K972" s="45"/>
      <c r="L972" s="45"/>
      <c r="M972" s="45"/>
    </row>
    <row r="973" ht="15.75" customHeight="1">
      <c r="A973" s="45"/>
      <c r="B973" s="45"/>
      <c r="C973" s="45"/>
      <c r="D973" s="45"/>
      <c r="E973" s="45"/>
      <c r="F973" s="45"/>
      <c r="G973" s="45"/>
      <c r="H973" s="45"/>
      <c r="I973" s="45"/>
      <c r="J973" s="45"/>
      <c r="K973" s="45"/>
      <c r="L973" s="45"/>
      <c r="M973" s="45"/>
    </row>
    <row r="974" ht="15.75" customHeight="1">
      <c r="A974" s="45"/>
      <c r="B974" s="45"/>
      <c r="C974" s="45"/>
      <c r="D974" s="45"/>
      <c r="E974" s="45"/>
      <c r="F974" s="45"/>
      <c r="G974" s="45"/>
      <c r="H974" s="45"/>
      <c r="I974" s="45"/>
      <c r="J974" s="45"/>
      <c r="K974" s="45"/>
      <c r="L974" s="45"/>
      <c r="M974" s="45"/>
    </row>
    <row r="975" ht="15.75" customHeight="1">
      <c r="A975" s="45"/>
      <c r="B975" s="45"/>
      <c r="C975" s="45"/>
      <c r="D975" s="45"/>
      <c r="E975" s="45"/>
      <c r="F975" s="45"/>
      <c r="G975" s="45"/>
      <c r="H975" s="45"/>
      <c r="I975" s="45"/>
      <c r="J975" s="45"/>
      <c r="K975" s="45"/>
      <c r="L975" s="45"/>
      <c r="M975" s="45"/>
    </row>
    <row r="976" ht="15.75" customHeight="1">
      <c r="A976" s="45"/>
      <c r="B976" s="45"/>
      <c r="C976" s="45"/>
      <c r="D976" s="45"/>
      <c r="E976" s="45"/>
      <c r="F976" s="45"/>
      <c r="G976" s="45"/>
      <c r="H976" s="45"/>
      <c r="I976" s="45"/>
      <c r="J976" s="45"/>
      <c r="K976" s="45"/>
      <c r="L976" s="45"/>
      <c r="M976" s="45"/>
    </row>
    <row r="977" ht="15.75" customHeight="1">
      <c r="A977" s="45"/>
      <c r="B977" s="45"/>
      <c r="C977" s="45"/>
      <c r="D977" s="45"/>
      <c r="E977" s="45"/>
      <c r="F977" s="45"/>
      <c r="G977" s="45"/>
      <c r="H977" s="45"/>
      <c r="I977" s="45"/>
      <c r="J977" s="45"/>
      <c r="K977" s="45"/>
      <c r="L977" s="45"/>
      <c r="M977" s="45"/>
    </row>
    <row r="978" ht="15.75" customHeight="1">
      <c r="A978" s="45"/>
      <c r="B978" s="45"/>
      <c r="C978" s="45"/>
      <c r="D978" s="45"/>
      <c r="E978" s="45"/>
      <c r="F978" s="45"/>
      <c r="G978" s="45"/>
      <c r="H978" s="45"/>
      <c r="I978" s="45"/>
      <c r="J978" s="45"/>
      <c r="K978" s="45"/>
      <c r="L978" s="45"/>
      <c r="M978" s="45"/>
    </row>
    <row r="979" ht="15.75" customHeight="1">
      <c r="A979" s="45"/>
      <c r="B979" s="45"/>
      <c r="C979" s="45"/>
      <c r="D979" s="45"/>
      <c r="E979" s="45"/>
      <c r="F979" s="45"/>
      <c r="G979" s="45"/>
      <c r="H979" s="45"/>
      <c r="I979" s="45"/>
      <c r="J979" s="45"/>
      <c r="K979" s="45"/>
      <c r="L979" s="45"/>
      <c r="M979" s="45"/>
    </row>
    <row r="980" ht="15.75" customHeight="1">
      <c r="A980" s="45"/>
      <c r="B980" s="45"/>
      <c r="C980" s="45"/>
      <c r="D980" s="45"/>
      <c r="E980" s="45"/>
      <c r="F980" s="45"/>
      <c r="G980" s="45"/>
      <c r="H980" s="45"/>
      <c r="I980" s="45"/>
      <c r="J980" s="45"/>
      <c r="K980" s="45"/>
      <c r="L980" s="45"/>
      <c r="M980" s="45"/>
    </row>
    <row r="981" ht="15.75" customHeight="1">
      <c r="A981" s="45"/>
      <c r="B981" s="45"/>
      <c r="C981" s="45"/>
      <c r="D981" s="45"/>
      <c r="E981" s="45"/>
      <c r="F981" s="45"/>
      <c r="G981" s="45"/>
      <c r="H981" s="45"/>
      <c r="I981" s="45"/>
      <c r="J981" s="45"/>
      <c r="K981" s="45"/>
      <c r="L981" s="45"/>
      <c r="M981" s="45"/>
    </row>
    <row r="982" ht="15.75" customHeight="1">
      <c r="A982" s="45"/>
      <c r="B982" s="45"/>
      <c r="C982" s="45"/>
      <c r="D982" s="45"/>
      <c r="E982" s="45"/>
      <c r="F982" s="45"/>
      <c r="G982" s="45"/>
      <c r="H982" s="45"/>
      <c r="I982" s="45"/>
      <c r="J982" s="45"/>
      <c r="K982" s="45"/>
      <c r="L982" s="45"/>
      <c r="M982" s="45"/>
    </row>
    <row r="983" ht="15.75" customHeight="1">
      <c r="A983" s="45"/>
      <c r="B983" s="45"/>
      <c r="C983" s="45"/>
      <c r="D983" s="45"/>
      <c r="E983" s="45"/>
      <c r="F983" s="45"/>
      <c r="G983" s="45"/>
      <c r="H983" s="45"/>
      <c r="I983" s="45"/>
      <c r="J983" s="45"/>
      <c r="K983" s="45"/>
      <c r="L983" s="45"/>
      <c r="M983" s="45"/>
    </row>
    <row r="984" ht="15.75" customHeight="1">
      <c r="A984" s="45"/>
      <c r="B984" s="45"/>
      <c r="C984" s="45"/>
      <c r="D984" s="45"/>
      <c r="E984" s="45"/>
      <c r="F984" s="45"/>
      <c r="G984" s="45"/>
      <c r="H984" s="45"/>
      <c r="I984" s="45"/>
      <c r="J984" s="45"/>
      <c r="K984" s="45"/>
      <c r="L984" s="45"/>
      <c r="M984" s="45"/>
    </row>
    <row r="985" ht="15.75" customHeight="1">
      <c r="A985" s="45"/>
      <c r="B985" s="45"/>
      <c r="C985" s="45"/>
      <c r="D985" s="45"/>
      <c r="E985" s="45"/>
      <c r="F985" s="45"/>
      <c r="G985" s="45"/>
      <c r="H985" s="45"/>
      <c r="I985" s="45"/>
      <c r="J985" s="45"/>
      <c r="K985" s="45"/>
      <c r="L985" s="45"/>
      <c r="M985" s="45"/>
    </row>
    <row r="986" ht="15.75" customHeight="1">
      <c r="A986" s="45"/>
      <c r="B986" s="45"/>
      <c r="C986" s="45"/>
      <c r="D986" s="45"/>
      <c r="E986" s="45"/>
      <c r="F986" s="45"/>
      <c r="G986" s="45"/>
      <c r="H986" s="45"/>
      <c r="I986" s="45"/>
      <c r="J986" s="45"/>
      <c r="K986" s="45"/>
      <c r="L986" s="45"/>
      <c r="M986" s="45"/>
    </row>
    <row r="987" ht="15.75" customHeight="1">
      <c r="A987" s="45"/>
      <c r="B987" s="45"/>
      <c r="C987" s="45"/>
      <c r="D987" s="45"/>
      <c r="E987" s="45"/>
      <c r="F987" s="45"/>
      <c r="G987" s="45"/>
      <c r="H987" s="45"/>
      <c r="I987" s="45"/>
      <c r="J987" s="45"/>
      <c r="K987" s="45"/>
      <c r="L987" s="45"/>
      <c r="M987" s="45"/>
    </row>
    <row r="988" ht="15.75" customHeight="1">
      <c r="A988" s="45"/>
      <c r="B988" s="45"/>
      <c r="C988" s="45"/>
      <c r="D988" s="45"/>
      <c r="E988" s="45"/>
      <c r="F988" s="45"/>
      <c r="G988" s="45"/>
      <c r="H988" s="45"/>
      <c r="I988" s="45"/>
      <c r="J988" s="45"/>
      <c r="K988" s="45"/>
      <c r="L988" s="45"/>
      <c r="M988" s="45"/>
    </row>
    <row r="989" ht="15.75" customHeight="1">
      <c r="A989" s="45"/>
      <c r="B989" s="45"/>
      <c r="C989" s="45"/>
      <c r="D989" s="45"/>
      <c r="E989" s="45"/>
      <c r="F989" s="45"/>
      <c r="G989" s="45"/>
      <c r="H989" s="45"/>
      <c r="I989" s="45"/>
      <c r="J989" s="45"/>
      <c r="K989" s="45"/>
      <c r="L989" s="45"/>
      <c r="M989" s="45"/>
    </row>
    <row r="990" ht="15.75" customHeight="1">
      <c r="A990" s="45"/>
      <c r="B990" s="45"/>
      <c r="C990" s="45"/>
      <c r="D990" s="45"/>
      <c r="E990" s="45"/>
      <c r="F990" s="45"/>
      <c r="G990" s="45"/>
      <c r="H990" s="45"/>
      <c r="I990" s="45"/>
      <c r="J990" s="45"/>
      <c r="K990" s="45"/>
      <c r="L990" s="45"/>
      <c r="M990" s="45"/>
    </row>
    <row r="991" ht="15.75" customHeight="1">
      <c r="A991" s="45"/>
      <c r="B991" s="45"/>
      <c r="C991" s="45"/>
      <c r="D991" s="45"/>
      <c r="E991" s="45"/>
      <c r="F991" s="45"/>
      <c r="G991" s="45"/>
      <c r="H991" s="45"/>
      <c r="I991" s="45"/>
      <c r="J991" s="45"/>
      <c r="K991" s="45"/>
      <c r="L991" s="45"/>
      <c r="M991" s="45"/>
    </row>
    <row r="992" ht="15.75" customHeight="1">
      <c r="A992" s="45"/>
      <c r="B992" s="45"/>
      <c r="C992" s="45"/>
      <c r="D992" s="45"/>
      <c r="E992" s="45"/>
      <c r="F992" s="45"/>
      <c r="G992" s="45"/>
      <c r="H992" s="45"/>
      <c r="I992" s="45"/>
      <c r="J992" s="45"/>
      <c r="K992" s="45"/>
      <c r="L992" s="45"/>
      <c r="M992" s="45"/>
    </row>
    <row r="993" ht="15.75" customHeight="1">
      <c r="A993" s="45"/>
      <c r="B993" s="45"/>
      <c r="C993" s="45"/>
      <c r="D993" s="45"/>
      <c r="E993" s="45"/>
      <c r="F993" s="45"/>
      <c r="G993" s="45"/>
      <c r="H993" s="45"/>
      <c r="I993" s="45"/>
      <c r="J993" s="45"/>
      <c r="K993" s="45"/>
      <c r="L993" s="45"/>
      <c r="M993" s="45"/>
    </row>
    <row r="994" ht="15.75" customHeight="1">
      <c r="A994" s="45"/>
      <c r="B994" s="45"/>
      <c r="C994" s="45"/>
      <c r="D994" s="45"/>
      <c r="E994" s="45"/>
      <c r="F994" s="45"/>
      <c r="G994" s="45"/>
      <c r="H994" s="45"/>
      <c r="I994" s="45"/>
      <c r="J994" s="45"/>
      <c r="K994" s="45"/>
      <c r="L994" s="45"/>
      <c r="M994" s="45"/>
    </row>
    <row r="995" ht="15.75" customHeight="1">
      <c r="A995" s="45"/>
      <c r="B995" s="45"/>
      <c r="C995" s="45"/>
      <c r="D995" s="45"/>
      <c r="E995" s="45"/>
      <c r="F995" s="45"/>
      <c r="G995" s="45"/>
      <c r="H995" s="45"/>
      <c r="I995" s="45"/>
      <c r="J995" s="45"/>
      <c r="K995" s="45"/>
      <c r="L995" s="45"/>
      <c r="M995" s="45"/>
    </row>
    <row r="996" ht="15.75" customHeight="1">
      <c r="A996" s="45"/>
      <c r="B996" s="45"/>
      <c r="C996" s="45"/>
      <c r="D996" s="45"/>
      <c r="E996" s="45"/>
      <c r="F996" s="45"/>
      <c r="G996" s="45"/>
      <c r="H996" s="45"/>
      <c r="I996" s="45"/>
      <c r="J996" s="45"/>
      <c r="K996" s="45"/>
      <c r="L996" s="45"/>
      <c r="M996" s="45"/>
    </row>
    <row r="997" ht="15.75" customHeight="1">
      <c r="A997" s="45"/>
      <c r="B997" s="45"/>
      <c r="C997" s="45"/>
      <c r="D997" s="45"/>
      <c r="E997" s="45"/>
      <c r="F997" s="45"/>
      <c r="G997" s="45"/>
      <c r="H997" s="45"/>
      <c r="I997" s="45"/>
      <c r="J997" s="45"/>
      <c r="K997" s="45"/>
      <c r="L997" s="45"/>
      <c r="M997" s="45"/>
    </row>
    <row r="998" ht="15.75" customHeight="1">
      <c r="A998" s="45"/>
      <c r="B998" s="45"/>
      <c r="C998" s="45"/>
      <c r="D998" s="45"/>
      <c r="E998" s="45"/>
      <c r="F998" s="45"/>
      <c r="G998" s="45"/>
      <c r="H998" s="45"/>
      <c r="I998" s="45"/>
      <c r="J998" s="45"/>
      <c r="K998" s="45"/>
      <c r="L998" s="45"/>
      <c r="M998" s="45"/>
    </row>
    <row r="999" ht="15.75" customHeight="1">
      <c r="A999" s="45"/>
      <c r="B999" s="45"/>
      <c r="C999" s="45"/>
      <c r="D999" s="45"/>
      <c r="E999" s="45"/>
      <c r="F999" s="45"/>
      <c r="G999" s="45"/>
      <c r="H999" s="45"/>
      <c r="I999" s="45"/>
      <c r="J999" s="45"/>
      <c r="K999" s="45"/>
      <c r="L999" s="45"/>
      <c r="M999" s="45"/>
    </row>
    <row r="1000" ht="15.75" customHeight="1">
      <c r="A1000" s="45"/>
      <c r="B1000" s="45"/>
      <c r="C1000" s="45"/>
      <c r="D1000" s="45"/>
      <c r="E1000" s="45"/>
      <c r="F1000" s="45"/>
      <c r="G1000" s="45"/>
      <c r="H1000" s="45"/>
      <c r="I1000" s="45"/>
      <c r="J1000" s="45"/>
      <c r="K1000" s="45"/>
      <c r="L1000" s="45"/>
      <c r="M1000" s="45"/>
    </row>
  </sheetData>
  <mergeCells count="67">
    <mergeCell ref="A21:D21"/>
    <mergeCell ref="A22:C22"/>
    <mergeCell ref="F22:H22"/>
    <mergeCell ref="K22:L22"/>
    <mergeCell ref="A23:C23"/>
    <mergeCell ref="K23:L23"/>
    <mergeCell ref="K24:L24"/>
    <mergeCell ref="A24:C24"/>
    <mergeCell ref="A25:F25"/>
    <mergeCell ref="G25:I25"/>
    <mergeCell ref="K25:L25"/>
    <mergeCell ref="A27:I27"/>
    <mergeCell ref="A28:I28"/>
    <mergeCell ref="A29:D29"/>
    <mergeCell ref="K31:L31"/>
    <mergeCell ref="K32:L32"/>
    <mergeCell ref="A30:C30"/>
    <mergeCell ref="F30:H30"/>
    <mergeCell ref="K30:L30"/>
    <mergeCell ref="A31:C31"/>
    <mergeCell ref="F31:H31"/>
    <mergeCell ref="A32:C32"/>
    <mergeCell ref="F32:H32"/>
    <mergeCell ref="A1:I1"/>
    <mergeCell ref="A2:I2"/>
    <mergeCell ref="A4:E4"/>
    <mergeCell ref="F4:I4"/>
    <mergeCell ref="F6:G6"/>
    <mergeCell ref="A9:I9"/>
    <mergeCell ref="A11:I11"/>
    <mergeCell ref="F14:H14"/>
    <mergeCell ref="F15:H15"/>
    <mergeCell ref="F16:H16"/>
    <mergeCell ref="K16:L16"/>
    <mergeCell ref="G17:I17"/>
    <mergeCell ref="K17:L17"/>
    <mergeCell ref="A12:I12"/>
    <mergeCell ref="A13:D13"/>
    <mergeCell ref="F13:I13"/>
    <mergeCell ref="K13:M13"/>
    <mergeCell ref="A14:C14"/>
    <mergeCell ref="K14:L14"/>
    <mergeCell ref="K15:L15"/>
    <mergeCell ref="A15:C15"/>
    <mergeCell ref="A16:C16"/>
    <mergeCell ref="A17:F17"/>
    <mergeCell ref="A19:I19"/>
    <mergeCell ref="A20:I20"/>
    <mergeCell ref="F21:I21"/>
    <mergeCell ref="K21:M21"/>
    <mergeCell ref="F23:H23"/>
    <mergeCell ref="F24:H24"/>
    <mergeCell ref="F29:I29"/>
    <mergeCell ref="K29:M29"/>
    <mergeCell ref="A40:M40"/>
    <mergeCell ref="A41:M41"/>
    <mergeCell ref="A42:M42"/>
    <mergeCell ref="A43:M43"/>
    <mergeCell ref="A45:M45"/>
    <mergeCell ref="A46:M46"/>
    <mergeCell ref="A33:F33"/>
    <mergeCell ref="G33:I33"/>
    <mergeCell ref="K33:L33"/>
    <mergeCell ref="A36:M36"/>
    <mergeCell ref="A37:M37"/>
    <mergeCell ref="A38:M38"/>
    <mergeCell ref="A39:M39"/>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61AD"/>
    <pageSetUpPr/>
  </sheetPr>
  <sheetViews>
    <sheetView workbookViewId="0">
      <pane ySplit="15.0" topLeftCell="A16" activePane="bottomLeft" state="frozen"/>
      <selection activeCell="B17" sqref="B17" pane="bottomLeft"/>
    </sheetView>
  </sheetViews>
  <sheetFormatPr customHeight="1" defaultColWidth="14.43" defaultRowHeight="15.0"/>
  <cols>
    <col customWidth="1" min="1" max="1" width="15.43"/>
    <col customWidth="1" min="2" max="2" width="13.71"/>
    <col customWidth="1" min="3" max="3" width="12.43"/>
    <col customWidth="1" min="4" max="4" width="11.0"/>
    <col customWidth="1" min="5" max="5" width="10.0"/>
    <col customWidth="1" min="6" max="6" width="13.71"/>
    <col customWidth="1" min="7" max="7" width="10.0"/>
    <col customWidth="1" min="8" max="8" width="11.0"/>
    <col customWidth="1" min="9" max="9" width="10.14"/>
    <col customWidth="1" min="10" max="10" width="15.14"/>
    <col customWidth="1" min="11" max="11" width="12.71"/>
    <col customWidth="1" min="12" max="12" width="11.29"/>
    <col customWidth="1" min="13" max="13" width="9.0"/>
  </cols>
  <sheetData>
    <row r="1" ht="36.0" customHeight="1">
      <c r="A1" s="169" t="s">
        <v>162</v>
      </c>
      <c r="B1" s="170"/>
      <c r="C1" s="170"/>
      <c r="D1" s="170"/>
      <c r="E1" s="170"/>
      <c r="F1" s="170"/>
      <c r="G1" s="170"/>
      <c r="H1" s="170"/>
      <c r="I1" s="170"/>
      <c r="J1" s="170"/>
      <c r="K1" s="170"/>
      <c r="L1" s="170"/>
      <c r="M1" s="171"/>
    </row>
    <row r="2" ht="18.0" customHeight="1">
      <c r="A2" s="172" t="s">
        <v>163</v>
      </c>
      <c r="B2" s="170"/>
      <c r="C2" s="170"/>
      <c r="D2" s="170"/>
      <c r="E2" s="170"/>
      <c r="F2" s="170"/>
      <c r="G2" s="170"/>
      <c r="H2" s="170"/>
      <c r="I2" s="170"/>
      <c r="J2" s="170"/>
      <c r="K2" s="170"/>
      <c r="L2" s="170"/>
      <c r="M2" s="171"/>
    </row>
    <row r="3">
      <c r="A3" s="45"/>
      <c r="B3" s="45"/>
      <c r="C3" s="45"/>
      <c r="D3" s="45"/>
      <c r="E3" s="45"/>
      <c r="F3" s="45"/>
      <c r="G3" s="45"/>
      <c r="H3" s="45"/>
      <c r="I3" s="45"/>
      <c r="J3" s="45"/>
      <c r="K3" s="45"/>
      <c r="L3" s="45"/>
      <c r="M3" s="45"/>
    </row>
    <row r="4" ht="21.75" customHeight="1">
      <c r="A4" s="173" t="s">
        <v>111</v>
      </c>
      <c r="B4" s="170"/>
      <c r="C4" s="170"/>
      <c r="D4" s="170"/>
      <c r="E4" s="170"/>
      <c r="F4" s="171"/>
      <c r="G4" s="45"/>
      <c r="H4" s="173" t="s">
        <v>112</v>
      </c>
      <c r="I4" s="170"/>
      <c r="J4" s="170"/>
      <c r="K4" s="170"/>
      <c r="L4" s="170"/>
      <c r="M4" s="171"/>
    </row>
    <row r="5" ht="15.0" customHeight="1">
      <c r="A5" s="128" t="s">
        <v>164</v>
      </c>
      <c r="B5" s="45"/>
      <c r="C5" s="129">
        <f>'Hypothèses'!B37</f>
        <v>95000</v>
      </c>
      <c r="D5" s="128" t="s">
        <v>165</v>
      </c>
      <c r="E5" s="45"/>
      <c r="F5" s="130">
        <f>'Hypothèses'!B39</f>
        <v>2.5</v>
      </c>
      <c r="G5" s="45"/>
      <c r="H5" s="128" t="s">
        <v>4</v>
      </c>
      <c r="I5" s="45"/>
      <c r="J5" s="129">
        <f>'Hypothèses'!B4</f>
        <v>260000</v>
      </c>
      <c r="K5" s="128" t="s">
        <v>166</v>
      </c>
      <c r="L5" s="45"/>
      <c r="M5" s="131" t="str">
        <f>'Hypothèses'!B9</f>
        <v>A</v>
      </c>
    </row>
    <row r="6" ht="15.0" customHeight="1">
      <c r="A6" s="128" t="s">
        <v>167</v>
      </c>
      <c r="B6" s="45"/>
      <c r="C6" s="129">
        <f>Moteur!P4</f>
        <v>12458.98</v>
      </c>
      <c r="D6" s="128" t="s">
        <v>115</v>
      </c>
      <c r="E6" s="45"/>
      <c r="F6" s="174">
        <f>Moteur!L4</f>
        <v>0.3</v>
      </c>
      <c r="G6" s="45"/>
      <c r="H6" s="128" t="s">
        <v>117</v>
      </c>
      <c r="I6" s="45"/>
      <c r="J6" s="134">
        <f>'Hypothèses'!F9</f>
        <v>47.5</v>
      </c>
      <c r="K6" s="128" t="s">
        <v>37</v>
      </c>
      <c r="L6" s="45"/>
      <c r="M6" s="131" t="str">
        <f>'Hypothèses'!B23</f>
        <v>Loyer intermédiaire</v>
      </c>
    </row>
    <row r="7" ht="15.0" customHeight="1">
      <c r="A7" s="128" t="s">
        <v>168</v>
      </c>
      <c r="B7" s="45"/>
      <c r="C7" s="129">
        <f>Moteur!AF4</f>
        <v>7366.682295</v>
      </c>
      <c r="D7" s="128" t="s">
        <v>169</v>
      </c>
      <c r="E7" s="45"/>
      <c r="F7" s="129">
        <f>Moteur!AG4</f>
        <v>5092.297705</v>
      </c>
      <c r="G7" s="45"/>
      <c r="H7" s="128" t="s">
        <v>170</v>
      </c>
      <c r="I7" s="45"/>
      <c r="J7" s="175">
        <f>'Hypothèses'!B25</f>
        <v>750</v>
      </c>
      <c r="K7" s="128"/>
      <c r="L7" s="45"/>
      <c r="M7" s="135"/>
    </row>
    <row r="8">
      <c r="A8" s="45"/>
      <c r="B8" s="45"/>
      <c r="C8" s="45"/>
      <c r="D8" s="45"/>
      <c r="E8" s="45"/>
      <c r="F8" s="45"/>
      <c r="G8" s="45"/>
      <c r="H8" s="45"/>
      <c r="I8" s="45"/>
      <c r="J8" s="45"/>
      <c r="K8" s="45"/>
      <c r="L8" s="45"/>
      <c r="M8" s="45"/>
    </row>
    <row r="9" ht="21.75" customHeight="1">
      <c r="A9" s="173" t="s">
        <v>171</v>
      </c>
      <c r="B9" s="170"/>
      <c r="C9" s="170"/>
      <c r="D9" s="170"/>
      <c r="E9" s="170"/>
      <c r="F9" s="171"/>
      <c r="G9" s="45"/>
      <c r="H9" s="173" t="s">
        <v>172</v>
      </c>
      <c r="I9" s="170"/>
      <c r="J9" s="170"/>
      <c r="K9" s="170"/>
      <c r="L9" s="170"/>
      <c r="M9" s="171"/>
    </row>
    <row r="10" ht="15.0" customHeight="1">
      <c r="A10" s="128" t="s">
        <v>25</v>
      </c>
      <c r="B10" s="45"/>
      <c r="C10" s="129">
        <f>'Hypothèses'!B14</f>
        <v>15000</v>
      </c>
      <c r="D10" s="45"/>
      <c r="E10" s="45"/>
      <c r="F10" s="45"/>
      <c r="G10" s="45"/>
      <c r="H10" s="128" t="s">
        <v>173</v>
      </c>
      <c r="I10" s="45"/>
      <c r="J10" s="129">
        <f>'Hypothèses'!B31</f>
        <v>208000</v>
      </c>
      <c r="K10" s="45"/>
      <c r="L10" s="45"/>
      <c r="M10" s="45"/>
    </row>
    <row r="11" ht="15.0" customHeight="1">
      <c r="A11" s="128" t="s">
        <v>26</v>
      </c>
      <c r="B11" s="45"/>
      <c r="C11" s="129">
        <f>'Hypothèses'!B15</f>
        <v>252800</v>
      </c>
      <c r="D11" s="45"/>
      <c r="E11" s="45"/>
      <c r="F11" s="45"/>
      <c r="G11" s="45"/>
      <c r="H11" s="128" t="s">
        <v>55</v>
      </c>
      <c r="I11" s="45"/>
      <c r="J11" s="129">
        <f>'Hypothèses'!B34</f>
        <v>7280</v>
      </c>
      <c r="K11" s="45"/>
      <c r="L11" s="45"/>
      <c r="M11" s="45"/>
    </row>
    <row r="12" ht="15.0" customHeight="1">
      <c r="A12" s="128" t="s">
        <v>174</v>
      </c>
      <c r="B12" s="45"/>
      <c r="C12" s="176">
        <f>'Hypothèses'!B16</f>
        <v>0.033</v>
      </c>
      <c r="D12" s="128" t="s">
        <v>175</v>
      </c>
      <c r="E12" s="45"/>
      <c r="F12" s="175">
        <f>'Tableau dAMT financier'!F8</f>
        <v>1312.356174</v>
      </c>
      <c r="G12" s="45"/>
      <c r="H12" s="128" t="s">
        <v>176</v>
      </c>
      <c r="I12" s="45"/>
      <c r="J12" s="129">
        <f>'Hypothèses'!B33</f>
        <v>8000</v>
      </c>
      <c r="K12" s="128" t="s">
        <v>177</v>
      </c>
      <c r="L12" s="45"/>
      <c r="M12" s="174">
        <f>'Hypothèses'!B28</f>
        <v>0.3</v>
      </c>
    </row>
    <row r="13">
      <c r="A13" s="45"/>
      <c r="B13" s="45"/>
      <c r="C13" s="45"/>
      <c r="D13" s="45"/>
      <c r="E13" s="45"/>
      <c r="F13" s="45"/>
      <c r="G13" s="45"/>
      <c r="H13" s="45"/>
      <c r="I13" s="45"/>
      <c r="J13" s="45"/>
      <c r="K13" s="45"/>
      <c r="L13" s="45"/>
      <c r="M13" s="45"/>
    </row>
    <row r="14" ht="24.0" customHeight="1">
      <c r="A14" s="177" t="s">
        <v>178</v>
      </c>
      <c r="B14" s="170"/>
      <c r="C14" s="170"/>
      <c r="D14" s="170"/>
      <c r="E14" s="170"/>
      <c r="F14" s="170"/>
      <c r="G14" s="170"/>
      <c r="H14" s="170"/>
      <c r="I14" s="170"/>
      <c r="J14" s="170"/>
      <c r="K14" s="170"/>
      <c r="L14" s="170"/>
      <c r="M14" s="171"/>
    </row>
    <row r="15" ht="34.5" customHeight="1">
      <c r="A15" s="178" t="s">
        <v>154</v>
      </c>
      <c r="B15" s="178" t="s">
        <v>179</v>
      </c>
      <c r="C15" s="178" t="s">
        <v>180</v>
      </c>
      <c r="D15" s="178" t="s">
        <v>181</v>
      </c>
      <c r="E15" s="178" t="s">
        <v>182</v>
      </c>
      <c r="F15" s="178" t="s">
        <v>183</v>
      </c>
      <c r="G15" s="178" t="s">
        <v>184</v>
      </c>
      <c r="H15" s="178" t="s">
        <v>185</v>
      </c>
      <c r="I15" s="178" t="s">
        <v>186</v>
      </c>
      <c r="J15" s="178" t="s">
        <v>187</v>
      </c>
      <c r="K15" s="179" t="s">
        <v>188</v>
      </c>
      <c r="L15" s="179" t="s">
        <v>189</v>
      </c>
      <c r="M15" s="180" t="s">
        <v>190</v>
      </c>
    </row>
    <row r="16" ht="13.5" customHeight="1">
      <c r="A16" s="181">
        <f>Moteur!A4</f>
        <v>1</v>
      </c>
      <c r="B16" s="182">
        <f>Moteur!B4</f>
        <v>9000</v>
      </c>
      <c r="C16" s="182">
        <f>'Tableau dAMT financier'!G16</f>
        <v>15748.27408</v>
      </c>
      <c r="D16" s="182">
        <f>Moteur!C4</f>
        <v>2700</v>
      </c>
      <c r="E16" s="182">
        <f>Moteur!F4</f>
        <v>7280</v>
      </c>
      <c r="F16" s="182">
        <f>Moteur!T4</f>
        <v>-9107.659016</v>
      </c>
      <c r="G16" s="182">
        <f>Moteur!P4</f>
        <v>12458.98</v>
      </c>
      <c r="H16" s="182">
        <f>Moteur!AF4</f>
        <v>7366.682295</v>
      </c>
      <c r="I16" s="183">
        <f>Moteur!AG4</f>
        <v>5092.297705</v>
      </c>
      <c r="J16" s="184">
        <f>Moteur!AI4</f>
        <v>-362.9980316</v>
      </c>
      <c r="K16" s="185">
        <f>Moteur!B102</f>
        <v>13820.61507</v>
      </c>
      <c r="L16" s="186">
        <f>Moteur!B107</f>
        <v>17720.61507</v>
      </c>
      <c r="M16" s="187">
        <f>'Hypothèses'!$B$31-Moteur!AL4</f>
        <v>200720</v>
      </c>
    </row>
    <row r="17" ht="13.5" customHeight="1">
      <c r="A17" s="188">
        <f>Moteur!A5</f>
        <v>2</v>
      </c>
      <c r="B17" s="189">
        <f>Moteur!B5</f>
        <v>9135</v>
      </c>
      <c r="C17" s="189">
        <f>'Tableau dAMT financier'!G17</f>
        <v>15748.27408</v>
      </c>
      <c r="D17" s="189">
        <f>Moteur!C5</f>
        <v>2740.5</v>
      </c>
      <c r="E17" s="189">
        <f>Moteur!F5</f>
        <v>7280</v>
      </c>
      <c r="F17" s="189">
        <f>Moteur!T5</f>
        <v>-4791.343724</v>
      </c>
      <c r="G17" s="189">
        <f>Moteur!P5</f>
        <v>12356.98</v>
      </c>
      <c r="H17" s="189">
        <f>Moteur!AF5</f>
        <v>8661.576883</v>
      </c>
      <c r="I17" s="190">
        <f>Moteur!AG5</f>
        <v>3695.403117</v>
      </c>
      <c r="J17" s="191">
        <f>Moteur!AI5</f>
        <v>-471.5309139</v>
      </c>
      <c r="K17" s="192">
        <f>Moteur!C102</f>
        <v>20663.04543</v>
      </c>
      <c r="L17" s="193">
        <f>Moteur!C107</f>
        <v>27465.04843</v>
      </c>
      <c r="M17" s="194">
        <f>'Hypothèses'!$B$31-Moteur!AL5</f>
        <v>193440</v>
      </c>
    </row>
    <row r="18" ht="13.5" customHeight="1">
      <c r="A18" s="181">
        <f>Moteur!A6</f>
        <v>3</v>
      </c>
      <c r="B18" s="182">
        <f>Moteur!B6</f>
        <v>9272.025</v>
      </c>
      <c r="C18" s="182">
        <f>'Tableau dAMT financier'!G18</f>
        <v>15748.27408</v>
      </c>
      <c r="D18" s="182">
        <f>Moteur!C6</f>
        <v>2781.6075</v>
      </c>
      <c r="E18" s="182">
        <f>Moteur!F6</f>
        <v>7280</v>
      </c>
      <c r="F18" s="182">
        <f>Moteur!T6</f>
        <v>-4466.179294</v>
      </c>
      <c r="G18" s="182">
        <f>Moteur!P6</f>
        <v>12356.98</v>
      </c>
      <c r="H18" s="182">
        <f>Moteur!AF6</f>
        <v>8759.126212</v>
      </c>
      <c r="I18" s="183">
        <f>Moteur!AG6</f>
        <v>3597.853788</v>
      </c>
      <c r="J18" s="184">
        <f>Moteur!AI6</f>
        <v>-471.6668997</v>
      </c>
      <c r="K18" s="185">
        <f>Moteur!D102</f>
        <v>26887.64272</v>
      </c>
      <c r="L18" s="186">
        <f>Moteur!D107</f>
        <v>34464.77156</v>
      </c>
      <c r="M18" s="187">
        <f>'Hypothèses'!$B$31-Moteur!AL6</f>
        <v>186160</v>
      </c>
    </row>
    <row r="19" ht="13.5" customHeight="1">
      <c r="A19" s="188">
        <f>Moteur!A7</f>
        <v>4</v>
      </c>
      <c r="B19" s="189">
        <f>Moteur!B7</f>
        <v>9411.105375</v>
      </c>
      <c r="C19" s="189">
        <f>'Tableau dAMT financier'!G19</f>
        <v>15748.27408</v>
      </c>
      <c r="D19" s="189">
        <f>Moteur!C7</f>
        <v>2823.331613</v>
      </c>
      <c r="E19" s="189">
        <f>Moteur!F7</f>
        <v>7280</v>
      </c>
      <c r="F19" s="189">
        <f>Moteur!T7</f>
        <v>-4131.895473</v>
      </c>
      <c r="G19" s="189">
        <f>Moteur!P7</f>
        <v>12356.98</v>
      </c>
      <c r="H19" s="189">
        <f>Moteur!AF7</f>
        <v>8859.411358</v>
      </c>
      <c r="I19" s="190">
        <f>Moteur!AG7</f>
        <v>3497.568642</v>
      </c>
      <c r="J19" s="191">
        <f>Moteur!AI7</f>
        <v>-471.9109733</v>
      </c>
      <c r="K19" s="192">
        <f>Moteur!E102</f>
        <v>31560.88757</v>
      </c>
      <c r="L19" s="193">
        <f>Moteur!E107</f>
        <v>41739.87334</v>
      </c>
      <c r="M19" s="194">
        <f>'Hypothèses'!$B$31-Moteur!AL7</f>
        <v>178880</v>
      </c>
    </row>
    <row r="20" ht="13.5" customHeight="1">
      <c r="A20" s="181">
        <f>Moteur!A8</f>
        <v>5</v>
      </c>
      <c r="B20" s="182">
        <f>Moteur!B8</f>
        <v>9552.271956</v>
      </c>
      <c r="C20" s="182">
        <f>'Tableau dAMT financier'!G20</f>
        <v>15748.27408</v>
      </c>
      <c r="D20" s="182">
        <f>Moteur!C8</f>
        <v>2865.681587</v>
      </c>
      <c r="E20" s="182">
        <f>Moteur!F8</f>
        <v>7280</v>
      </c>
      <c r="F20" s="182">
        <f>Moteur!T8</f>
        <v>-3788.213353</v>
      </c>
      <c r="G20" s="182">
        <f>Moteur!P8</f>
        <v>12356.98</v>
      </c>
      <c r="H20" s="182">
        <f>Moteur!AF8</f>
        <v>8962.515994</v>
      </c>
      <c r="I20" s="183">
        <f>Moteur!AG8</f>
        <v>3394.464006</v>
      </c>
      <c r="J20" s="184">
        <f>Moteur!AI8</f>
        <v>-472.2683091</v>
      </c>
      <c r="K20" s="185">
        <f>Moteur!F102</f>
        <v>36478.99793</v>
      </c>
      <c r="L20" s="186">
        <f>Moteur!F107</f>
        <v>49298.86849</v>
      </c>
      <c r="M20" s="187">
        <f>'Hypothèses'!$B$31-Moteur!AL8</f>
        <v>171600</v>
      </c>
    </row>
    <row r="21" ht="13.5" customHeight="1">
      <c r="A21" s="188">
        <f>Moteur!A9</f>
        <v>6</v>
      </c>
      <c r="B21" s="189">
        <f>Moteur!B9</f>
        <v>9695.556035</v>
      </c>
      <c r="C21" s="189">
        <f>'Tableau dAMT financier'!G21</f>
        <v>15748.27408</v>
      </c>
      <c r="D21" s="189">
        <f>Moteur!C9</f>
        <v>2908.66681</v>
      </c>
      <c r="E21" s="189">
        <f>Moteur!F9</f>
        <v>7280</v>
      </c>
      <c r="F21" s="189">
        <f>Moteur!T9</f>
        <v>-3434.845075</v>
      </c>
      <c r="G21" s="189">
        <f>Moteur!P9</f>
        <v>12356.98</v>
      </c>
      <c r="H21" s="189">
        <f>Moteur!AF9</f>
        <v>9068.526477</v>
      </c>
      <c r="I21" s="190">
        <f>Moteur!AG9</f>
        <v>3288.453523</v>
      </c>
      <c r="J21" s="191">
        <f>Moteur!AI9</f>
        <v>-472.7442781</v>
      </c>
      <c r="K21" s="192">
        <f>Moteur!G102</f>
        <v>50403.33771</v>
      </c>
      <c r="L21" s="193">
        <f>Moteur!G107</f>
        <v>71403.45493</v>
      </c>
      <c r="M21" s="194">
        <f>'Hypothèses'!$B$31-Moteur!AL9</f>
        <v>164320</v>
      </c>
    </row>
    <row r="22" ht="13.5" customHeight="1">
      <c r="A22" s="181">
        <f>Moteur!A10</f>
        <v>7</v>
      </c>
      <c r="B22" s="182">
        <f>Moteur!B10</f>
        <v>9840.989375</v>
      </c>
      <c r="C22" s="182">
        <f>'Tableau dAMT financier'!G22</f>
        <v>15748.27408</v>
      </c>
      <c r="D22" s="182">
        <f>Moteur!C10</f>
        <v>2952.296813</v>
      </c>
      <c r="E22" s="182">
        <f>Moteur!F10</f>
        <v>7280</v>
      </c>
      <c r="F22" s="182">
        <f>Moteur!T10</f>
        <v>-3071.493545</v>
      </c>
      <c r="G22" s="182">
        <f>Moteur!P10</f>
        <v>12356.98</v>
      </c>
      <c r="H22" s="182">
        <f>Moteur!AF10</f>
        <v>9177.531936</v>
      </c>
      <c r="I22" s="183">
        <f>Moteur!AG10</f>
        <v>3179.448064</v>
      </c>
      <c r="J22" s="184">
        <f>Moteur!AI10</f>
        <v>-473.3444548</v>
      </c>
      <c r="K22" s="185">
        <f>Moteur!H102</f>
        <v>58471.42569</v>
      </c>
      <c r="L22" s="186">
        <f>Moteur!H107</f>
        <v>80020.53617</v>
      </c>
      <c r="M22" s="187">
        <f>'Hypothèses'!$B$31-Moteur!AL10</f>
        <v>157040</v>
      </c>
    </row>
    <row r="23" ht="13.5" customHeight="1">
      <c r="A23" s="188">
        <f>Moteur!A11</f>
        <v>8</v>
      </c>
      <c r="B23" s="189">
        <f>Moteur!B11</f>
        <v>9988.604216</v>
      </c>
      <c r="C23" s="189">
        <f>'Tableau dAMT financier'!G23</f>
        <v>15748.27408</v>
      </c>
      <c r="D23" s="189">
        <f>Moteur!C11</f>
        <v>2996.581265</v>
      </c>
      <c r="E23" s="189">
        <f>Moteur!F11</f>
        <v>7280</v>
      </c>
      <c r="F23" s="189">
        <f>Moteur!T11</f>
        <v>-2697.852126</v>
      </c>
      <c r="G23" s="189">
        <f>Moteur!P11</f>
        <v>12356.98</v>
      </c>
      <c r="H23" s="189">
        <f>Moteur!AF11</f>
        <v>9289.624362</v>
      </c>
      <c r="I23" s="190">
        <f>Moteur!AG11</f>
        <v>3067.355638</v>
      </c>
      <c r="J23" s="191">
        <f>Moteur!AI11</f>
        <v>-474.0746246</v>
      </c>
      <c r="K23" s="192">
        <f>Moteur!I102</f>
        <v>66809.8247</v>
      </c>
      <c r="L23" s="193">
        <f>Moteur!I107</f>
        <v>89280.21045</v>
      </c>
      <c r="M23" s="194">
        <f>'Hypothèses'!$B$31-Moteur!AL11</f>
        <v>149760</v>
      </c>
    </row>
    <row r="24" ht="13.5" customHeight="1">
      <c r="A24" s="195">
        <f>Moteur!A12</f>
        <v>9</v>
      </c>
      <c r="B24" s="196">
        <f>Moteur!B12</f>
        <v>10138.43328</v>
      </c>
      <c r="C24" s="196">
        <f>'Tableau dAMT financier'!G24</f>
        <v>15748.27408</v>
      </c>
      <c r="D24" s="196">
        <f>Moteur!C12</f>
        <v>3041.529984</v>
      </c>
      <c r="E24" s="196">
        <f>Moteur!F12</f>
        <v>7280</v>
      </c>
      <c r="F24" s="196">
        <f>Moteur!T12</f>
        <v>-2313.604323</v>
      </c>
      <c r="G24" s="196">
        <f>Moteur!P12</f>
        <v>12356.98</v>
      </c>
      <c r="H24" s="196">
        <f>Moteur!AF12</f>
        <v>9404.898703</v>
      </c>
      <c r="I24" s="197">
        <f>Moteur!AG12</f>
        <v>2952.081297</v>
      </c>
      <c r="J24" s="198">
        <f>Moteur!AI12</f>
        <v>-474.940791</v>
      </c>
      <c r="K24" s="199">
        <f>Moteur!J102</f>
        <v>73286.1542</v>
      </c>
      <c r="L24" s="200">
        <f>Moteur!J107</f>
        <v>99194.93325</v>
      </c>
      <c r="M24" s="201">
        <f>'Hypothèses'!$B$31-Moteur!AL12</f>
        <v>142480</v>
      </c>
    </row>
    <row r="25" ht="13.5" customHeight="1">
      <c r="A25" s="202">
        <f>Moteur!A13</f>
        <v>10</v>
      </c>
      <c r="B25" s="203">
        <f>Moteur!B13</f>
        <v>10290.50978</v>
      </c>
      <c r="C25" s="203">
        <f>'Tableau dAMT financier'!G25</f>
        <v>15748.27408</v>
      </c>
      <c r="D25" s="203">
        <f>Moteur!C13</f>
        <v>3087.152934</v>
      </c>
      <c r="E25" s="203">
        <f>Moteur!F13</f>
        <v>7280</v>
      </c>
      <c r="F25" s="203">
        <f>Moteur!T13</f>
        <v>-1918.423463</v>
      </c>
      <c r="G25" s="203">
        <f>Moteur!P13</f>
        <v>12356.98</v>
      </c>
      <c r="H25" s="203">
        <f>Moteur!AF13</f>
        <v>9523.452961</v>
      </c>
      <c r="I25" s="204">
        <f>Moteur!AG13</f>
        <v>2833.527039</v>
      </c>
      <c r="J25" s="205">
        <f>Moteur!AI13</f>
        <v>-475.9491833</v>
      </c>
      <c r="K25" s="206">
        <f>Moteur!K102</f>
        <v>80175.50194</v>
      </c>
      <c r="L25" s="207">
        <f>Moteur!K107</f>
        <v>109777.5283</v>
      </c>
      <c r="M25" s="208">
        <f>'Hypothèses'!$B$31-Moteur!AL13</f>
        <v>135200</v>
      </c>
    </row>
    <row r="26" ht="13.5" customHeight="1">
      <c r="A26" s="181">
        <f>Moteur!A14</f>
        <v>11</v>
      </c>
      <c r="B26" s="182">
        <f>Moteur!B14</f>
        <v>10444.86743</v>
      </c>
      <c r="C26" s="182">
        <f>'Tableau dAMT financier'!G26</f>
        <v>15748.27408</v>
      </c>
      <c r="D26" s="182">
        <f>Moteur!C14</f>
        <v>3133.460228</v>
      </c>
      <c r="E26" s="182">
        <f>Moteur!F14</f>
        <v>7280</v>
      </c>
      <c r="F26" s="182">
        <f>Moteur!T14</f>
        <v>-1511.972359</v>
      </c>
      <c r="G26" s="182">
        <f>Moteur!P14</f>
        <v>12356.98</v>
      </c>
      <c r="H26" s="182">
        <f>Moteur!AF14</f>
        <v>9645.388292</v>
      </c>
      <c r="I26" s="183">
        <f>Moteur!AG14</f>
        <v>2711.591708</v>
      </c>
      <c r="J26" s="184">
        <f>Moteur!AI14</f>
        <v>-477.1062649</v>
      </c>
      <c r="K26" s="185">
        <f>Moteur!L102</f>
        <v>87570.5557</v>
      </c>
      <c r="L26" s="186">
        <f>Moteur!L107</f>
        <v>121041.1991</v>
      </c>
      <c r="M26" s="187">
        <f>'Hypothèses'!$B$31-Moteur!AL14</f>
        <v>127920</v>
      </c>
    </row>
    <row r="27" ht="13.5" customHeight="1">
      <c r="A27" s="188">
        <f>Moteur!A15</f>
        <v>12</v>
      </c>
      <c r="B27" s="189">
        <f>Moteur!B15</f>
        <v>10601.54044</v>
      </c>
      <c r="C27" s="189">
        <f>'Tableau dAMT financier'!G27</f>
        <v>15748.27408</v>
      </c>
      <c r="D27" s="189">
        <f>Moteur!C15</f>
        <v>3180.462131</v>
      </c>
      <c r="E27" s="189">
        <f>Moteur!F15</f>
        <v>7280</v>
      </c>
      <c r="F27" s="189">
        <f>Moteur!T15</f>
        <v>-1093.902962</v>
      </c>
      <c r="G27" s="189">
        <f>Moteur!P15</f>
        <v>12356.98</v>
      </c>
      <c r="H27" s="189">
        <f>Moteur!AF15</f>
        <v>9770.809111</v>
      </c>
      <c r="I27" s="190">
        <f>Moteur!AG15</f>
        <v>2586.170889</v>
      </c>
      <c r="J27" s="191">
        <f>Moteur!AI15</f>
        <v>-478.4187408</v>
      </c>
      <c r="K27" s="192">
        <f>Moteur!M102</f>
        <v>95481.31304</v>
      </c>
      <c r="L27" s="193">
        <f>Moteur!M107</f>
        <v>132999.5403</v>
      </c>
      <c r="M27" s="194">
        <f>'Hypothèses'!$B$31-Moteur!AL15</f>
        <v>120640</v>
      </c>
    </row>
    <row r="28" ht="13.5" customHeight="1">
      <c r="A28" s="181">
        <f>Moteur!A16</f>
        <v>13</v>
      </c>
      <c r="B28" s="182">
        <f>Moteur!B16</f>
        <v>10760.56354</v>
      </c>
      <c r="C28" s="182">
        <f>'Tableau dAMT financier'!G28</f>
        <v>15748.27408</v>
      </c>
      <c r="D28" s="182">
        <f>Moteur!C16</f>
        <v>3228.169063</v>
      </c>
      <c r="E28" s="182">
        <f>Moteur!F16</f>
        <v>7280</v>
      </c>
      <c r="F28" s="182">
        <f>Moteur!T16</f>
        <v>-663.8560053</v>
      </c>
      <c r="G28" s="182">
        <f>Moteur!P16</f>
        <v>12356.98</v>
      </c>
      <c r="H28" s="182">
        <f>Moteur!AF16</f>
        <v>9899.823198</v>
      </c>
      <c r="I28" s="183">
        <f>Moteur!AG16</f>
        <v>2457.156802</v>
      </c>
      <c r="J28" s="184">
        <f>Moteur!AI16</f>
        <v>-479.8935668</v>
      </c>
      <c r="K28" s="185">
        <f>Moteur!N102</f>
        <v>103918.1064</v>
      </c>
      <c r="L28" s="186">
        <f>Moteur!N107</f>
        <v>145666.55</v>
      </c>
      <c r="M28" s="187">
        <f>'Hypothèses'!$B$31-Moteur!AL16</f>
        <v>113360</v>
      </c>
    </row>
    <row r="29" ht="13.5" customHeight="1">
      <c r="A29" s="188">
        <f>Moteur!A17</f>
        <v>14</v>
      </c>
      <c r="B29" s="189">
        <f>Moteur!B17</f>
        <v>10921.972</v>
      </c>
      <c r="C29" s="189">
        <f>'Tableau dAMT financier'!G29</f>
        <v>15748.27408</v>
      </c>
      <c r="D29" s="189">
        <f>Moteur!C17</f>
        <v>3276.591599</v>
      </c>
      <c r="E29" s="189">
        <f>Moteur!F17</f>
        <v>7280</v>
      </c>
      <c r="F29" s="189">
        <f>Moteur!T17</f>
        <v>-221.4606364</v>
      </c>
      <c r="G29" s="189">
        <f>Moteur!P17</f>
        <v>12356.98</v>
      </c>
      <c r="H29" s="189">
        <f>Moteur!AF17</f>
        <v>10032.54181</v>
      </c>
      <c r="I29" s="190">
        <f>Moteur!AG17</f>
        <v>2324.438191</v>
      </c>
      <c r="J29" s="191">
        <f>Moteur!AI17</f>
        <v>-481.537958</v>
      </c>
      <c r="K29" s="192">
        <f>Moteur!O102</f>
        <v>112891.6146</v>
      </c>
      <c r="L29" s="193">
        <f>Moteur!O107</f>
        <v>159056.6423</v>
      </c>
      <c r="M29" s="194">
        <f>'Hypothèses'!$B$31-Moteur!AL17</f>
        <v>106080</v>
      </c>
    </row>
    <row r="30" ht="13.5" customHeight="1">
      <c r="A30" s="209">
        <f>Moteur!A18</f>
        <v>15</v>
      </c>
      <c r="B30" s="210">
        <f>Moteur!B18</f>
        <v>11085.80158</v>
      </c>
      <c r="C30" s="210">
        <f>'Tableau dAMT financier'!G30</f>
        <v>15748.27408</v>
      </c>
      <c r="D30" s="210">
        <f>Moteur!C18</f>
        <v>3325.740473</v>
      </c>
      <c r="E30" s="210">
        <f>Moteur!F18</f>
        <v>7280</v>
      </c>
      <c r="F30" s="210">
        <f>Moteur!T18</f>
        <v>233.6659661</v>
      </c>
      <c r="G30" s="210">
        <f>Moteur!P18</f>
        <v>12356.98</v>
      </c>
      <c r="H30" s="210">
        <f>Moteur!AF18</f>
        <v>10209.27034</v>
      </c>
      <c r="I30" s="211">
        <f>Moteur!AG18</f>
        <v>2147.709664</v>
      </c>
      <c r="J30" s="212">
        <f>Moteur!AI18</f>
        <v>-486.7086097</v>
      </c>
      <c r="K30" s="213">
        <f>Moteur!P102</f>
        <v>122412.8739</v>
      </c>
      <c r="L30" s="214">
        <f>Moteur!P107</f>
        <v>173184.6599</v>
      </c>
      <c r="M30" s="215">
        <f>'Hypothèses'!$B$31-Moteur!AL18</f>
        <v>98800</v>
      </c>
    </row>
    <row r="31" ht="13.5" customHeight="1">
      <c r="A31" s="188">
        <f>Moteur!A19</f>
        <v>16</v>
      </c>
      <c r="B31" s="189">
        <f>Moteur!B19</f>
        <v>11252.0886</v>
      </c>
      <c r="C31" s="189">
        <f>'Tableau dAMT financier'!G31</f>
        <v>15748.27408</v>
      </c>
      <c r="D31" s="189">
        <f>Moteur!C19</f>
        <v>3375.62658</v>
      </c>
      <c r="E31" s="189">
        <f>Moteur!F19</f>
        <v>7280</v>
      </c>
      <c r="F31" s="189">
        <f>Moteur!T19</f>
        <v>701.9189862</v>
      </c>
      <c r="G31" s="189">
        <f>Moteur!P19</f>
        <v>12356.98</v>
      </c>
      <c r="H31" s="189">
        <f>Moteur!AF19</f>
        <v>10425.51898</v>
      </c>
      <c r="I31" s="190">
        <f>Moteur!AG19</f>
        <v>1931.461024</v>
      </c>
      <c r="J31" s="191">
        <f>Moteur!AI19</f>
        <v>-495.0292533</v>
      </c>
      <c r="K31" s="192">
        <f>Moteur!Q102</f>
        <v>132493.2906</v>
      </c>
      <c r="L31" s="193">
        <f>Moteur!Q107</f>
        <v>188065.8876</v>
      </c>
      <c r="M31" s="194">
        <f>'Hypothèses'!$B$31-Moteur!AL19</f>
        <v>91520</v>
      </c>
    </row>
    <row r="32" ht="13.5" customHeight="1">
      <c r="A32" s="181">
        <f>Moteur!A20</f>
        <v>17</v>
      </c>
      <c r="B32" s="182">
        <f>Moteur!B20</f>
        <v>11420.86993</v>
      </c>
      <c r="C32" s="182">
        <f>'Tableau dAMT financier'!G32</f>
        <v>15748.27408</v>
      </c>
      <c r="D32" s="182">
        <f>Moteur!C20</f>
        <v>3426.260979</v>
      </c>
      <c r="E32" s="182">
        <f>Moteur!F20</f>
        <v>7280</v>
      </c>
      <c r="F32" s="182">
        <f>Moteur!T20</f>
        <v>1183.706378</v>
      </c>
      <c r="G32" s="182">
        <f>Moteur!P20</f>
        <v>12356.98</v>
      </c>
      <c r="H32" s="182">
        <f>Moteur!AF20</f>
        <v>10643.37026</v>
      </c>
      <c r="I32" s="183">
        <f>Moteur!AG20</f>
        <v>1713.609737</v>
      </c>
      <c r="J32" s="184">
        <f>Moteur!AI20</f>
        <v>-503.3379497</v>
      </c>
      <c r="K32" s="185">
        <f>Moteur!R102</f>
        <v>143144.653</v>
      </c>
      <c r="L32" s="186">
        <f>Moteur!R107</f>
        <v>203716.0659</v>
      </c>
      <c r="M32" s="187">
        <f>'Hypothèses'!$B$31-Moteur!AL20</f>
        <v>84240</v>
      </c>
    </row>
    <row r="33" ht="13.5" customHeight="1">
      <c r="A33" s="188">
        <f>Moteur!A21</f>
        <v>18</v>
      </c>
      <c r="B33" s="189">
        <f>Moteur!B21</f>
        <v>11592.18298</v>
      </c>
      <c r="C33" s="189">
        <f>'Tableau dAMT financier'!G33</f>
        <v>15748.27408</v>
      </c>
      <c r="D33" s="189">
        <f>Moteur!C21</f>
        <v>3477.654893</v>
      </c>
      <c r="E33" s="189">
        <f>Moteur!F21</f>
        <v>7280</v>
      </c>
      <c r="F33" s="189">
        <f>Moteur!T21</f>
        <v>1679.449284</v>
      </c>
      <c r="G33" s="189">
        <f>Moteur!P21</f>
        <v>12356.98</v>
      </c>
      <c r="H33" s="189">
        <f>Moteur!AF21</f>
        <v>10867.53245</v>
      </c>
      <c r="I33" s="190">
        <f>Moteur!AG21</f>
        <v>1489.447548</v>
      </c>
      <c r="J33" s="191">
        <f>Moteur!AI21</f>
        <v>-512.024871</v>
      </c>
      <c r="K33" s="192">
        <f>Moteur!S102</f>
        <v>154379.1445</v>
      </c>
      <c r="L33" s="193">
        <f>Moteur!S107</f>
        <v>220151.4051</v>
      </c>
      <c r="M33" s="194">
        <f>'Hypothèses'!$B$31-Moteur!AL21</f>
        <v>76960</v>
      </c>
    </row>
    <row r="34" ht="13.5" customHeight="1">
      <c r="A34" s="181">
        <f>Moteur!A22</f>
        <v>19</v>
      </c>
      <c r="B34" s="182">
        <f>Moteur!B22</f>
        <v>11766.06572</v>
      </c>
      <c r="C34" s="182">
        <f>'Tableau dAMT financier'!G34</f>
        <v>15748.27408</v>
      </c>
      <c r="D34" s="182">
        <f>Moteur!C22</f>
        <v>3529.819717</v>
      </c>
      <c r="E34" s="182">
        <f>Moteur!F22</f>
        <v>7280</v>
      </c>
      <c r="F34" s="182">
        <f>Moteur!T22</f>
        <v>2189.582476</v>
      </c>
      <c r="G34" s="182">
        <f>Moteur!P22</f>
        <v>12356.98</v>
      </c>
      <c r="H34" s="182">
        <f>Moteur!AF22</f>
        <v>11098.20216</v>
      </c>
      <c r="I34" s="183">
        <f>Moteur!AG22</f>
        <v>1258.777837</v>
      </c>
      <c r="J34" s="184">
        <f>Moteur!AI22</f>
        <v>-521.1041868</v>
      </c>
      <c r="K34" s="185">
        <f>Moteur!T102</f>
        <v>166209.3565</v>
      </c>
      <c r="L34" s="186">
        <f>Moteur!T107</f>
        <v>237388.6001</v>
      </c>
      <c r="M34" s="187">
        <f>'Hypothèses'!$B$31-Moteur!AL22</f>
        <v>69680</v>
      </c>
    </row>
    <row r="35" ht="13.5" customHeight="1">
      <c r="A35" s="216">
        <f>Moteur!A23</f>
        <v>20</v>
      </c>
      <c r="B35" s="217">
        <f>Moteur!B23</f>
        <v>11942.55671</v>
      </c>
      <c r="C35" s="217">
        <f>'Tableau dAMT financier'!G35</f>
        <v>15748.27408</v>
      </c>
      <c r="D35" s="217">
        <f>Moteur!C23</f>
        <v>3582.767012</v>
      </c>
      <c r="E35" s="217">
        <f>Moteur!F23</f>
        <v>7280</v>
      </c>
      <c r="F35" s="217">
        <f>Moteur!T23</f>
        <v>2714.554796</v>
      </c>
      <c r="G35" s="217">
        <f>Moteur!P23</f>
        <v>12356.98</v>
      </c>
      <c r="H35" s="217">
        <f>Moteur!AF23</f>
        <v>11335.58238</v>
      </c>
      <c r="I35" s="218">
        <f>Moteur!AG23</f>
        <v>1021.397619</v>
      </c>
      <c r="J35" s="219">
        <f>Moteur!AI23</f>
        <v>-530.5905641</v>
      </c>
      <c r="K35" s="220">
        <f>Moteur!U102</f>
        <v>178648.3025</v>
      </c>
      <c r="L35" s="221">
        <f>Moteur!U107</f>
        <v>255444.8451</v>
      </c>
      <c r="M35" s="222">
        <f>'Hypothèses'!$B$31-Moteur!AL23</f>
        <v>62400</v>
      </c>
    </row>
    <row r="36" ht="13.5" customHeight="1">
      <c r="A36" s="181">
        <f>Moteur!A24</f>
        <v>21</v>
      </c>
      <c r="B36" s="182">
        <f>Moteur!B24</f>
        <v>12121.69506</v>
      </c>
      <c r="C36" s="182">
        <f>'Tableau dAMT financier'!G36</f>
        <v>15748.27408</v>
      </c>
      <c r="D36" s="182">
        <f>Moteur!C24</f>
        <v>3636.508518</v>
      </c>
      <c r="E36" s="182">
        <f>Moteur!F24</f>
        <v>7280</v>
      </c>
      <c r="F36" s="182">
        <f>Moteur!T24</f>
        <v>3254.829627</v>
      </c>
      <c r="G36" s="182">
        <f>Moteur!P24</f>
        <v>12356.98</v>
      </c>
      <c r="H36" s="182">
        <f>Moteur!AF24</f>
        <v>11579.88267</v>
      </c>
      <c r="I36" s="183">
        <f>Moteur!AG24</f>
        <v>777.097334</v>
      </c>
      <c r="J36" s="184">
        <f>Moteur!AI24</f>
        <v>-540.4991841</v>
      </c>
      <c r="K36" s="185">
        <f>Moteur!V102</f>
        <v>191709.4317</v>
      </c>
      <c r="L36" s="186">
        <f>Moteur!V107</f>
        <v>274337.8495</v>
      </c>
      <c r="M36" s="187">
        <f>'Hypothèses'!$B$31-Moteur!AL24</f>
        <v>55120</v>
      </c>
    </row>
    <row r="37" ht="13.5" customHeight="1">
      <c r="A37" s="188">
        <f>Moteur!A25</f>
        <v>22</v>
      </c>
      <c r="B37" s="189">
        <f>Moteur!B25</f>
        <v>12303.52048</v>
      </c>
      <c r="C37" s="189">
        <f>'Tableau dAMT financier'!G37</f>
        <v>15748.27408</v>
      </c>
      <c r="D37" s="189">
        <f>Moteur!C25</f>
        <v>3691.056145</v>
      </c>
      <c r="E37" s="189">
        <f>Moteur!F25</f>
        <v>7280</v>
      </c>
      <c r="F37" s="189">
        <f>Moteur!T25</f>
        <v>3810.88537</v>
      </c>
      <c r="G37" s="189">
        <f>Moteur!P25</f>
        <v>12356.98</v>
      </c>
      <c r="H37" s="189">
        <f>Moteur!AF25</f>
        <v>11831.31937</v>
      </c>
      <c r="I37" s="190">
        <f>Moteur!AG25</f>
        <v>525.6606296</v>
      </c>
      <c r="J37" s="191">
        <f>Moteur!AI25</f>
        <v>-550.8457596</v>
      </c>
      <c r="K37" s="192">
        <f>Moteur!W102</f>
        <v>205011.5933</v>
      </c>
      <c r="L37" s="193">
        <f>Moteur!W107</f>
        <v>293299.2241</v>
      </c>
      <c r="M37" s="194">
        <f>'Hypothèses'!$B$31-Moteur!AL25</f>
        <v>47840</v>
      </c>
    </row>
    <row r="38" ht="13.5" customHeight="1">
      <c r="A38" s="181">
        <f>Moteur!A26</f>
        <v>23</v>
      </c>
      <c r="B38" s="182">
        <f>Moteur!B26</f>
        <v>12488.07329</v>
      </c>
      <c r="C38" s="182">
        <f>'Tableau dAMT financier'!G38</f>
        <v>15748.27408</v>
      </c>
      <c r="D38" s="182">
        <f>Moteur!C26</f>
        <v>3746.421988</v>
      </c>
      <c r="E38" s="182">
        <f>Moteur!F26</f>
        <v>7280</v>
      </c>
      <c r="F38" s="182">
        <f>Moteur!T26</f>
        <v>4383.215941</v>
      </c>
      <c r="G38" s="182">
        <f>Moteur!P26</f>
        <v>12356.98</v>
      </c>
      <c r="H38" s="182">
        <f>Moteur!AF26</f>
        <v>12090.11586</v>
      </c>
      <c r="I38" s="183">
        <f>Moteur!AG26</f>
        <v>266.8641375</v>
      </c>
      <c r="J38" s="184">
        <f>Moteur!AI26</f>
        <v>-561.6465535</v>
      </c>
      <c r="K38" s="185">
        <f>Moteur!X102</f>
        <v>219466.2681</v>
      </c>
      <c r="L38" s="186">
        <f>Moteur!X107</f>
        <v>314138.8737</v>
      </c>
      <c r="M38" s="187">
        <f>'Hypothèses'!$B$31-Moteur!AL26</f>
        <v>40560</v>
      </c>
    </row>
    <row r="39" ht="13.5" customHeight="1">
      <c r="A39" s="188">
        <f>Moteur!A27</f>
        <v>24</v>
      </c>
      <c r="B39" s="189">
        <f>Moteur!B27</f>
        <v>12675.39439</v>
      </c>
      <c r="C39" s="189">
        <f>'Tableau dAMT financier'!G39</f>
        <v>15748.27408</v>
      </c>
      <c r="D39" s="189">
        <f>Moteur!C27</f>
        <v>3802.618317</v>
      </c>
      <c r="E39" s="189">
        <f>Moteur!F27</f>
        <v>7280</v>
      </c>
      <c r="F39" s="189">
        <f>Moteur!T27</f>
        <v>4972.331279</v>
      </c>
      <c r="G39" s="189">
        <f>Moteur!P27</f>
        <v>12356.98</v>
      </c>
      <c r="H39" s="189">
        <f>Moteur!AF27</f>
        <v>12356.50276</v>
      </c>
      <c r="I39" s="190">
        <f>Moteur!AG27</f>
        <v>0.4772415655</v>
      </c>
      <c r="J39" s="191">
        <f>Moteur!AI27</f>
        <v>-572.9183974</v>
      </c>
      <c r="K39" s="192">
        <f>Moteur!Y102</f>
        <v>234604.3222</v>
      </c>
      <c r="L39" s="193">
        <f>Moteur!Y107</f>
        <v>335903.0757</v>
      </c>
      <c r="M39" s="194">
        <f>'Hypothèses'!$B$31-Moteur!AL27</f>
        <v>33280</v>
      </c>
    </row>
    <row r="40" ht="13.5" customHeight="1">
      <c r="A40" s="181">
        <f>Moteur!A28</f>
        <v>25</v>
      </c>
      <c r="B40" s="182">
        <f>Moteur!B28</f>
        <v>12865.52531</v>
      </c>
      <c r="C40" s="182">
        <f>'Tableau dAMT financier'!G40</f>
        <v>15748.27408</v>
      </c>
      <c r="D40" s="182">
        <f>Moteur!C28</f>
        <v>3859.657592</v>
      </c>
      <c r="E40" s="182">
        <f>Moteur!F28</f>
        <v>7280</v>
      </c>
      <c r="F40" s="182">
        <f>Moteur!T28</f>
        <v>5578.75788</v>
      </c>
      <c r="G40" s="182">
        <f>Moteur!P28</f>
        <v>12356.98</v>
      </c>
      <c r="H40" s="182">
        <f>Moteur!AF28</f>
        <v>12630.71816</v>
      </c>
      <c r="I40" s="183">
        <f>Moteur!AG28</f>
        <v>-273.7381614</v>
      </c>
      <c r="J40" s="184">
        <f>Moteur!AI28</f>
        <v>-584.6787108</v>
      </c>
      <c r="K40" s="185">
        <f>Moteur!Z102</f>
        <v>250441.1</v>
      </c>
      <c r="L40" s="186">
        <f>Moteur!Z107</f>
        <v>358612.0678</v>
      </c>
      <c r="M40" s="187">
        <f>'Hypothèses'!$B$31-Moteur!AL28</f>
        <v>26000</v>
      </c>
    </row>
    <row r="41" ht="18.0" customHeight="1">
      <c r="A41" s="223" t="s">
        <v>191</v>
      </c>
      <c r="B41" s="224">
        <f t="shared" ref="B41:E41" si="1">SUM(B16:B40)</f>
        <v>270567.2125</v>
      </c>
      <c r="C41" s="224">
        <f t="shared" si="1"/>
        <v>393706.8521</v>
      </c>
      <c r="D41" s="224">
        <f t="shared" si="1"/>
        <v>81170.16374</v>
      </c>
      <c r="E41" s="224">
        <f t="shared" si="1"/>
        <v>182000</v>
      </c>
      <c r="F41" s="223"/>
      <c r="G41" s="223"/>
      <c r="H41" s="223"/>
      <c r="I41" s="224">
        <f>SUM(I16:I40)</f>
        <v>55536.57502</v>
      </c>
      <c r="J41" s="223"/>
      <c r="K41" s="223"/>
      <c r="L41" s="223"/>
      <c r="M41" s="223"/>
    </row>
    <row r="42" ht="15.75" customHeight="1">
      <c r="A42" s="45"/>
      <c r="B42" s="45"/>
      <c r="C42" s="45"/>
      <c r="D42" s="45"/>
      <c r="E42" s="45"/>
      <c r="F42" s="45"/>
      <c r="G42" s="45"/>
      <c r="H42" s="45"/>
      <c r="I42" s="45"/>
      <c r="J42" s="45"/>
      <c r="K42" s="45"/>
      <c r="L42" s="45"/>
      <c r="M42" s="45"/>
    </row>
    <row r="43" ht="15.75" customHeight="1">
      <c r="A43" s="225" t="s">
        <v>192</v>
      </c>
    </row>
    <row r="44" ht="15.75" customHeight="1">
      <c r="A44" s="225" t="s">
        <v>193</v>
      </c>
    </row>
    <row r="45" ht="15.75" customHeight="1">
      <c r="A45" s="45"/>
      <c r="B45" s="45"/>
      <c r="C45" s="45"/>
      <c r="D45" s="45"/>
      <c r="E45" s="45"/>
      <c r="F45" s="45"/>
      <c r="G45" s="45"/>
      <c r="H45" s="45"/>
      <c r="I45" s="45"/>
      <c r="J45" s="45"/>
      <c r="K45" s="45"/>
      <c r="L45" s="45"/>
      <c r="M45" s="45"/>
    </row>
    <row r="46" ht="31.5" customHeight="1">
      <c r="A46" s="169" t="s">
        <v>194</v>
      </c>
      <c r="B46" s="170"/>
      <c r="C46" s="170"/>
      <c r="D46" s="170"/>
      <c r="E46" s="170"/>
      <c r="F46" s="170"/>
      <c r="G46" s="170"/>
      <c r="H46" s="170"/>
      <c r="I46" s="170"/>
      <c r="J46" s="170"/>
      <c r="K46" s="170"/>
      <c r="L46" s="170"/>
      <c r="M46" s="171"/>
    </row>
    <row r="47" ht="15.75" customHeight="1">
      <c r="A47" s="45"/>
      <c r="B47" s="45"/>
      <c r="C47" s="45"/>
      <c r="D47" s="45"/>
      <c r="E47" s="45"/>
      <c r="F47" s="45"/>
      <c r="G47" s="45"/>
      <c r="H47" s="45"/>
      <c r="I47" s="45"/>
      <c r="J47" s="45"/>
      <c r="K47" s="45"/>
      <c r="L47" s="45"/>
      <c r="M47" s="45"/>
    </row>
    <row r="48" ht="3.75" customHeight="1">
      <c r="A48" s="226"/>
      <c r="B48" s="45"/>
      <c r="C48" s="45"/>
      <c r="D48" s="45"/>
      <c r="E48" s="45"/>
      <c r="F48" s="45"/>
      <c r="G48" s="45"/>
      <c r="H48" s="45"/>
      <c r="I48" s="45"/>
      <c r="J48" s="45"/>
      <c r="K48" s="45"/>
      <c r="L48" s="45"/>
      <c r="M48" s="45"/>
    </row>
    <row r="49" ht="21.75" customHeight="1">
      <c r="A49" s="227"/>
      <c r="B49" s="228"/>
      <c r="C49" s="228"/>
      <c r="D49" s="228"/>
      <c r="E49" s="228"/>
      <c r="F49" s="228"/>
      <c r="G49" s="228"/>
      <c r="H49" s="228"/>
      <c r="I49" s="228"/>
      <c r="J49" s="228"/>
      <c r="K49" s="228"/>
      <c r="L49" s="228"/>
      <c r="M49" s="228"/>
    </row>
    <row r="50" ht="27.75" customHeight="1">
      <c r="A50" s="229"/>
      <c r="B50" s="228"/>
      <c r="C50" s="228"/>
      <c r="D50" s="228"/>
      <c r="E50" s="228"/>
      <c r="F50" s="228"/>
      <c r="G50" s="228"/>
      <c r="H50" s="228"/>
      <c r="I50" s="228"/>
      <c r="J50" s="228"/>
      <c r="K50" s="228"/>
      <c r="L50" s="228"/>
      <c r="M50" s="228"/>
    </row>
    <row r="51" ht="27.75" customHeight="1">
      <c r="A51" s="229"/>
      <c r="B51" s="228"/>
      <c r="C51" s="228"/>
      <c r="D51" s="228"/>
      <c r="E51" s="228"/>
      <c r="F51" s="228"/>
      <c r="G51" s="228"/>
      <c r="H51" s="228"/>
      <c r="I51" s="228"/>
      <c r="J51" s="228"/>
      <c r="K51" s="228"/>
      <c r="L51" s="228"/>
      <c r="M51" s="228"/>
    </row>
    <row r="52" ht="27.75" customHeight="1">
      <c r="A52" s="229"/>
      <c r="B52" s="228"/>
      <c r="C52" s="228"/>
      <c r="D52" s="228"/>
      <c r="E52" s="228"/>
      <c r="F52" s="228"/>
      <c r="G52" s="228"/>
      <c r="H52" s="228"/>
      <c r="I52" s="228"/>
      <c r="J52" s="228"/>
      <c r="K52" s="228"/>
      <c r="L52" s="228"/>
      <c r="M52" s="228"/>
    </row>
    <row r="53" ht="27.75" customHeight="1">
      <c r="A53" s="229"/>
      <c r="B53" s="228"/>
      <c r="C53" s="228"/>
      <c r="D53" s="228"/>
      <c r="E53" s="228"/>
      <c r="F53" s="228"/>
      <c r="G53" s="228"/>
      <c r="H53" s="228"/>
      <c r="I53" s="228"/>
      <c r="J53" s="228"/>
      <c r="K53" s="228"/>
      <c r="L53" s="228"/>
      <c r="M53" s="228"/>
    </row>
    <row r="54" ht="27.75" customHeight="1">
      <c r="A54" s="229"/>
      <c r="B54" s="228"/>
      <c r="C54" s="228"/>
      <c r="D54" s="228"/>
      <c r="E54" s="228"/>
      <c r="F54" s="228"/>
      <c r="G54" s="228"/>
      <c r="H54" s="228"/>
      <c r="I54" s="228"/>
      <c r="J54" s="228"/>
      <c r="K54" s="228"/>
      <c r="L54" s="228"/>
      <c r="M54" s="228"/>
    </row>
    <row r="55" ht="15.75" customHeight="1">
      <c r="A55" s="228"/>
      <c r="B55" s="228"/>
      <c r="C55" s="228"/>
      <c r="D55" s="228"/>
      <c r="E55" s="228"/>
      <c r="F55" s="228"/>
      <c r="G55" s="228"/>
      <c r="H55" s="228"/>
      <c r="I55" s="228"/>
      <c r="J55" s="228"/>
      <c r="K55" s="228"/>
      <c r="L55" s="228"/>
      <c r="M55" s="228"/>
    </row>
    <row r="56" ht="3.0" customHeight="1">
      <c r="A56" s="230"/>
      <c r="B56" s="228"/>
      <c r="C56" s="228"/>
      <c r="D56" s="228"/>
      <c r="E56" s="228"/>
      <c r="F56" s="228"/>
      <c r="G56" s="228"/>
      <c r="H56" s="228"/>
      <c r="I56" s="228"/>
      <c r="J56" s="228"/>
      <c r="K56" s="228"/>
      <c r="L56" s="228"/>
      <c r="M56" s="228"/>
    </row>
    <row r="57" ht="15.75" customHeight="1">
      <c r="A57" s="228"/>
      <c r="B57" s="228"/>
      <c r="C57" s="228"/>
      <c r="D57" s="228"/>
      <c r="E57" s="228"/>
      <c r="F57" s="228"/>
      <c r="G57" s="228"/>
      <c r="H57" s="228"/>
      <c r="I57" s="228"/>
      <c r="J57" s="228"/>
      <c r="K57" s="228"/>
      <c r="L57" s="228"/>
      <c r="M57" s="228"/>
    </row>
    <row r="58" ht="15.75" customHeight="1">
      <c r="A58" s="228"/>
      <c r="B58" s="228"/>
      <c r="C58" s="228"/>
      <c r="D58" s="228"/>
      <c r="E58" s="228"/>
      <c r="F58" s="228"/>
      <c r="G58" s="228"/>
      <c r="H58" s="228"/>
      <c r="I58" s="228"/>
      <c r="J58" s="228"/>
      <c r="K58" s="228"/>
      <c r="L58" s="228"/>
      <c r="M58" s="228"/>
    </row>
    <row r="59" ht="15.75" customHeight="1">
      <c r="A59" s="231"/>
      <c r="B59" s="228"/>
      <c r="C59" s="228"/>
      <c r="D59" s="228"/>
      <c r="E59" s="228"/>
      <c r="F59" s="228"/>
      <c r="G59" s="228"/>
      <c r="H59" s="228"/>
      <c r="I59" s="228"/>
      <c r="J59" s="228"/>
      <c r="K59" s="228"/>
      <c r="L59" s="228"/>
      <c r="M59" s="228"/>
    </row>
    <row r="60" ht="15.75" customHeight="1">
      <c r="A60" s="45"/>
      <c r="B60" s="45"/>
      <c r="C60" s="45"/>
      <c r="D60" s="45"/>
      <c r="E60" s="45"/>
      <c r="F60" s="45"/>
      <c r="G60" s="45"/>
      <c r="H60" s="45"/>
      <c r="I60" s="45"/>
      <c r="J60" s="45"/>
      <c r="K60" s="45"/>
      <c r="L60" s="45"/>
      <c r="M60" s="45"/>
    </row>
    <row r="61" ht="15.75" customHeight="1">
      <c r="A61" s="45"/>
      <c r="B61" s="45"/>
      <c r="C61" s="45"/>
      <c r="D61" s="45"/>
      <c r="E61" s="45"/>
      <c r="F61" s="45"/>
      <c r="G61" s="45"/>
      <c r="H61" s="45"/>
      <c r="I61" s="45"/>
      <c r="J61" s="45"/>
      <c r="K61" s="45"/>
      <c r="L61" s="45"/>
      <c r="M61" s="45"/>
    </row>
    <row r="62" ht="15.75" customHeight="1">
      <c r="A62" s="45"/>
      <c r="B62" s="45"/>
      <c r="C62" s="45"/>
      <c r="D62" s="45"/>
      <c r="E62" s="45"/>
      <c r="F62" s="45"/>
      <c r="G62" s="45"/>
      <c r="H62" s="45"/>
      <c r="I62" s="45"/>
      <c r="J62" s="45"/>
      <c r="K62" s="45"/>
      <c r="L62" s="45"/>
      <c r="M62" s="45"/>
    </row>
    <row r="63" ht="15.75" customHeight="1">
      <c r="A63" s="45"/>
      <c r="B63" s="45"/>
      <c r="C63" s="45"/>
      <c r="D63" s="45"/>
      <c r="E63" s="45"/>
      <c r="F63" s="45"/>
      <c r="G63" s="45"/>
      <c r="H63" s="45"/>
      <c r="I63" s="45"/>
      <c r="J63" s="45"/>
      <c r="K63" s="45"/>
      <c r="L63" s="45"/>
      <c r="M63" s="45"/>
    </row>
    <row r="64" ht="15.75" customHeight="1">
      <c r="A64" s="45"/>
      <c r="B64" s="45"/>
      <c r="C64" s="45"/>
      <c r="D64" s="45"/>
      <c r="E64" s="45"/>
      <c r="F64" s="45"/>
      <c r="G64" s="45"/>
      <c r="H64" s="45"/>
      <c r="I64" s="45"/>
      <c r="J64" s="45"/>
      <c r="K64" s="45"/>
      <c r="L64" s="45"/>
      <c r="M64" s="45"/>
    </row>
    <row r="65" ht="15.75" customHeight="1">
      <c r="A65" s="45"/>
      <c r="B65" s="45"/>
      <c r="C65" s="45"/>
      <c r="D65" s="45"/>
      <c r="E65" s="45"/>
      <c r="F65" s="45"/>
      <c r="G65" s="45"/>
      <c r="H65" s="45"/>
      <c r="I65" s="45"/>
      <c r="J65" s="45"/>
      <c r="K65" s="45"/>
      <c r="L65" s="45"/>
      <c r="M65" s="45"/>
    </row>
    <row r="66" ht="15.75" customHeight="1">
      <c r="A66" s="45"/>
      <c r="B66" s="45"/>
      <c r="C66" s="45"/>
      <c r="D66" s="45"/>
      <c r="E66" s="45"/>
      <c r="F66" s="45"/>
      <c r="G66" s="45"/>
      <c r="H66" s="45"/>
      <c r="I66" s="45"/>
      <c r="J66" s="45"/>
      <c r="K66" s="45"/>
      <c r="L66" s="45"/>
      <c r="M66" s="45"/>
    </row>
    <row r="67" ht="15.75" customHeight="1">
      <c r="A67" s="45"/>
      <c r="B67" s="45"/>
      <c r="C67" s="45"/>
      <c r="D67" s="45"/>
      <c r="E67" s="45"/>
      <c r="F67" s="45"/>
      <c r="G67" s="45"/>
      <c r="H67" s="45"/>
      <c r="I67" s="45"/>
      <c r="J67" s="45"/>
      <c r="K67" s="45"/>
      <c r="L67" s="45"/>
      <c r="M67" s="45"/>
    </row>
    <row r="68" ht="15.75" customHeight="1">
      <c r="A68" s="45"/>
      <c r="B68" s="45"/>
      <c r="C68" s="45"/>
      <c r="D68" s="45"/>
      <c r="E68" s="45"/>
      <c r="F68" s="45"/>
      <c r="G68" s="45"/>
      <c r="H68" s="45"/>
      <c r="I68" s="45"/>
      <c r="J68" s="45"/>
      <c r="K68" s="45"/>
      <c r="L68" s="45"/>
      <c r="M68" s="45"/>
    </row>
    <row r="69" ht="15.75" customHeight="1">
      <c r="A69" s="45"/>
      <c r="B69" s="45"/>
      <c r="C69" s="45"/>
      <c r="D69" s="45"/>
      <c r="E69" s="45"/>
      <c r="F69" s="45"/>
      <c r="G69" s="45"/>
      <c r="H69" s="45"/>
      <c r="I69" s="45"/>
      <c r="J69" s="45"/>
      <c r="K69" s="45"/>
      <c r="L69" s="45"/>
      <c r="M69" s="45"/>
    </row>
    <row r="70" ht="15.75" customHeight="1">
      <c r="A70" s="45"/>
      <c r="B70" s="45"/>
      <c r="C70" s="45"/>
      <c r="D70" s="45"/>
      <c r="E70" s="45"/>
      <c r="F70" s="45"/>
      <c r="G70" s="45"/>
      <c r="H70" s="45"/>
      <c r="I70" s="45"/>
      <c r="J70" s="45"/>
      <c r="K70" s="45"/>
      <c r="L70" s="45"/>
      <c r="M70" s="45"/>
    </row>
    <row r="71" ht="15.75" customHeight="1">
      <c r="A71" s="45"/>
      <c r="B71" s="45"/>
      <c r="C71" s="45"/>
      <c r="D71" s="45"/>
      <c r="E71" s="45"/>
      <c r="F71" s="45"/>
      <c r="G71" s="45"/>
      <c r="H71" s="45"/>
      <c r="I71" s="45"/>
      <c r="J71" s="45"/>
      <c r="K71" s="45"/>
      <c r="L71" s="45"/>
      <c r="M71" s="45"/>
    </row>
    <row r="72" ht="15.75" customHeight="1">
      <c r="A72" s="45"/>
      <c r="B72" s="45"/>
      <c r="C72" s="45"/>
      <c r="D72" s="45"/>
      <c r="E72" s="45"/>
      <c r="F72" s="45"/>
      <c r="G72" s="45"/>
      <c r="H72" s="45"/>
      <c r="I72" s="45"/>
      <c r="J72" s="45"/>
      <c r="K72" s="45"/>
      <c r="L72" s="45"/>
      <c r="M72" s="45"/>
    </row>
    <row r="73" ht="15.75" customHeight="1">
      <c r="A73" s="159" t="s">
        <v>195</v>
      </c>
      <c r="B73" s="52"/>
      <c r="C73" s="52"/>
      <c r="D73" s="52"/>
      <c r="E73" s="52"/>
      <c r="F73" s="52"/>
      <c r="G73" s="52"/>
      <c r="H73" s="52"/>
      <c r="I73" s="52"/>
      <c r="J73" s="52"/>
      <c r="K73" s="52"/>
      <c r="L73" s="52"/>
      <c r="M73" s="30"/>
    </row>
    <row r="74" ht="15.75" customHeight="1">
      <c r="A74" s="160" t="s">
        <v>196</v>
      </c>
    </row>
    <row r="75" ht="15.75" customHeight="1">
      <c r="A75" s="160" t="s">
        <v>197</v>
      </c>
    </row>
    <row r="76" ht="15.75" customHeight="1">
      <c r="A76" s="160" t="s">
        <v>147</v>
      </c>
    </row>
    <row r="77" ht="15.75" customHeight="1">
      <c r="A77" s="161" t="s">
        <v>148</v>
      </c>
    </row>
    <row r="78" ht="15.75" customHeight="1">
      <c r="A78" s="161" t="s">
        <v>149</v>
      </c>
    </row>
    <row r="79" ht="15.75" customHeight="1">
      <c r="A79" s="161" t="s">
        <v>198</v>
      </c>
    </row>
    <row r="80" ht="15.75" customHeight="1">
      <c r="A80" s="160" t="s">
        <v>199</v>
      </c>
    </row>
    <row r="81" ht="15.75" customHeight="1">
      <c r="A81" s="164"/>
      <c r="B81" s="45"/>
      <c r="C81" s="45"/>
      <c r="D81" s="45"/>
      <c r="E81" s="45"/>
      <c r="F81" s="45"/>
      <c r="G81" s="45"/>
      <c r="H81" s="45"/>
      <c r="I81" s="45"/>
      <c r="J81" s="45"/>
      <c r="K81" s="45"/>
      <c r="L81" s="45"/>
      <c r="M81" s="45"/>
    </row>
    <row r="82" ht="15.75" customHeight="1">
      <c r="A82" s="164" t="s">
        <v>152</v>
      </c>
    </row>
    <row r="83" ht="15.75" customHeight="1">
      <c r="A83" s="232"/>
      <c r="B83" s="45"/>
      <c r="C83" s="45"/>
      <c r="D83" s="45"/>
      <c r="E83" s="45"/>
      <c r="F83" s="45"/>
      <c r="G83" s="45"/>
      <c r="H83" s="45"/>
      <c r="I83" s="45"/>
      <c r="J83" s="45"/>
      <c r="K83" s="45"/>
      <c r="L83" s="45"/>
      <c r="M83" s="45"/>
    </row>
    <row r="84" ht="15.75" customHeight="1">
      <c r="A84" s="232" t="s">
        <v>151</v>
      </c>
    </row>
    <row r="85" ht="15.75" customHeight="1">
      <c r="A85" s="45"/>
      <c r="B85" s="45"/>
      <c r="C85" s="45"/>
      <c r="D85" s="45"/>
      <c r="E85" s="45"/>
      <c r="F85" s="45"/>
      <c r="G85" s="45"/>
      <c r="H85" s="45"/>
      <c r="I85" s="45"/>
      <c r="J85" s="45"/>
      <c r="K85" s="45"/>
      <c r="L85" s="45"/>
      <c r="M85" s="45"/>
    </row>
    <row r="86" ht="15.75" customHeight="1">
      <c r="A86" s="45"/>
      <c r="B86" s="45"/>
      <c r="C86" s="45"/>
      <c r="D86" s="45"/>
      <c r="E86" s="45"/>
      <c r="F86" s="45"/>
      <c r="G86" s="45"/>
      <c r="H86" s="45"/>
      <c r="I86" s="45"/>
      <c r="J86" s="45"/>
      <c r="K86" s="45"/>
      <c r="L86" s="45"/>
      <c r="M86" s="45"/>
    </row>
    <row r="87" ht="15.75" customHeight="1">
      <c r="A87" s="45"/>
      <c r="B87" s="45"/>
      <c r="C87" s="45"/>
      <c r="D87" s="45"/>
      <c r="E87" s="45"/>
      <c r="F87" s="45"/>
      <c r="G87" s="45"/>
      <c r="H87" s="45"/>
      <c r="I87" s="45"/>
      <c r="J87" s="45"/>
      <c r="K87" s="45"/>
      <c r="L87" s="45"/>
      <c r="M87" s="45"/>
    </row>
    <row r="88" ht="15.75" customHeight="1">
      <c r="A88" s="45"/>
      <c r="B88" s="45"/>
      <c r="C88" s="45"/>
      <c r="D88" s="45"/>
      <c r="E88" s="45"/>
      <c r="F88" s="45"/>
      <c r="G88" s="45"/>
      <c r="H88" s="45"/>
      <c r="I88" s="45"/>
      <c r="J88" s="45"/>
      <c r="K88" s="45"/>
      <c r="L88" s="45"/>
      <c r="M88" s="45"/>
    </row>
    <row r="89" ht="15.75" customHeight="1">
      <c r="A89" s="45"/>
      <c r="B89" s="45"/>
      <c r="C89" s="45"/>
      <c r="D89" s="45"/>
      <c r="E89" s="45"/>
      <c r="F89" s="45"/>
      <c r="G89" s="45"/>
      <c r="H89" s="45"/>
      <c r="I89" s="45"/>
      <c r="J89" s="45"/>
      <c r="K89" s="45"/>
      <c r="L89" s="45"/>
      <c r="M89" s="45"/>
    </row>
    <row r="90" ht="15.75" customHeight="1">
      <c r="A90" s="45"/>
      <c r="B90" s="45"/>
      <c r="C90" s="45"/>
      <c r="D90" s="45"/>
      <c r="E90" s="45"/>
      <c r="F90" s="45"/>
      <c r="G90" s="45"/>
      <c r="H90" s="45"/>
      <c r="I90" s="45"/>
      <c r="J90" s="45"/>
      <c r="K90" s="45"/>
      <c r="L90" s="45"/>
      <c r="M90" s="45"/>
    </row>
    <row r="91" ht="15.75" customHeight="1">
      <c r="A91" s="45"/>
      <c r="B91" s="45"/>
      <c r="C91" s="45"/>
      <c r="D91" s="45"/>
      <c r="E91" s="45"/>
      <c r="F91" s="45"/>
      <c r="G91" s="45"/>
      <c r="H91" s="45"/>
      <c r="I91" s="45"/>
      <c r="J91" s="45"/>
      <c r="K91" s="45"/>
      <c r="L91" s="45"/>
      <c r="M91" s="45"/>
    </row>
    <row r="92" ht="15.75" customHeight="1">
      <c r="A92" s="45"/>
      <c r="B92" s="45"/>
      <c r="C92" s="45"/>
      <c r="D92" s="45"/>
      <c r="E92" s="45"/>
      <c r="F92" s="45"/>
      <c r="G92" s="45"/>
      <c r="H92" s="45"/>
      <c r="I92" s="45"/>
      <c r="J92" s="45"/>
      <c r="K92" s="45"/>
      <c r="L92" s="45"/>
      <c r="M92" s="45"/>
    </row>
    <row r="93" ht="15.75" customHeight="1">
      <c r="A93" s="45"/>
      <c r="B93" s="45"/>
      <c r="C93" s="45"/>
      <c r="D93" s="45"/>
      <c r="E93" s="45"/>
      <c r="F93" s="45"/>
      <c r="G93" s="45"/>
      <c r="H93" s="45"/>
      <c r="I93" s="45"/>
      <c r="J93" s="45"/>
      <c r="K93" s="45"/>
      <c r="L93" s="45"/>
      <c r="M93" s="45"/>
    </row>
    <row r="94" ht="15.75" customHeight="1">
      <c r="A94" s="45"/>
      <c r="B94" s="45"/>
      <c r="C94" s="45"/>
      <c r="D94" s="45"/>
      <c r="E94" s="45"/>
      <c r="F94" s="45"/>
      <c r="G94" s="45"/>
      <c r="H94" s="45"/>
      <c r="I94" s="45"/>
      <c r="J94" s="45"/>
      <c r="K94" s="45"/>
      <c r="L94" s="45"/>
      <c r="M94" s="45"/>
    </row>
    <row r="95" ht="15.75" customHeight="1">
      <c r="A95" s="45"/>
      <c r="B95" s="45"/>
      <c r="C95" s="45"/>
      <c r="D95" s="45"/>
      <c r="E95" s="45"/>
      <c r="F95" s="45"/>
      <c r="G95" s="45"/>
      <c r="H95" s="45"/>
      <c r="I95" s="45"/>
      <c r="J95" s="45"/>
      <c r="K95" s="45"/>
      <c r="L95" s="45"/>
      <c r="M95" s="45"/>
    </row>
    <row r="96" ht="15.75" customHeight="1">
      <c r="A96" s="45"/>
      <c r="B96" s="45"/>
      <c r="C96" s="45"/>
      <c r="D96" s="45"/>
      <c r="E96" s="45"/>
      <c r="F96" s="45"/>
      <c r="G96" s="45"/>
      <c r="H96" s="45"/>
      <c r="I96" s="45"/>
      <c r="J96" s="45"/>
      <c r="K96" s="45"/>
      <c r="L96" s="45"/>
      <c r="M96" s="45"/>
    </row>
    <row r="97" ht="15.75" customHeight="1">
      <c r="A97" s="45"/>
      <c r="B97" s="45"/>
      <c r="C97" s="45"/>
      <c r="D97" s="45"/>
      <c r="E97" s="45"/>
      <c r="F97" s="45"/>
      <c r="G97" s="45"/>
      <c r="H97" s="45"/>
      <c r="I97" s="45"/>
      <c r="J97" s="45"/>
      <c r="K97" s="45"/>
      <c r="L97" s="45"/>
      <c r="M97" s="45"/>
    </row>
    <row r="98" ht="15.75" customHeight="1">
      <c r="A98" s="45"/>
      <c r="B98" s="45"/>
      <c r="C98" s="45"/>
      <c r="D98" s="45"/>
      <c r="E98" s="45"/>
      <c r="F98" s="45"/>
      <c r="G98" s="45"/>
      <c r="H98" s="45"/>
      <c r="I98" s="45"/>
      <c r="J98" s="45"/>
      <c r="K98" s="45"/>
      <c r="L98" s="45"/>
      <c r="M98" s="45"/>
    </row>
    <row r="99" ht="15.75" customHeight="1">
      <c r="A99" s="45"/>
      <c r="B99" s="45"/>
      <c r="C99" s="45"/>
      <c r="D99" s="45"/>
      <c r="E99" s="45"/>
      <c r="F99" s="45"/>
      <c r="G99" s="45"/>
      <c r="H99" s="45"/>
      <c r="I99" s="45"/>
      <c r="J99" s="45"/>
      <c r="K99" s="45"/>
      <c r="L99" s="45"/>
      <c r="M99" s="45"/>
    </row>
    <row r="100" ht="15.75" customHeight="1">
      <c r="A100" s="45"/>
      <c r="B100" s="45"/>
      <c r="C100" s="45"/>
      <c r="D100" s="45"/>
      <c r="E100" s="45"/>
      <c r="F100" s="45"/>
      <c r="G100" s="45"/>
      <c r="H100" s="45"/>
      <c r="I100" s="45"/>
      <c r="J100" s="45"/>
      <c r="K100" s="45"/>
      <c r="L100" s="45"/>
      <c r="M100" s="45"/>
    </row>
    <row r="101" ht="15.75" customHeight="1">
      <c r="A101" s="45"/>
      <c r="B101" s="45"/>
      <c r="C101" s="45"/>
      <c r="D101" s="45"/>
      <c r="E101" s="45"/>
      <c r="F101" s="45"/>
      <c r="G101" s="45"/>
      <c r="H101" s="45"/>
      <c r="I101" s="45"/>
      <c r="J101" s="45"/>
      <c r="K101" s="45"/>
      <c r="L101" s="45"/>
      <c r="M101" s="45"/>
    </row>
    <row r="102" ht="15.75" customHeight="1">
      <c r="A102" s="45"/>
      <c r="B102" s="45"/>
      <c r="C102" s="45"/>
      <c r="D102" s="45"/>
      <c r="E102" s="45"/>
      <c r="F102" s="45"/>
      <c r="G102" s="45"/>
      <c r="H102" s="45"/>
      <c r="I102" s="45"/>
      <c r="J102" s="45"/>
      <c r="K102" s="45"/>
      <c r="L102" s="45"/>
      <c r="M102" s="45"/>
    </row>
    <row r="103" ht="15.75" customHeight="1">
      <c r="A103" s="45"/>
      <c r="B103" s="45"/>
      <c r="C103" s="45"/>
      <c r="D103" s="45"/>
      <c r="E103" s="45"/>
      <c r="F103" s="45"/>
      <c r="G103" s="45"/>
      <c r="H103" s="45"/>
      <c r="I103" s="45"/>
      <c r="J103" s="45"/>
      <c r="K103" s="45"/>
      <c r="L103" s="45"/>
      <c r="M103" s="45"/>
    </row>
    <row r="104" ht="15.75" customHeight="1">
      <c r="A104" s="45"/>
      <c r="B104" s="45"/>
      <c r="C104" s="45"/>
      <c r="D104" s="45"/>
      <c r="E104" s="45"/>
      <c r="F104" s="45"/>
      <c r="G104" s="45"/>
      <c r="H104" s="45"/>
      <c r="I104" s="45"/>
      <c r="J104" s="45"/>
      <c r="K104" s="45"/>
      <c r="L104" s="45"/>
      <c r="M104" s="45"/>
    </row>
    <row r="105" ht="15.75" customHeight="1">
      <c r="A105" s="45"/>
      <c r="B105" s="45"/>
      <c r="C105" s="45"/>
      <c r="D105" s="45"/>
      <c r="E105" s="45"/>
      <c r="F105" s="45"/>
      <c r="G105" s="45"/>
      <c r="H105" s="45"/>
      <c r="I105" s="45"/>
      <c r="J105" s="45"/>
      <c r="K105" s="45"/>
      <c r="L105" s="45"/>
      <c r="M105" s="45"/>
    </row>
    <row r="106" ht="15.75" customHeight="1">
      <c r="A106" s="45"/>
      <c r="B106" s="45"/>
      <c r="C106" s="45"/>
      <c r="D106" s="45"/>
      <c r="E106" s="45"/>
      <c r="F106" s="45"/>
      <c r="G106" s="45"/>
      <c r="H106" s="45"/>
      <c r="I106" s="45"/>
      <c r="J106" s="45"/>
      <c r="K106" s="45"/>
      <c r="L106" s="45"/>
      <c r="M106" s="45"/>
    </row>
    <row r="107" ht="15.75" customHeight="1">
      <c r="A107" s="45"/>
      <c r="B107" s="45"/>
      <c r="C107" s="45"/>
      <c r="D107" s="45"/>
      <c r="E107" s="45"/>
      <c r="F107" s="45"/>
      <c r="G107" s="45"/>
      <c r="H107" s="45"/>
      <c r="I107" s="45"/>
      <c r="J107" s="45"/>
      <c r="K107" s="45"/>
      <c r="L107" s="45"/>
      <c r="M107" s="45"/>
    </row>
    <row r="108" ht="15.75" customHeight="1">
      <c r="A108" s="45"/>
      <c r="B108" s="45"/>
      <c r="C108" s="45"/>
      <c r="D108" s="45"/>
      <c r="E108" s="45"/>
      <c r="F108" s="45"/>
      <c r="G108" s="45"/>
      <c r="H108" s="45"/>
      <c r="I108" s="45"/>
      <c r="J108" s="45"/>
      <c r="K108" s="45"/>
      <c r="L108" s="45"/>
      <c r="M108" s="45"/>
    </row>
    <row r="109" ht="15.75" customHeight="1">
      <c r="A109" s="45"/>
      <c r="B109" s="45"/>
      <c r="C109" s="45"/>
      <c r="D109" s="45"/>
      <c r="E109" s="45"/>
      <c r="F109" s="45"/>
      <c r="G109" s="45"/>
      <c r="H109" s="45"/>
      <c r="I109" s="45"/>
      <c r="J109" s="45"/>
      <c r="K109" s="45"/>
      <c r="L109" s="45"/>
      <c r="M109" s="45"/>
    </row>
    <row r="110" ht="15.75" customHeight="1">
      <c r="A110" s="45"/>
      <c r="B110" s="45"/>
      <c r="C110" s="45"/>
      <c r="D110" s="45"/>
      <c r="E110" s="45"/>
      <c r="F110" s="45"/>
      <c r="G110" s="45"/>
      <c r="H110" s="45"/>
      <c r="I110" s="45"/>
      <c r="J110" s="45"/>
      <c r="K110" s="45"/>
      <c r="L110" s="45"/>
      <c r="M110" s="45"/>
    </row>
    <row r="111" ht="15.75" customHeight="1">
      <c r="A111" s="45"/>
      <c r="B111" s="45"/>
      <c r="C111" s="45"/>
      <c r="D111" s="45"/>
      <c r="E111" s="45"/>
      <c r="F111" s="45"/>
      <c r="G111" s="45"/>
      <c r="H111" s="45"/>
      <c r="I111" s="45"/>
      <c r="J111" s="45"/>
      <c r="K111" s="45"/>
      <c r="L111" s="45"/>
      <c r="M111" s="45"/>
    </row>
    <row r="112" ht="15.75" customHeight="1">
      <c r="A112" s="45"/>
      <c r="B112" s="45"/>
      <c r="C112" s="45"/>
      <c r="D112" s="45"/>
      <c r="E112" s="45"/>
      <c r="F112" s="45"/>
      <c r="G112" s="45"/>
      <c r="H112" s="45"/>
      <c r="I112" s="45"/>
      <c r="J112" s="45"/>
      <c r="K112" s="45"/>
      <c r="L112" s="45"/>
      <c r="M112" s="45"/>
    </row>
    <row r="113" ht="15.75" customHeight="1">
      <c r="A113" s="45"/>
      <c r="B113" s="45"/>
      <c r="C113" s="45"/>
      <c r="D113" s="45"/>
      <c r="E113" s="45"/>
      <c r="F113" s="45"/>
      <c r="G113" s="45"/>
      <c r="H113" s="45"/>
      <c r="I113" s="45"/>
      <c r="J113" s="45"/>
      <c r="K113" s="45"/>
      <c r="L113" s="45"/>
      <c r="M113" s="45"/>
    </row>
    <row r="114" ht="15.75" customHeight="1">
      <c r="A114" s="45"/>
      <c r="B114" s="45"/>
      <c r="C114" s="45"/>
      <c r="D114" s="45"/>
      <c r="E114" s="45"/>
      <c r="F114" s="45"/>
      <c r="G114" s="45"/>
      <c r="H114" s="45"/>
      <c r="I114" s="45"/>
      <c r="J114" s="45"/>
      <c r="K114" s="45"/>
      <c r="L114" s="45"/>
      <c r="M114" s="45"/>
    </row>
    <row r="115" ht="15.75" customHeight="1">
      <c r="A115" s="45"/>
      <c r="B115" s="45"/>
      <c r="C115" s="45"/>
      <c r="D115" s="45"/>
      <c r="E115" s="45"/>
      <c r="F115" s="45"/>
      <c r="G115" s="45"/>
      <c r="H115" s="45"/>
      <c r="I115" s="45"/>
      <c r="J115" s="45"/>
      <c r="K115" s="45"/>
      <c r="L115" s="45"/>
      <c r="M115" s="45"/>
    </row>
    <row r="116" ht="15.75" customHeight="1">
      <c r="A116" s="45"/>
      <c r="B116" s="45"/>
      <c r="C116" s="45"/>
      <c r="D116" s="45"/>
      <c r="E116" s="45"/>
      <c r="F116" s="45"/>
      <c r="G116" s="45"/>
      <c r="H116" s="45"/>
      <c r="I116" s="45"/>
      <c r="J116" s="45"/>
      <c r="K116" s="45"/>
      <c r="L116" s="45"/>
      <c r="M116" s="45"/>
    </row>
    <row r="117" ht="15.75" customHeight="1">
      <c r="A117" s="45"/>
      <c r="B117" s="45"/>
      <c r="C117" s="45"/>
      <c r="D117" s="45"/>
      <c r="E117" s="45"/>
      <c r="F117" s="45"/>
      <c r="G117" s="45"/>
      <c r="H117" s="45"/>
      <c r="I117" s="45"/>
      <c r="J117" s="45"/>
      <c r="K117" s="45"/>
      <c r="L117" s="45"/>
      <c r="M117" s="45"/>
    </row>
    <row r="118" ht="15.75" customHeight="1">
      <c r="A118" s="45"/>
      <c r="B118" s="45"/>
      <c r="C118" s="45"/>
      <c r="D118" s="45"/>
      <c r="E118" s="45"/>
      <c r="F118" s="45"/>
      <c r="G118" s="45"/>
      <c r="H118" s="45"/>
      <c r="I118" s="45"/>
      <c r="J118" s="45"/>
      <c r="K118" s="45"/>
      <c r="L118" s="45"/>
      <c r="M118" s="45"/>
    </row>
    <row r="119" ht="15.75" customHeight="1">
      <c r="A119" s="45"/>
      <c r="B119" s="45"/>
      <c r="C119" s="45"/>
      <c r="D119" s="45"/>
      <c r="E119" s="45"/>
      <c r="F119" s="45"/>
      <c r="G119" s="45"/>
      <c r="H119" s="45"/>
      <c r="I119" s="45"/>
      <c r="J119" s="45"/>
      <c r="K119" s="45"/>
      <c r="L119" s="45"/>
      <c r="M119" s="45"/>
    </row>
    <row r="120" ht="15.75" customHeight="1">
      <c r="A120" s="45"/>
      <c r="B120" s="45"/>
      <c r="C120" s="45"/>
      <c r="D120" s="45"/>
      <c r="E120" s="45"/>
      <c r="F120" s="45"/>
      <c r="G120" s="45"/>
      <c r="H120" s="45"/>
      <c r="I120" s="45"/>
      <c r="J120" s="45"/>
      <c r="K120" s="45"/>
      <c r="L120" s="45"/>
      <c r="M120" s="45"/>
    </row>
    <row r="121" ht="15.75" customHeight="1">
      <c r="A121" s="45"/>
      <c r="B121" s="45"/>
      <c r="C121" s="45"/>
      <c r="D121" s="45"/>
      <c r="E121" s="45"/>
      <c r="F121" s="45"/>
      <c r="G121" s="45"/>
      <c r="H121" s="45"/>
      <c r="I121" s="45"/>
      <c r="J121" s="45"/>
      <c r="K121" s="45"/>
      <c r="L121" s="45"/>
      <c r="M121" s="45"/>
    </row>
    <row r="122" ht="15.75" customHeight="1">
      <c r="A122" s="45"/>
      <c r="B122" s="45"/>
      <c r="C122" s="45"/>
      <c r="D122" s="45"/>
      <c r="E122" s="45"/>
      <c r="F122" s="45"/>
      <c r="G122" s="45"/>
      <c r="H122" s="45"/>
      <c r="I122" s="45"/>
      <c r="J122" s="45"/>
      <c r="K122" s="45"/>
      <c r="L122" s="45"/>
      <c r="M122" s="45"/>
    </row>
    <row r="123" ht="15.75" customHeight="1">
      <c r="A123" s="45"/>
      <c r="B123" s="45"/>
      <c r="C123" s="45"/>
      <c r="D123" s="45"/>
      <c r="E123" s="45"/>
      <c r="F123" s="45"/>
      <c r="G123" s="45"/>
      <c r="H123" s="45"/>
      <c r="I123" s="45"/>
      <c r="J123" s="45"/>
      <c r="K123" s="45"/>
      <c r="L123" s="45"/>
      <c r="M123" s="45"/>
    </row>
    <row r="124" ht="15.75" customHeight="1">
      <c r="A124" s="45"/>
      <c r="B124" s="45"/>
      <c r="C124" s="45"/>
      <c r="D124" s="45"/>
      <c r="E124" s="45"/>
      <c r="F124" s="45"/>
      <c r="G124" s="45"/>
      <c r="H124" s="45"/>
      <c r="I124" s="45"/>
      <c r="J124" s="45"/>
      <c r="K124" s="45"/>
      <c r="L124" s="45"/>
      <c r="M124" s="45"/>
    </row>
    <row r="125" ht="15.75" customHeight="1">
      <c r="A125" s="45"/>
      <c r="B125" s="45"/>
      <c r="C125" s="45"/>
      <c r="D125" s="45"/>
      <c r="E125" s="45"/>
      <c r="F125" s="45"/>
      <c r="G125" s="45"/>
      <c r="H125" s="45"/>
      <c r="I125" s="45"/>
      <c r="J125" s="45"/>
      <c r="K125" s="45"/>
      <c r="L125" s="45"/>
      <c r="M125" s="45"/>
    </row>
    <row r="126" ht="15.75" customHeight="1">
      <c r="A126" s="45"/>
      <c r="B126" s="45"/>
      <c r="C126" s="45"/>
      <c r="D126" s="45"/>
      <c r="E126" s="45"/>
      <c r="F126" s="45"/>
      <c r="G126" s="45"/>
      <c r="H126" s="45"/>
      <c r="I126" s="45"/>
      <c r="J126" s="45"/>
      <c r="K126" s="45"/>
      <c r="L126" s="45"/>
      <c r="M126" s="45"/>
    </row>
    <row r="127" ht="15.75" customHeight="1">
      <c r="A127" s="45"/>
      <c r="B127" s="45"/>
      <c r="C127" s="45"/>
      <c r="D127" s="45"/>
      <c r="E127" s="45"/>
      <c r="F127" s="45"/>
      <c r="G127" s="45"/>
      <c r="H127" s="45"/>
      <c r="I127" s="45"/>
      <c r="J127" s="45"/>
      <c r="K127" s="45"/>
      <c r="L127" s="45"/>
      <c r="M127" s="45"/>
    </row>
    <row r="128" ht="15.75" customHeight="1">
      <c r="A128" s="45"/>
      <c r="B128" s="45"/>
      <c r="C128" s="45"/>
      <c r="D128" s="45"/>
      <c r="E128" s="45"/>
      <c r="F128" s="45"/>
      <c r="G128" s="45"/>
      <c r="H128" s="45"/>
      <c r="I128" s="45"/>
      <c r="J128" s="45"/>
      <c r="K128" s="45"/>
      <c r="L128" s="45"/>
      <c r="M128" s="45"/>
    </row>
    <row r="129" ht="15.75" customHeight="1">
      <c r="A129" s="45"/>
      <c r="B129" s="45"/>
      <c r="C129" s="45"/>
      <c r="D129" s="45"/>
      <c r="E129" s="45"/>
      <c r="F129" s="45"/>
      <c r="G129" s="45"/>
      <c r="H129" s="45"/>
      <c r="I129" s="45"/>
      <c r="J129" s="45"/>
      <c r="K129" s="45"/>
      <c r="L129" s="45"/>
      <c r="M129" s="45"/>
    </row>
    <row r="130" ht="15.75" customHeight="1">
      <c r="A130" s="45"/>
      <c r="B130" s="45"/>
      <c r="C130" s="45"/>
      <c r="D130" s="45"/>
      <c r="E130" s="45"/>
      <c r="F130" s="45"/>
      <c r="G130" s="45"/>
      <c r="H130" s="45"/>
      <c r="I130" s="45"/>
      <c r="J130" s="45"/>
      <c r="K130" s="45"/>
      <c r="L130" s="45"/>
      <c r="M130" s="45"/>
    </row>
    <row r="131" ht="15.75" customHeight="1">
      <c r="A131" s="45"/>
      <c r="B131" s="45"/>
      <c r="C131" s="45"/>
      <c r="D131" s="45"/>
      <c r="E131" s="45"/>
      <c r="F131" s="45"/>
      <c r="G131" s="45"/>
      <c r="H131" s="45"/>
      <c r="I131" s="45"/>
      <c r="J131" s="45"/>
      <c r="K131" s="45"/>
      <c r="L131" s="45"/>
      <c r="M131" s="45"/>
    </row>
    <row r="132" ht="15.75" customHeight="1">
      <c r="A132" s="45"/>
      <c r="B132" s="45"/>
      <c r="C132" s="45"/>
      <c r="D132" s="45"/>
      <c r="E132" s="45"/>
      <c r="F132" s="45"/>
      <c r="G132" s="45"/>
      <c r="H132" s="45"/>
      <c r="I132" s="45"/>
      <c r="J132" s="45"/>
      <c r="K132" s="45"/>
      <c r="L132" s="45"/>
      <c r="M132" s="45"/>
    </row>
    <row r="133" ht="15.75" customHeight="1">
      <c r="A133" s="45"/>
      <c r="B133" s="45"/>
      <c r="C133" s="45"/>
      <c r="D133" s="45"/>
      <c r="E133" s="45"/>
      <c r="F133" s="45"/>
      <c r="G133" s="45"/>
      <c r="H133" s="45"/>
      <c r="I133" s="45"/>
      <c r="J133" s="45"/>
      <c r="K133" s="45"/>
      <c r="L133" s="45"/>
      <c r="M133" s="45"/>
    </row>
    <row r="134" ht="15.75" customHeight="1">
      <c r="A134" s="45"/>
      <c r="B134" s="45"/>
      <c r="C134" s="45"/>
      <c r="D134" s="45"/>
      <c r="E134" s="45"/>
      <c r="F134" s="45"/>
      <c r="G134" s="45"/>
      <c r="H134" s="45"/>
      <c r="I134" s="45"/>
      <c r="J134" s="45"/>
      <c r="K134" s="45"/>
      <c r="L134" s="45"/>
      <c r="M134" s="45"/>
    </row>
    <row r="135" ht="15.75" customHeight="1">
      <c r="A135" s="45"/>
      <c r="B135" s="45"/>
      <c r="C135" s="45"/>
      <c r="D135" s="45"/>
      <c r="E135" s="45"/>
      <c r="F135" s="45"/>
      <c r="G135" s="45"/>
      <c r="H135" s="45"/>
      <c r="I135" s="45"/>
      <c r="J135" s="45"/>
      <c r="K135" s="45"/>
      <c r="L135" s="45"/>
      <c r="M135" s="45"/>
    </row>
    <row r="136" ht="15.75" customHeight="1">
      <c r="A136" s="45"/>
      <c r="B136" s="45"/>
      <c r="C136" s="45"/>
      <c r="D136" s="45"/>
      <c r="E136" s="45"/>
      <c r="F136" s="45"/>
      <c r="G136" s="45"/>
      <c r="H136" s="45"/>
      <c r="I136" s="45"/>
      <c r="J136" s="45"/>
      <c r="K136" s="45"/>
      <c r="L136" s="45"/>
      <c r="M136" s="45"/>
    </row>
    <row r="137" ht="15.75" customHeight="1">
      <c r="A137" s="45"/>
      <c r="B137" s="45"/>
      <c r="C137" s="45"/>
      <c r="D137" s="45"/>
      <c r="E137" s="45"/>
      <c r="F137" s="45"/>
      <c r="G137" s="45"/>
      <c r="H137" s="45"/>
      <c r="I137" s="45"/>
      <c r="J137" s="45"/>
      <c r="K137" s="45"/>
      <c r="L137" s="45"/>
      <c r="M137" s="45"/>
    </row>
    <row r="138" ht="15.75" customHeight="1">
      <c r="A138" s="45"/>
      <c r="B138" s="45"/>
      <c r="C138" s="45"/>
      <c r="D138" s="45"/>
      <c r="E138" s="45"/>
      <c r="F138" s="45"/>
      <c r="G138" s="45"/>
      <c r="H138" s="45"/>
      <c r="I138" s="45"/>
      <c r="J138" s="45"/>
      <c r="K138" s="45"/>
      <c r="L138" s="45"/>
      <c r="M138" s="45"/>
    </row>
    <row r="139" ht="15.75" customHeight="1">
      <c r="A139" s="45"/>
      <c r="B139" s="45"/>
      <c r="C139" s="45"/>
      <c r="D139" s="45"/>
      <c r="E139" s="45"/>
      <c r="F139" s="45"/>
      <c r="G139" s="45"/>
      <c r="H139" s="45"/>
      <c r="I139" s="45"/>
      <c r="J139" s="45"/>
      <c r="K139" s="45"/>
      <c r="L139" s="45"/>
      <c r="M139" s="45"/>
    </row>
    <row r="140" ht="15.75" customHeight="1">
      <c r="A140" s="45"/>
      <c r="B140" s="45"/>
      <c r="C140" s="45"/>
      <c r="D140" s="45"/>
      <c r="E140" s="45"/>
      <c r="F140" s="45"/>
      <c r="G140" s="45"/>
      <c r="H140" s="45"/>
      <c r="I140" s="45"/>
      <c r="J140" s="45"/>
      <c r="K140" s="45"/>
      <c r="L140" s="45"/>
      <c r="M140" s="45"/>
    </row>
    <row r="141" ht="15.75" customHeight="1">
      <c r="A141" s="45"/>
      <c r="B141" s="45"/>
      <c r="C141" s="45"/>
      <c r="D141" s="45"/>
      <c r="E141" s="45"/>
      <c r="F141" s="45"/>
      <c r="G141" s="45"/>
      <c r="H141" s="45"/>
      <c r="I141" s="45"/>
      <c r="J141" s="45"/>
      <c r="K141" s="45"/>
      <c r="L141" s="45"/>
      <c r="M141" s="45"/>
    </row>
    <row r="142" ht="15.75" customHeight="1">
      <c r="A142" s="45"/>
      <c r="B142" s="45"/>
      <c r="C142" s="45"/>
      <c r="D142" s="45"/>
      <c r="E142" s="45"/>
      <c r="F142" s="45"/>
      <c r="G142" s="45"/>
      <c r="H142" s="45"/>
      <c r="I142" s="45"/>
      <c r="J142" s="45"/>
      <c r="K142" s="45"/>
      <c r="L142" s="45"/>
      <c r="M142" s="45"/>
    </row>
    <row r="143" ht="15.75" customHeight="1">
      <c r="A143" s="45"/>
      <c r="B143" s="45"/>
      <c r="C143" s="45"/>
      <c r="D143" s="45"/>
      <c r="E143" s="45"/>
      <c r="F143" s="45"/>
      <c r="G143" s="45"/>
      <c r="H143" s="45"/>
      <c r="I143" s="45"/>
      <c r="J143" s="45"/>
      <c r="K143" s="45"/>
      <c r="L143" s="45"/>
      <c r="M143" s="45"/>
    </row>
    <row r="144" ht="15.75" customHeight="1">
      <c r="A144" s="45"/>
      <c r="B144" s="45"/>
      <c r="C144" s="45"/>
      <c r="D144" s="45"/>
      <c r="E144" s="45"/>
      <c r="F144" s="45"/>
      <c r="G144" s="45"/>
      <c r="H144" s="45"/>
      <c r="I144" s="45"/>
      <c r="J144" s="45"/>
      <c r="K144" s="45"/>
      <c r="L144" s="45"/>
      <c r="M144" s="45"/>
    </row>
    <row r="145" ht="15.75" customHeight="1">
      <c r="A145" s="45"/>
      <c r="B145" s="45"/>
      <c r="C145" s="45"/>
      <c r="D145" s="45"/>
      <c r="E145" s="45"/>
      <c r="F145" s="45"/>
      <c r="G145" s="45"/>
      <c r="H145" s="45"/>
      <c r="I145" s="45"/>
      <c r="J145" s="45"/>
      <c r="K145" s="45"/>
      <c r="L145" s="45"/>
      <c r="M145" s="45"/>
    </row>
    <row r="146" ht="15.75" customHeight="1">
      <c r="A146" s="45"/>
      <c r="B146" s="45"/>
      <c r="C146" s="45"/>
      <c r="D146" s="45"/>
      <c r="E146" s="45"/>
      <c r="F146" s="45"/>
      <c r="G146" s="45"/>
      <c r="H146" s="45"/>
      <c r="I146" s="45"/>
      <c r="J146" s="45"/>
      <c r="K146" s="45"/>
      <c r="L146" s="45"/>
      <c r="M146" s="45"/>
    </row>
    <row r="147" ht="15.75" customHeight="1">
      <c r="A147" s="45"/>
      <c r="B147" s="45"/>
      <c r="C147" s="45"/>
      <c r="D147" s="45"/>
      <c r="E147" s="45"/>
      <c r="F147" s="45"/>
      <c r="G147" s="45"/>
      <c r="H147" s="45"/>
      <c r="I147" s="45"/>
      <c r="J147" s="45"/>
      <c r="K147" s="45"/>
      <c r="L147" s="45"/>
      <c r="M147" s="45"/>
    </row>
    <row r="148" ht="15.75" customHeight="1">
      <c r="A148" s="45"/>
      <c r="B148" s="45"/>
      <c r="C148" s="45"/>
      <c r="D148" s="45"/>
      <c r="E148" s="45"/>
      <c r="F148" s="45"/>
      <c r="G148" s="45"/>
      <c r="H148" s="45"/>
      <c r="I148" s="45"/>
      <c r="J148" s="45"/>
      <c r="K148" s="45"/>
      <c r="L148" s="45"/>
      <c r="M148" s="45"/>
    </row>
    <row r="149" ht="15.75" customHeight="1">
      <c r="A149" s="45"/>
      <c r="B149" s="45"/>
      <c r="C149" s="45"/>
      <c r="D149" s="45"/>
      <c r="E149" s="45"/>
      <c r="F149" s="45"/>
      <c r="G149" s="45"/>
      <c r="H149" s="45"/>
      <c r="I149" s="45"/>
      <c r="J149" s="45"/>
      <c r="K149" s="45"/>
      <c r="L149" s="45"/>
      <c r="M149" s="45"/>
    </row>
    <row r="150" ht="15.75" customHeight="1">
      <c r="A150" s="45"/>
      <c r="B150" s="45"/>
      <c r="C150" s="45"/>
      <c r="D150" s="45"/>
      <c r="E150" s="45"/>
      <c r="F150" s="45"/>
      <c r="G150" s="45"/>
      <c r="H150" s="45"/>
      <c r="I150" s="45"/>
      <c r="J150" s="45"/>
      <c r="K150" s="45"/>
      <c r="L150" s="45"/>
      <c r="M150" s="45"/>
    </row>
    <row r="151" ht="15.75" customHeight="1">
      <c r="A151" s="45"/>
      <c r="B151" s="45"/>
      <c r="C151" s="45"/>
      <c r="D151" s="45"/>
      <c r="E151" s="45"/>
      <c r="F151" s="45"/>
      <c r="G151" s="45"/>
      <c r="H151" s="45"/>
      <c r="I151" s="45"/>
      <c r="J151" s="45"/>
      <c r="K151" s="45"/>
      <c r="L151" s="45"/>
      <c r="M151" s="45"/>
    </row>
    <row r="152" ht="15.75" customHeight="1">
      <c r="A152" s="45"/>
      <c r="B152" s="45"/>
      <c r="C152" s="45"/>
      <c r="D152" s="45"/>
      <c r="E152" s="45"/>
      <c r="F152" s="45"/>
      <c r="G152" s="45"/>
      <c r="H152" s="45"/>
      <c r="I152" s="45"/>
      <c r="J152" s="45"/>
      <c r="K152" s="45"/>
      <c r="L152" s="45"/>
      <c r="M152" s="45"/>
    </row>
    <row r="153" ht="15.75" customHeight="1">
      <c r="A153" s="45"/>
      <c r="B153" s="45"/>
      <c r="C153" s="45"/>
      <c r="D153" s="45"/>
      <c r="E153" s="45"/>
      <c r="F153" s="45"/>
      <c r="G153" s="45"/>
      <c r="H153" s="45"/>
      <c r="I153" s="45"/>
      <c r="J153" s="45"/>
      <c r="K153" s="45"/>
      <c r="L153" s="45"/>
      <c r="M153" s="45"/>
    </row>
    <row r="154" ht="15.75" customHeight="1">
      <c r="A154" s="45"/>
      <c r="B154" s="45"/>
      <c r="C154" s="45"/>
      <c r="D154" s="45"/>
      <c r="E154" s="45"/>
      <c r="F154" s="45"/>
      <c r="G154" s="45"/>
      <c r="H154" s="45"/>
      <c r="I154" s="45"/>
      <c r="J154" s="45"/>
      <c r="K154" s="45"/>
      <c r="L154" s="45"/>
      <c r="M154" s="45"/>
    </row>
    <row r="155" ht="15.75" customHeight="1">
      <c r="A155" s="45"/>
      <c r="B155" s="45"/>
      <c r="C155" s="45"/>
      <c r="D155" s="45"/>
      <c r="E155" s="45"/>
      <c r="F155" s="45"/>
      <c r="G155" s="45"/>
      <c r="H155" s="45"/>
      <c r="I155" s="45"/>
      <c r="J155" s="45"/>
      <c r="K155" s="45"/>
      <c r="L155" s="45"/>
      <c r="M155" s="45"/>
    </row>
    <row r="156" ht="15.75" customHeight="1">
      <c r="A156" s="45"/>
      <c r="B156" s="45"/>
      <c r="C156" s="45"/>
      <c r="D156" s="45"/>
      <c r="E156" s="45"/>
      <c r="F156" s="45"/>
      <c r="G156" s="45"/>
      <c r="H156" s="45"/>
      <c r="I156" s="45"/>
      <c r="J156" s="45"/>
      <c r="K156" s="45"/>
      <c r="L156" s="45"/>
      <c r="M156" s="45"/>
    </row>
    <row r="157" ht="15.75" customHeight="1">
      <c r="A157" s="45"/>
      <c r="B157" s="45"/>
      <c r="C157" s="45"/>
      <c r="D157" s="45"/>
      <c r="E157" s="45"/>
      <c r="F157" s="45"/>
      <c r="G157" s="45"/>
      <c r="H157" s="45"/>
      <c r="I157" s="45"/>
      <c r="J157" s="45"/>
      <c r="K157" s="45"/>
      <c r="L157" s="45"/>
      <c r="M157" s="45"/>
    </row>
    <row r="158" ht="15.75" customHeight="1">
      <c r="A158" s="45"/>
      <c r="B158" s="45"/>
      <c r="C158" s="45"/>
      <c r="D158" s="45"/>
      <c r="E158" s="45"/>
      <c r="F158" s="45"/>
      <c r="G158" s="45"/>
      <c r="H158" s="45"/>
      <c r="I158" s="45"/>
      <c r="J158" s="45"/>
      <c r="K158" s="45"/>
      <c r="L158" s="45"/>
      <c r="M158" s="45"/>
    </row>
    <row r="159" ht="15.75" customHeight="1">
      <c r="A159" s="45"/>
      <c r="B159" s="45"/>
      <c r="C159" s="45"/>
      <c r="D159" s="45"/>
      <c r="E159" s="45"/>
      <c r="F159" s="45"/>
      <c r="G159" s="45"/>
      <c r="H159" s="45"/>
      <c r="I159" s="45"/>
      <c r="J159" s="45"/>
      <c r="K159" s="45"/>
      <c r="L159" s="45"/>
      <c r="M159" s="45"/>
    </row>
    <row r="160" ht="15.75" customHeight="1">
      <c r="A160" s="45"/>
      <c r="B160" s="45"/>
      <c r="C160" s="45"/>
      <c r="D160" s="45"/>
      <c r="E160" s="45"/>
      <c r="F160" s="45"/>
      <c r="G160" s="45"/>
      <c r="H160" s="45"/>
      <c r="I160" s="45"/>
      <c r="J160" s="45"/>
      <c r="K160" s="45"/>
      <c r="L160" s="45"/>
      <c r="M160" s="45"/>
    </row>
    <row r="161" ht="15.75" customHeight="1">
      <c r="A161" s="45"/>
      <c r="B161" s="45"/>
      <c r="C161" s="45"/>
      <c r="D161" s="45"/>
      <c r="E161" s="45"/>
      <c r="F161" s="45"/>
      <c r="G161" s="45"/>
      <c r="H161" s="45"/>
      <c r="I161" s="45"/>
      <c r="J161" s="45"/>
      <c r="K161" s="45"/>
      <c r="L161" s="45"/>
      <c r="M161" s="45"/>
    </row>
    <row r="162" ht="15.75" customHeight="1">
      <c r="A162" s="45"/>
      <c r="B162" s="45"/>
      <c r="C162" s="45"/>
      <c r="D162" s="45"/>
      <c r="E162" s="45"/>
      <c r="F162" s="45"/>
      <c r="G162" s="45"/>
      <c r="H162" s="45"/>
      <c r="I162" s="45"/>
      <c r="J162" s="45"/>
      <c r="K162" s="45"/>
      <c r="L162" s="45"/>
      <c r="M162" s="45"/>
    </row>
    <row r="163" ht="15.75" customHeight="1">
      <c r="A163" s="45"/>
      <c r="B163" s="45"/>
      <c r="C163" s="45"/>
      <c r="D163" s="45"/>
      <c r="E163" s="45"/>
      <c r="F163" s="45"/>
      <c r="G163" s="45"/>
      <c r="H163" s="45"/>
      <c r="I163" s="45"/>
      <c r="J163" s="45"/>
      <c r="K163" s="45"/>
      <c r="L163" s="45"/>
      <c r="M163" s="45"/>
    </row>
    <row r="164" ht="15.75" customHeight="1">
      <c r="A164" s="45"/>
      <c r="B164" s="45"/>
      <c r="C164" s="45"/>
      <c r="D164" s="45"/>
      <c r="E164" s="45"/>
      <c r="F164" s="45"/>
      <c r="G164" s="45"/>
      <c r="H164" s="45"/>
      <c r="I164" s="45"/>
      <c r="J164" s="45"/>
      <c r="K164" s="45"/>
      <c r="L164" s="45"/>
      <c r="M164" s="45"/>
    </row>
    <row r="165" ht="15.75" customHeight="1">
      <c r="A165" s="45"/>
      <c r="B165" s="45"/>
      <c r="C165" s="45"/>
      <c r="D165" s="45"/>
      <c r="E165" s="45"/>
      <c r="F165" s="45"/>
      <c r="G165" s="45"/>
      <c r="H165" s="45"/>
      <c r="I165" s="45"/>
      <c r="J165" s="45"/>
      <c r="K165" s="45"/>
      <c r="L165" s="45"/>
      <c r="M165" s="45"/>
    </row>
    <row r="166" ht="15.75" customHeight="1">
      <c r="A166" s="45"/>
      <c r="B166" s="45"/>
      <c r="C166" s="45"/>
      <c r="D166" s="45"/>
      <c r="E166" s="45"/>
      <c r="F166" s="45"/>
      <c r="G166" s="45"/>
      <c r="H166" s="45"/>
      <c r="I166" s="45"/>
      <c r="J166" s="45"/>
      <c r="K166" s="45"/>
      <c r="L166" s="45"/>
      <c r="M166" s="45"/>
    </row>
    <row r="167" ht="15.75" customHeight="1">
      <c r="A167" s="45"/>
      <c r="B167" s="45"/>
      <c r="C167" s="45"/>
      <c r="D167" s="45"/>
      <c r="E167" s="45"/>
      <c r="F167" s="45"/>
      <c r="G167" s="45"/>
      <c r="H167" s="45"/>
      <c r="I167" s="45"/>
      <c r="J167" s="45"/>
      <c r="K167" s="45"/>
      <c r="L167" s="45"/>
      <c r="M167" s="45"/>
    </row>
    <row r="168" ht="15.75" customHeight="1">
      <c r="A168" s="45"/>
      <c r="B168" s="45"/>
      <c r="C168" s="45"/>
      <c r="D168" s="45"/>
      <c r="E168" s="45"/>
      <c r="F168" s="45"/>
      <c r="G168" s="45"/>
      <c r="H168" s="45"/>
      <c r="I168" s="45"/>
      <c r="J168" s="45"/>
      <c r="K168" s="45"/>
      <c r="L168" s="45"/>
      <c r="M168" s="45"/>
    </row>
    <row r="169" ht="15.75" customHeight="1">
      <c r="A169" s="45"/>
      <c r="B169" s="45"/>
      <c r="C169" s="45"/>
      <c r="D169" s="45"/>
      <c r="E169" s="45"/>
      <c r="F169" s="45"/>
      <c r="G169" s="45"/>
      <c r="H169" s="45"/>
      <c r="I169" s="45"/>
      <c r="J169" s="45"/>
      <c r="K169" s="45"/>
      <c r="L169" s="45"/>
      <c r="M169" s="45"/>
    </row>
    <row r="170" ht="15.75" customHeight="1">
      <c r="A170" s="45"/>
      <c r="B170" s="45"/>
      <c r="C170" s="45"/>
      <c r="D170" s="45"/>
      <c r="E170" s="45"/>
      <c r="F170" s="45"/>
      <c r="G170" s="45"/>
      <c r="H170" s="45"/>
      <c r="I170" s="45"/>
      <c r="J170" s="45"/>
      <c r="K170" s="45"/>
      <c r="L170" s="45"/>
      <c r="M170" s="45"/>
    </row>
    <row r="171" ht="15.75" customHeight="1">
      <c r="A171" s="45"/>
      <c r="B171" s="45"/>
      <c r="C171" s="45"/>
      <c r="D171" s="45"/>
      <c r="E171" s="45"/>
      <c r="F171" s="45"/>
      <c r="G171" s="45"/>
      <c r="H171" s="45"/>
      <c r="I171" s="45"/>
      <c r="J171" s="45"/>
      <c r="K171" s="45"/>
      <c r="L171" s="45"/>
      <c r="M171" s="45"/>
    </row>
    <row r="172" ht="15.75" customHeight="1">
      <c r="A172" s="45"/>
      <c r="B172" s="45"/>
      <c r="C172" s="45"/>
      <c r="D172" s="45"/>
      <c r="E172" s="45"/>
      <c r="F172" s="45"/>
      <c r="G172" s="45"/>
      <c r="H172" s="45"/>
      <c r="I172" s="45"/>
      <c r="J172" s="45"/>
      <c r="K172" s="45"/>
      <c r="L172" s="45"/>
      <c r="M172" s="45"/>
    </row>
    <row r="173" ht="15.75" customHeight="1">
      <c r="A173" s="45"/>
      <c r="B173" s="45"/>
      <c r="C173" s="45"/>
      <c r="D173" s="45"/>
      <c r="E173" s="45"/>
      <c r="F173" s="45"/>
      <c r="G173" s="45"/>
      <c r="H173" s="45"/>
      <c r="I173" s="45"/>
      <c r="J173" s="45"/>
      <c r="K173" s="45"/>
      <c r="L173" s="45"/>
      <c r="M173" s="45"/>
    </row>
    <row r="174" ht="15.75" customHeight="1">
      <c r="A174" s="45"/>
      <c r="B174" s="45"/>
      <c r="C174" s="45"/>
      <c r="D174" s="45"/>
      <c r="E174" s="45"/>
      <c r="F174" s="45"/>
      <c r="G174" s="45"/>
      <c r="H174" s="45"/>
      <c r="I174" s="45"/>
      <c r="J174" s="45"/>
      <c r="K174" s="45"/>
      <c r="L174" s="45"/>
      <c r="M174" s="45"/>
    </row>
    <row r="175" ht="15.75" customHeight="1">
      <c r="A175" s="45"/>
      <c r="B175" s="45"/>
      <c r="C175" s="45"/>
      <c r="D175" s="45"/>
      <c r="E175" s="45"/>
      <c r="F175" s="45"/>
      <c r="G175" s="45"/>
      <c r="H175" s="45"/>
      <c r="I175" s="45"/>
      <c r="J175" s="45"/>
      <c r="K175" s="45"/>
      <c r="L175" s="45"/>
      <c r="M175" s="45"/>
    </row>
    <row r="176" ht="15.75" customHeight="1">
      <c r="A176" s="45"/>
      <c r="B176" s="45"/>
      <c r="C176" s="45"/>
      <c r="D176" s="45"/>
      <c r="E176" s="45"/>
      <c r="F176" s="45"/>
      <c r="G176" s="45"/>
      <c r="H176" s="45"/>
      <c r="I176" s="45"/>
      <c r="J176" s="45"/>
      <c r="K176" s="45"/>
      <c r="L176" s="45"/>
      <c r="M176" s="45"/>
    </row>
    <row r="177" ht="15.75" customHeight="1">
      <c r="A177" s="45"/>
      <c r="B177" s="45"/>
      <c r="C177" s="45"/>
      <c r="D177" s="45"/>
      <c r="E177" s="45"/>
      <c r="F177" s="45"/>
      <c r="G177" s="45"/>
      <c r="H177" s="45"/>
      <c r="I177" s="45"/>
      <c r="J177" s="45"/>
      <c r="K177" s="45"/>
      <c r="L177" s="45"/>
      <c r="M177" s="45"/>
    </row>
    <row r="178" ht="15.75" customHeight="1">
      <c r="A178" s="45"/>
      <c r="B178" s="45"/>
      <c r="C178" s="45"/>
      <c r="D178" s="45"/>
      <c r="E178" s="45"/>
      <c r="F178" s="45"/>
      <c r="G178" s="45"/>
      <c r="H178" s="45"/>
      <c r="I178" s="45"/>
      <c r="J178" s="45"/>
      <c r="K178" s="45"/>
      <c r="L178" s="45"/>
      <c r="M178" s="45"/>
    </row>
    <row r="179" ht="15.75" customHeight="1">
      <c r="A179" s="45"/>
      <c r="B179" s="45"/>
      <c r="C179" s="45"/>
      <c r="D179" s="45"/>
      <c r="E179" s="45"/>
      <c r="F179" s="45"/>
      <c r="G179" s="45"/>
      <c r="H179" s="45"/>
      <c r="I179" s="45"/>
      <c r="J179" s="45"/>
      <c r="K179" s="45"/>
      <c r="L179" s="45"/>
      <c r="M179" s="45"/>
    </row>
    <row r="180" ht="15.75" customHeight="1">
      <c r="A180" s="45"/>
      <c r="B180" s="45"/>
      <c r="C180" s="45"/>
      <c r="D180" s="45"/>
      <c r="E180" s="45"/>
      <c r="F180" s="45"/>
      <c r="G180" s="45"/>
      <c r="H180" s="45"/>
      <c r="I180" s="45"/>
      <c r="J180" s="45"/>
      <c r="K180" s="45"/>
      <c r="L180" s="45"/>
      <c r="M180" s="45"/>
    </row>
    <row r="181" ht="15.75" customHeight="1">
      <c r="A181" s="45"/>
      <c r="B181" s="45"/>
      <c r="C181" s="45"/>
      <c r="D181" s="45"/>
      <c r="E181" s="45"/>
      <c r="F181" s="45"/>
      <c r="G181" s="45"/>
      <c r="H181" s="45"/>
      <c r="I181" s="45"/>
      <c r="J181" s="45"/>
      <c r="K181" s="45"/>
      <c r="L181" s="45"/>
      <c r="M181" s="45"/>
    </row>
    <row r="182" ht="15.75" customHeight="1">
      <c r="A182" s="45"/>
      <c r="B182" s="45"/>
      <c r="C182" s="45"/>
      <c r="D182" s="45"/>
      <c r="E182" s="45"/>
      <c r="F182" s="45"/>
      <c r="G182" s="45"/>
      <c r="H182" s="45"/>
      <c r="I182" s="45"/>
      <c r="J182" s="45"/>
      <c r="K182" s="45"/>
      <c r="L182" s="45"/>
      <c r="M182" s="45"/>
    </row>
    <row r="183" ht="15.75" customHeight="1">
      <c r="A183" s="45"/>
      <c r="B183" s="45"/>
      <c r="C183" s="45"/>
      <c r="D183" s="45"/>
      <c r="E183" s="45"/>
      <c r="F183" s="45"/>
      <c r="G183" s="45"/>
      <c r="H183" s="45"/>
      <c r="I183" s="45"/>
      <c r="J183" s="45"/>
      <c r="K183" s="45"/>
      <c r="L183" s="45"/>
      <c r="M183" s="45"/>
    </row>
    <row r="184" ht="15.75" customHeight="1">
      <c r="A184" s="45"/>
      <c r="B184" s="45"/>
      <c r="C184" s="45"/>
      <c r="D184" s="45"/>
      <c r="E184" s="45"/>
      <c r="F184" s="45"/>
      <c r="G184" s="45"/>
      <c r="H184" s="45"/>
      <c r="I184" s="45"/>
      <c r="J184" s="45"/>
      <c r="K184" s="45"/>
      <c r="L184" s="45"/>
      <c r="M184" s="45"/>
    </row>
    <row r="185" ht="15.75" customHeight="1">
      <c r="A185" s="45"/>
      <c r="B185" s="45"/>
      <c r="C185" s="45"/>
      <c r="D185" s="45"/>
      <c r="E185" s="45"/>
      <c r="F185" s="45"/>
      <c r="G185" s="45"/>
      <c r="H185" s="45"/>
      <c r="I185" s="45"/>
      <c r="J185" s="45"/>
      <c r="K185" s="45"/>
      <c r="L185" s="45"/>
      <c r="M185" s="45"/>
    </row>
    <row r="186" ht="15.75" customHeight="1">
      <c r="A186" s="45"/>
      <c r="B186" s="45"/>
      <c r="C186" s="45"/>
      <c r="D186" s="45"/>
      <c r="E186" s="45"/>
      <c r="F186" s="45"/>
      <c r="G186" s="45"/>
      <c r="H186" s="45"/>
      <c r="I186" s="45"/>
      <c r="J186" s="45"/>
      <c r="K186" s="45"/>
      <c r="L186" s="45"/>
      <c r="M186" s="45"/>
    </row>
    <row r="187" ht="15.75" customHeight="1">
      <c r="A187" s="45"/>
      <c r="B187" s="45"/>
      <c r="C187" s="45"/>
      <c r="D187" s="45"/>
      <c r="E187" s="45"/>
      <c r="F187" s="45"/>
      <c r="G187" s="45"/>
      <c r="H187" s="45"/>
      <c r="I187" s="45"/>
      <c r="J187" s="45"/>
      <c r="K187" s="45"/>
      <c r="L187" s="45"/>
      <c r="M187" s="45"/>
    </row>
    <row r="188" ht="15.75" customHeight="1">
      <c r="A188" s="45"/>
      <c r="B188" s="45"/>
      <c r="C188" s="45"/>
      <c r="D188" s="45"/>
      <c r="E188" s="45"/>
      <c r="F188" s="45"/>
      <c r="G188" s="45"/>
      <c r="H188" s="45"/>
      <c r="I188" s="45"/>
      <c r="J188" s="45"/>
      <c r="K188" s="45"/>
      <c r="L188" s="45"/>
      <c r="M188" s="45"/>
    </row>
    <row r="189" ht="15.75" customHeight="1">
      <c r="A189" s="45"/>
      <c r="B189" s="45"/>
      <c r="C189" s="45"/>
      <c r="D189" s="45"/>
      <c r="E189" s="45"/>
      <c r="F189" s="45"/>
      <c r="G189" s="45"/>
      <c r="H189" s="45"/>
      <c r="I189" s="45"/>
      <c r="J189" s="45"/>
      <c r="K189" s="45"/>
      <c r="L189" s="45"/>
      <c r="M189" s="45"/>
    </row>
    <row r="190" ht="15.75" customHeight="1">
      <c r="A190" s="45"/>
      <c r="B190" s="45"/>
      <c r="C190" s="45"/>
      <c r="D190" s="45"/>
      <c r="E190" s="45"/>
      <c r="F190" s="45"/>
      <c r="G190" s="45"/>
      <c r="H190" s="45"/>
      <c r="I190" s="45"/>
      <c r="J190" s="45"/>
      <c r="K190" s="45"/>
      <c r="L190" s="45"/>
      <c r="M190" s="45"/>
    </row>
    <row r="191" ht="15.75" customHeight="1">
      <c r="A191" s="45"/>
      <c r="B191" s="45"/>
      <c r="C191" s="45"/>
      <c r="D191" s="45"/>
      <c r="E191" s="45"/>
      <c r="F191" s="45"/>
      <c r="G191" s="45"/>
      <c r="H191" s="45"/>
      <c r="I191" s="45"/>
      <c r="J191" s="45"/>
      <c r="K191" s="45"/>
      <c r="L191" s="45"/>
      <c r="M191" s="45"/>
    </row>
    <row r="192" ht="15.75" customHeight="1">
      <c r="A192" s="45"/>
      <c r="B192" s="45"/>
      <c r="C192" s="45"/>
      <c r="D192" s="45"/>
      <c r="E192" s="45"/>
      <c r="F192" s="45"/>
      <c r="G192" s="45"/>
      <c r="H192" s="45"/>
      <c r="I192" s="45"/>
      <c r="J192" s="45"/>
      <c r="K192" s="45"/>
      <c r="L192" s="45"/>
      <c r="M192" s="45"/>
    </row>
    <row r="193" ht="15.75" customHeight="1">
      <c r="A193" s="45"/>
      <c r="B193" s="45"/>
      <c r="C193" s="45"/>
      <c r="D193" s="45"/>
      <c r="E193" s="45"/>
      <c r="F193" s="45"/>
      <c r="G193" s="45"/>
      <c r="H193" s="45"/>
      <c r="I193" s="45"/>
      <c r="J193" s="45"/>
      <c r="K193" s="45"/>
      <c r="L193" s="45"/>
      <c r="M193" s="45"/>
    </row>
    <row r="194" ht="15.75" customHeight="1">
      <c r="A194" s="45"/>
      <c r="B194" s="45"/>
      <c r="C194" s="45"/>
      <c r="D194" s="45"/>
      <c r="E194" s="45"/>
      <c r="F194" s="45"/>
      <c r="G194" s="45"/>
      <c r="H194" s="45"/>
      <c r="I194" s="45"/>
      <c r="J194" s="45"/>
      <c r="K194" s="45"/>
      <c r="L194" s="45"/>
      <c r="M194" s="45"/>
    </row>
    <row r="195" ht="15.75" customHeight="1">
      <c r="A195" s="45"/>
      <c r="B195" s="45"/>
      <c r="C195" s="45"/>
      <c r="D195" s="45"/>
      <c r="E195" s="45"/>
      <c r="F195" s="45"/>
      <c r="G195" s="45"/>
      <c r="H195" s="45"/>
      <c r="I195" s="45"/>
      <c r="J195" s="45"/>
      <c r="K195" s="45"/>
      <c r="L195" s="45"/>
      <c r="M195" s="45"/>
    </row>
    <row r="196" ht="15.75" customHeight="1">
      <c r="A196" s="45"/>
      <c r="B196" s="45"/>
      <c r="C196" s="45"/>
      <c r="D196" s="45"/>
      <c r="E196" s="45"/>
      <c r="F196" s="45"/>
      <c r="G196" s="45"/>
      <c r="H196" s="45"/>
      <c r="I196" s="45"/>
      <c r="J196" s="45"/>
      <c r="K196" s="45"/>
      <c r="L196" s="45"/>
      <c r="M196" s="45"/>
    </row>
    <row r="197" ht="15.75" customHeight="1">
      <c r="A197" s="45"/>
      <c r="B197" s="45"/>
      <c r="C197" s="45"/>
      <c r="D197" s="45"/>
      <c r="E197" s="45"/>
      <c r="F197" s="45"/>
      <c r="G197" s="45"/>
      <c r="H197" s="45"/>
      <c r="I197" s="45"/>
      <c r="J197" s="45"/>
      <c r="K197" s="45"/>
      <c r="L197" s="45"/>
      <c r="M197" s="45"/>
    </row>
    <row r="198" ht="15.75" customHeight="1">
      <c r="A198" s="45"/>
      <c r="B198" s="45"/>
      <c r="C198" s="45"/>
      <c r="D198" s="45"/>
      <c r="E198" s="45"/>
      <c r="F198" s="45"/>
      <c r="G198" s="45"/>
      <c r="H198" s="45"/>
      <c r="I198" s="45"/>
      <c r="J198" s="45"/>
      <c r="K198" s="45"/>
      <c r="L198" s="45"/>
      <c r="M198" s="45"/>
    </row>
    <row r="199" ht="15.75" customHeight="1">
      <c r="A199" s="45"/>
      <c r="B199" s="45"/>
      <c r="C199" s="45"/>
      <c r="D199" s="45"/>
      <c r="E199" s="45"/>
      <c r="F199" s="45"/>
      <c r="G199" s="45"/>
      <c r="H199" s="45"/>
      <c r="I199" s="45"/>
      <c r="J199" s="45"/>
      <c r="K199" s="45"/>
      <c r="L199" s="45"/>
      <c r="M199" s="45"/>
    </row>
    <row r="200" ht="15.75" customHeight="1">
      <c r="A200" s="45"/>
      <c r="B200" s="45"/>
      <c r="C200" s="45"/>
      <c r="D200" s="45"/>
      <c r="E200" s="45"/>
      <c r="F200" s="45"/>
      <c r="G200" s="45"/>
      <c r="H200" s="45"/>
      <c r="I200" s="45"/>
      <c r="J200" s="45"/>
      <c r="K200" s="45"/>
      <c r="L200" s="45"/>
      <c r="M200" s="45"/>
    </row>
    <row r="201" ht="15.75" customHeight="1">
      <c r="A201" s="45"/>
      <c r="B201" s="45"/>
      <c r="C201" s="45"/>
      <c r="D201" s="45"/>
      <c r="E201" s="45"/>
      <c r="F201" s="45"/>
      <c r="G201" s="45"/>
      <c r="H201" s="45"/>
      <c r="I201" s="45"/>
      <c r="J201" s="45"/>
      <c r="K201" s="45"/>
      <c r="L201" s="45"/>
      <c r="M201" s="45"/>
    </row>
    <row r="202" ht="15.75" customHeight="1">
      <c r="A202" s="45"/>
      <c r="B202" s="45"/>
      <c r="C202" s="45"/>
      <c r="D202" s="45"/>
      <c r="E202" s="45"/>
      <c r="F202" s="45"/>
      <c r="G202" s="45"/>
      <c r="H202" s="45"/>
      <c r="I202" s="45"/>
      <c r="J202" s="45"/>
      <c r="K202" s="45"/>
      <c r="L202" s="45"/>
      <c r="M202" s="45"/>
    </row>
    <row r="203" ht="15.75" customHeight="1">
      <c r="A203" s="45"/>
      <c r="B203" s="45"/>
      <c r="C203" s="45"/>
      <c r="D203" s="45"/>
      <c r="E203" s="45"/>
      <c r="F203" s="45"/>
      <c r="G203" s="45"/>
      <c r="H203" s="45"/>
      <c r="I203" s="45"/>
      <c r="J203" s="45"/>
      <c r="K203" s="45"/>
      <c r="L203" s="45"/>
      <c r="M203" s="45"/>
    </row>
    <row r="204" ht="15.75" customHeight="1">
      <c r="A204" s="45"/>
      <c r="B204" s="45"/>
      <c r="C204" s="45"/>
      <c r="D204" s="45"/>
      <c r="E204" s="45"/>
      <c r="F204" s="45"/>
      <c r="G204" s="45"/>
      <c r="H204" s="45"/>
      <c r="I204" s="45"/>
      <c r="J204" s="45"/>
      <c r="K204" s="45"/>
      <c r="L204" s="45"/>
      <c r="M204" s="45"/>
    </row>
    <row r="205" ht="15.75" customHeight="1">
      <c r="A205" s="45"/>
      <c r="B205" s="45"/>
      <c r="C205" s="45"/>
      <c r="D205" s="45"/>
      <c r="E205" s="45"/>
      <c r="F205" s="45"/>
      <c r="G205" s="45"/>
      <c r="H205" s="45"/>
      <c r="I205" s="45"/>
      <c r="J205" s="45"/>
      <c r="K205" s="45"/>
      <c r="L205" s="45"/>
      <c r="M205" s="45"/>
    </row>
    <row r="206" ht="15.75" customHeight="1">
      <c r="A206" s="45"/>
      <c r="B206" s="45"/>
      <c r="C206" s="45"/>
      <c r="D206" s="45"/>
      <c r="E206" s="45"/>
      <c r="F206" s="45"/>
      <c r="G206" s="45"/>
      <c r="H206" s="45"/>
      <c r="I206" s="45"/>
      <c r="J206" s="45"/>
      <c r="K206" s="45"/>
      <c r="L206" s="45"/>
      <c r="M206" s="45"/>
    </row>
    <row r="207" ht="15.75" customHeight="1">
      <c r="A207" s="45"/>
      <c r="B207" s="45"/>
      <c r="C207" s="45"/>
      <c r="D207" s="45"/>
      <c r="E207" s="45"/>
      <c r="F207" s="45"/>
      <c r="G207" s="45"/>
      <c r="H207" s="45"/>
      <c r="I207" s="45"/>
      <c r="J207" s="45"/>
      <c r="K207" s="45"/>
      <c r="L207" s="45"/>
      <c r="M207" s="45"/>
    </row>
    <row r="208" ht="15.75" customHeight="1">
      <c r="A208" s="45"/>
      <c r="B208" s="45"/>
      <c r="C208" s="45"/>
      <c r="D208" s="45"/>
      <c r="E208" s="45"/>
      <c r="F208" s="45"/>
      <c r="G208" s="45"/>
      <c r="H208" s="45"/>
      <c r="I208" s="45"/>
      <c r="J208" s="45"/>
      <c r="K208" s="45"/>
      <c r="L208" s="45"/>
      <c r="M208" s="45"/>
    </row>
    <row r="209" ht="15.75" customHeight="1">
      <c r="A209" s="45"/>
      <c r="B209" s="45"/>
      <c r="C209" s="45"/>
      <c r="D209" s="45"/>
      <c r="E209" s="45"/>
      <c r="F209" s="45"/>
      <c r="G209" s="45"/>
      <c r="H209" s="45"/>
      <c r="I209" s="45"/>
      <c r="J209" s="45"/>
      <c r="K209" s="45"/>
      <c r="L209" s="45"/>
      <c r="M209" s="45"/>
    </row>
    <row r="210" ht="15.75" customHeight="1">
      <c r="A210" s="45"/>
      <c r="B210" s="45"/>
      <c r="C210" s="45"/>
      <c r="D210" s="45"/>
      <c r="E210" s="45"/>
      <c r="F210" s="45"/>
      <c r="G210" s="45"/>
      <c r="H210" s="45"/>
      <c r="I210" s="45"/>
      <c r="J210" s="45"/>
      <c r="K210" s="45"/>
      <c r="L210" s="45"/>
      <c r="M210" s="45"/>
    </row>
    <row r="211" ht="15.75" customHeight="1">
      <c r="A211" s="45"/>
      <c r="B211" s="45"/>
      <c r="C211" s="45"/>
      <c r="D211" s="45"/>
      <c r="E211" s="45"/>
      <c r="F211" s="45"/>
      <c r="G211" s="45"/>
      <c r="H211" s="45"/>
      <c r="I211" s="45"/>
      <c r="J211" s="45"/>
      <c r="K211" s="45"/>
      <c r="L211" s="45"/>
      <c r="M211" s="45"/>
    </row>
    <row r="212" ht="15.75" customHeight="1">
      <c r="A212" s="45"/>
      <c r="B212" s="45"/>
      <c r="C212" s="45"/>
      <c r="D212" s="45"/>
      <c r="E212" s="45"/>
      <c r="F212" s="45"/>
      <c r="G212" s="45"/>
      <c r="H212" s="45"/>
      <c r="I212" s="45"/>
      <c r="J212" s="45"/>
      <c r="K212" s="45"/>
      <c r="L212" s="45"/>
      <c r="M212" s="45"/>
    </row>
    <row r="213" ht="15.75" customHeight="1">
      <c r="A213" s="45"/>
      <c r="B213" s="45"/>
      <c r="C213" s="45"/>
      <c r="D213" s="45"/>
      <c r="E213" s="45"/>
      <c r="F213" s="45"/>
      <c r="G213" s="45"/>
      <c r="H213" s="45"/>
      <c r="I213" s="45"/>
      <c r="J213" s="45"/>
      <c r="K213" s="45"/>
      <c r="L213" s="45"/>
      <c r="M213" s="45"/>
    </row>
    <row r="214" ht="15.75" customHeight="1">
      <c r="A214" s="45"/>
      <c r="B214" s="45"/>
      <c r="C214" s="45"/>
      <c r="D214" s="45"/>
      <c r="E214" s="45"/>
      <c r="F214" s="45"/>
      <c r="G214" s="45"/>
      <c r="H214" s="45"/>
      <c r="I214" s="45"/>
      <c r="J214" s="45"/>
      <c r="K214" s="45"/>
      <c r="L214" s="45"/>
      <c r="M214" s="45"/>
    </row>
    <row r="215" ht="15.75" customHeight="1">
      <c r="A215" s="45"/>
      <c r="B215" s="45"/>
      <c r="C215" s="45"/>
      <c r="D215" s="45"/>
      <c r="E215" s="45"/>
      <c r="F215" s="45"/>
      <c r="G215" s="45"/>
      <c r="H215" s="45"/>
      <c r="I215" s="45"/>
      <c r="J215" s="45"/>
      <c r="K215" s="45"/>
      <c r="L215" s="45"/>
      <c r="M215" s="45"/>
    </row>
    <row r="216" ht="15.75" customHeight="1">
      <c r="A216" s="45"/>
      <c r="B216" s="45"/>
      <c r="C216" s="45"/>
      <c r="D216" s="45"/>
      <c r="E216" s="45"/>
      <c r="F216" s="45"/>
      <c r="G216" s="45"/>
      <c r="H216" s="45"/>
      <c r="I216" s="45"/>
      <c r="J216" s="45"/>
      <c r="K216" s="45"/>
      <c r="L216" s="45"/>
      <c r="M216" s="45"/>
    </row>
    <row r="217" ht="15.75" customHeight="1">
      <c r="A217" s="45"/>
      <c r="B217" s="45"/>
      <c r="C217" s="45"/>
      <c r="D217" s="45"/>
      <c r="E217" s="45"/>
      <c r="F217" s="45"/>
      <c r="G217" s="45"/>
      <c r="H217" s="45"/>
      <c r="I217" s="45"/>
      <c r="J217" s="45"/>
      <c r="K217" s="45"/>
      <c r="L217" s="45"/>
      <c r="M217" s="45"/>
    </row>
    <row r="218" ht="15.75" customHeight="1">
      <c r="A218" s="45"/>
      <c r="B218" s="45"/>
      <c r="C218" s="45"/>
      <c r="D218" s="45"/>
      <c r="E218" s="45"/>
      <c r="F218" s="45"/>
      <c r="G218" s="45"/>
      <c r="H218" s="45"/>
      <c r="I218" s="45"/>
      <c r="J218" s="45"/>
      <c r="K218" s="45"/>
      <c r="L218" s="45"/>
      <c r="M218" s="45"/>
    </row>
    <row r="219" ht="15.75" customHeight="1">
      <c r="A219" s="45"/>
      <c r="B219" s="45"/>
      <c r="C219" s="45"/>
      <c r="D219" s="45"/>
      <c r="E219" s="45"/>
      <c r="F219" s="45"/>
      <c r="G219" s="45"/>
      <c r="H219" s="45"/>
      <c r="I219" s="45"/>
      <c r="J219" s="45"/>
      <c r="K219" s="45"/>
      <c r="L219" s="45"/>
      <c r="M219" s="45"/>
    </row>
    <row r="220" ht="15.75" customHeight="1">
      <c r="A220" s="45"/>
      <c r="B220" s="45"/>
      <c r="C220" s="45"/>
      <c r="D220" s="45"/>
      <c r="E220" s="45"/>
      <c r="F220" s="45"/>
      <c r="G220" s="45"/>
      <c r="H220" s="45"/>
      <c r="I220" s="45"/>
      <c r="J220" s="45"/>
      <c r="K220" s="45"/>
      <c r="L220" s="45"/>
      <c r="M220" s="45"/>
    </row>
    <row r="221" ht="15.75" customHeight="1">
      <c r="A221" s="45"/>
      <c r="B221" s="45"/>
      <c r="C221" s="45"/>
      <c r="D221" s="45"/>
      <c r="E221" s="45"/>
      <c r="F221" s="45"/>
      <c r="G221" s="45"/>
      <c r="H221" s="45"/>
      <c r="I221" s="45"/>
      <c r="J221" s="45"/>
      <c r="K221" s="45"/>
      <c r="L221" s="45"/>
      <c r="M221" s="45"/>
    </row>
    <row r="222" ht="15.75" customHeight="1">
      <c r="A222" s="45"/>
      <c r="B222" s="45"/>
      <c r="C222" s="45"/>
      <c r="D222" s="45"/>
      <c r="E222" s="45"/>
      <c r="F222" s="45"/>
      <c r="G222" s="45"/>
      <c r="H222" s="45"/>
      <c r="I222" s="45"/>
      <c r="J222" s="45"/>
      <c r="K222" s="45"/>
      <c r="L222" s="45"/>
      <c r="M222" s="45"/>
    </row>
    <row r="223" ht="15.75" customHeight="1">
      <c r="A223" s="45"/>
      <c r="B223" s="45"/>
      <c r="C223" s="45"/>
      <c r="D223" s="45"/>
      <c r="E223" s="45"/>
      <c r="F223" s="45"/>
      <c r="G223" s="45"/>
      <c r="H223" s="45"/>
      <c r="I223" s="45"/>
      <c r="J223" s="45"/>
      <c r="K223" s="45"/>
      <c r="L223" s="45"/>
      <c r="M223" s="45"/>
    </row>
    <row r="224" ht="15.75" customHeight="1">
      <c r="A224" s="45"/>
      <c r="B224" s="45"/>
      <c r="C224" s="45"/>
      <c r="D224" s="45"/>
      <c r="E224" s="45"/>
      <c r="F224" s="45"/>
      <c r="G224" s="45"/>
      <c r="H224" s="45"/>
      <c r="I224" s="45"/>
      <c r="J224" s="45"/>
      <c r="K224" s="45"/>
      <c r="L224" s="45"/>
      <c r="M224" s="45"/>
    </row>
    <row r="225" ht="15.75" customHeight="1">
      <c r="A225" s="45"/>
      <c r="B225" s="45"/>
      <c r="C225" s="45"/>
      <c r="D225" s="45"/>
      <c r="E225" s="45"/>
      <c r="F225" s="45"/>
      <c r="G225" s="45"/>
      <c r="H225" s="45"/>
      <c r="I225" s="45"/>
      <c r="J225" s="45"/>
      <c r="K225" s="45"/>
      <c r="L225" s="45"/>
      <c r="M225" s="45"/>
    </row>
    <row r="226" ht="15.75" customHeight="1">
      <c r="A226" s="45"/>
      <c r="B226" s="45"/>
      <c r="C226" s="45"/>
      <c r="D226" s="45"/>
      <c r="E226" s="45"/>
      <c r="F226" s="45"/>
      <c r="G226" s="45"/>
      <c r="H226" s="45"/>
      <c r="I226" s="45"/>
      <c r="J226" s="45"/>
      <c r="K226" s="45"/>
      <c r="L226" s="45"/>
      <c r="M226" s="45"/>
    </row>
    <row r="227" ht="15.75" customHeight="1">
      <c r="A227" s="45"/>
      <c r="B227" s="45"/>
      <c r="C227" s="45"/>
      <c r="D227" s="45"/>
      <c r="E227" s="45"/>
      <c r="F227" s="45"/>
      <c r="G227" s="45"/>
      <c r="H227" s="45"/>
      <c r="I227" s="45"/>
      <c r="J227" s="45"/>
      <c r="K227" s="45"/>
      <c r="L227" s="45"/>
      <c r="M227" s="45"/>
    </row>
    <row r="228" ht="15.75" customHeight="1">
      <c r="A228" s="45"/>
      <c r="B228" s="45"/>
      <c r="C228" s="45"/>
      <c r="D228" s="45"/>
      <c r="E228" s="45"/>
      <c r="F228" s="45"/>
      <c r="G228" s="45"/>
      <c r="H228" s="45"/>
      <c r="I228" s="45"/>
      <c r="J228" s="45"/>
      <c r="K228" s="45"/>
      <c r="L228" s="45"/>
      <c r="M228" s="45"/>
    </row>
    <row r="229" ht="15.75" customHeight="1">
      <c r="A229" s="45"/>
      <c r="B229" s="45"/>
      <c r="C229" s="45"/>
      <c r="D229" s="45"/>
      <c r="E229" s="45"/>
      <c r="F229" s="45"/>
      <c r="G229" s="45"/>
      <c r="H229" s="45"/>
      <c r="I229" s="45"/>
      <c r="J229" s="45"/>
      <c r="K229" s="45"/>
      <c r="L229" s="45"/>
      <c r="M229" s="45"/>
    </row>
    <row r="230" ht="15.75" customHeight="1">
      <c r="A230" s="45"/>
      <c r="B230" s="45"/>
      <c r="C230" s="45"/>
      <c r="D230" s="45"/>
      <c r="E230" s="45"/>
      <c r="F230" s="45"/>
      <c r="G230" s="45"/>
      <c r="H230" s="45"/>
      <c r="I230" s="45"/>
      <c r="J230" s="45"/>
      <c r="K230" s="45"/>
      <c r="L230" s="45"/>
      <c r="M230" s="45"/>
    </row>
    <row r="231" ht="15.75" customHeight="1">
      <c r="A231" s="45"/>
      <c r="B231" s="45"/>
      <c r="C231" s="45"/>
      <c r="D231" s="45"/>
      <c r="E231" s="45"/>
      <c r="F231" s="45"/>
      <c r="G231" s="45"/>
      <c r="H231" s="45"/>
      <c r="I231" s="45"/>
      <c r="J231" s="45"/>
      <c r="K231" s="45"/>
      <c r="L231" s="45"/>
      <c r="M231" s="45"/>
    </row>
    <row r="232" ht="15.75" customHeight="1">
      <c r="A232" s="45"/>
      <c r="B232" s="45"/>
      <c r="C232" s="45"/>
      <c r="D232" s="45"/>
      <c r="E232" s="45"/>
      <c r="F232" s="45"/>
      <c r="G232" s="45"/>
      <c r="H232" s="45"/>
      <c r="I232" s="45"/>
      <c r="J232" s="45"/>
      <c r="K232" s="45"/>
      <c r="L232" s="45"/>
      <c r="M232" s="45"/>
    </row>
    <row r="233" ht="15.75" customHeight="1">
      <c r="A233" s="45"/>
      <c r="B233" s="45"/>
      <c r="C233" s="45"/>
      <c r="D233" s="45"/>
      <c r="E233" s="45"/>
      <c r="F233" s="45"/>
      <c r="G233" s="45"/>
      <c r="H233" s="45"/>
      <c r="I233" s="45"/>
      <c r="J233" s="45"/>
      <c r="K233" s="45"/>
      <c r="L233" s="45"/>
      <c r="M233" s="45"/>
    </row>
    <row r="234" ht="15.75" customHeight="1">
      <c r="A234" s="45"/>
      <c r="B234" s="45"/>
      <c r="C234" s="45"/>
      <c r="D234" s="45"/>
      <c r="E234" s="45"/>
      <c r="F234" s="45"/>
      <c r="G234" s="45"/>
      <c r="H234" s="45"/>
      <c r="I234" s="45"/>
      <c r="J234" s="45"/>
      <c r="K234" s="45"/>
      <c r="L234" s="45"/>
      <c r="M234" s="45"/>
    </row>
    <row r="235" ht="15.75" customHeight="1">
      <c r="A235" s="45"/>
      <c r="B235" s="45"/>
      <c r="C235" s="45"/>
      <c r="D235" s="45"/>
      <c r="E235" s="45"/>
      <c r="F235" s="45"/>
      <c r="G235" s="45"/>
      <c r="H235" s="45"/>
      <c r="I235" s="45"/>
      <c r="J235" s="45"/>
      <c r="K235" s="45"/>
      <c r="L235" s="45"/>
      <c r="M235" s="45"/>
    </row>
    <row r="236" ht="15.75" customHeight="1">
      <c r="A236" s="45"/>
      <c r="B236" s="45"/>
      <c r="C236" s="45"/>
      <c r="D236" s="45"/>
      <c r="E236" s="45"/>
      <c r="F236" s="45"/>
      <c r="G236" s="45"/>
      <c r="H236" s="45"/>
      <c r="I236" s="45"/>
      <c r="J236" s="45"/>
      <c r="K236" s="45"/>
      <c r="L236" s="45"/>
      <c r="M236" s="45"/>
    </row>
    <row r="237" ht="15.75" customHeight="1">
      <c r="A237" s="45"/>
      <c r="B237" s="45"/>
      <c r="C237" s="45"/>
      <c r="D237" s="45"/>
      <c r="E237" s="45"/>
      <c r="F237" s="45"/>
      <c r="G237" s="45"/>
      <c r="H237" s="45"/>
      <c r="I237" s="45"/>
      <c r="J237" s="45"/>
      <c r="K237" s="45"/>
      <c r="L237" s="45"/>
      <c r="M237" s="45"/>
    </row>
    <row r="238" ht="15.75" customHeight="1">
      <c r="A238" s="45"/>
      <c r="B238" s="45"/>
      <c r="C238" s="45"/>
      <c r="D238" s="45"/>
      <c r="E238" s="45"/>
      <c r="F238" s="45"/>
      <c r="G238" s="45"/>
      <c r="H238" s="45"/>
      <c r="I238" s="45"/>
      <c r="J238" s="45"/>
      <c r="K238" s="45"/>
      <c r="L238" s="45"/>
      <c r="M238" s="45"/>
    </row>
    <row r="239" ht="15.75" customHeight="1">
      <c r="A239" s="45"/>
      <c r="B239" s="45"/>
      <c r="C239" s="45"/>
      <c r="D239" s="45"/>
      <c r="E239" s="45"/>
      <c r="F239" s="45"/>
      <c r="G239" s="45"/>
      <c r="H239" s="45"/>
      <c r="I239" s="45"/>
      <c r="J239" s="45"/>
      <c r="K239" s="45"/>
      <c r="L239" s="45"/>
      <c r="M239" s="45"/>
    </row>
    <row r="240" ht="15.75" customHeight="1">
      <c r="A240" s="45"/>
      <c r="B240" s="45"/>
      <c r="C240" s="45"/>
      <c r="D240" s="45"/>
      <c r="E240" s="45"/>
      <c r="F240" s="45"/>
      <c r="G240" s="45"/>
      <c r="H240" s="45"/>
      <c r="I240" s="45"/>
      <c r="J240" s="45"/>
      <c r="K240" s="45"/>
      <c r="L240" s="45"/>
      <c r="M240" s="45"/>
    </row>
    <row r="241" ht="15.75" customHeight="1">
      <c r="A241" s="45"/>
      <c r="B241" s="45"/>
      <c r="C241" s="45"/>
      <c r="D241" s="45"/>
      <c r="E241" s="45"/>
      <c r="F241" s="45"/>
      <c r="G241" s="45"/>
      <c r="H241" s="45"/>
      <c r="I241" s="45"/>
      <c r="J241" s="45"/>
      <c r="K241" s="45"/>
      <c r="L241" s="45"/>
      <c r="M241" s="45"/>
    </row>
    <row r="242" ht="15.75" customHeight="1">
      <c r="A242" s="45"/>
      <c r="B242" s="45"/>
      <c r="C242" s="45"/>
      <c r="D242" s="45"/>
      <c r="E242" s="45"/>
      <c r="F242" s="45"/>
      <c r="G242" s="45"/>
      <c r="H242" s="45"/>
      <c r="I242" s="45"/>
      <c r="J242" s="45"/>
      <c r="K242" s="45"/>
      <c r="L242" s="45"/>
      <c r="M242" s="45"/>
    </row>
    <row r="243" ht="15.75" customHeight="1">
      <c r="A243" s="165" t="s">
        <v>200</v>
      </c>
      <c r="B243" s="233"/>
      <c r="C243" s="233"/>
      <c r="D243" s="233"/>
      <c r="E243" s="233"/>
      <c r="F243" s="233"/>
      <c r="G243" s="233"/>
      <c r="H243" s="233"/>
      <c r="I243" s="233"/>
      <c r="J243" s="233"/>
      <c r="K243" s="233"/>
      <c r="L243" s="233"/>
      <c r="M243" s="233"/>
      <c r="N243" s="233"/>
      <c r="O243" s="233"/>
      <c r="P243" s="233"/>
      <c r="Q243" s="233"/>
      <c r="R243" s="233"/>
      <c r="S243" s="233"/>
      <c r="T243" s="233"/>
      <c r="U243" s="233"/>
      <c r="V243" s="233"/>
      <c r="W243" s="233"/>
      <c r="X243" s="233"/>
      <c r="Y243" s="233"/>
      <c r="Z243" s="233"/>
    </row>
    <row r="244" ht="15.75" customHeight="1">
      <c r="A244" s="233" t="s">
        <v>154</v>
      </c>
      <c r="B244" s="233">
        <v>1.0</v>
      </c>
      <c r="C244" s="233">
        <v>2.0</v>
      </c>
      <c r="D244" s="233">
        <v>3.0</v>
      </c>
      <c r="E244" s="233">
        <v>4.0</v>
      </c>
      <c r="F244" s="233">
        <v>5.0</v>
      </c>
      <c r="G244" s="233">
        <v>6.0</v>
      </c>
      <c r="H244" s="233">
        <v>7.0</v>
      </c>
      <c r="I244" s="233">
        <v>8.0</v>
      </c>
      <c r="J244" s="233">
        <v>9.0</v>
      </c>
      <c r="K244" s="233">
        <v>10.0</v>
      </c>
      <c r="L244" s="233">
        <v>11.0</v>
      </c>
      <c r="M244" s="233">
        <v>12.0</v>
      </c>
      <c r="N244" s="233">
        <v>13.0</v>
      </c>
      <c r="O244" s="233">
        <v>14.0</v>
      </c>
      <c r="P244" s="233">
        <v>15.0</v>
      </c>
      <c r="Q244" s="233">
        <v>16.0</v>
      </c>
      <c r="R244" s="233">
        <v>17.0</v>
      </c>
      <c r="S244" s="233">
        <v>18.0</v>
      </c>
      <c r="T244" s="233">
        <v>19.0</v>
      </c>
      <c r="U244" s="233">
        <v>20.0</v>
      </c>
      <c r="V244" s="233">
        <v>21.0</v>
      </c>
      <c r="W244" s="233">
        <v>22.0</v>
      </c>
      <c r="X244" s="233">
        <v>23.0</v>
      </c>
      <c r="Y244" s="233">
        <v>24.0</v>
      </c>
      <c r="Z244" s="233">
        <v>25.0</v>
      </c>
    </row>
    <row r="245" ht="15.75" customHeight="1">
      <c r="A245" s="234" t="s">
        <v>155</v>
      </c>
      <c r="B245" s="234">
        <f>Moteur!B102</f>
        <v>13820.61507</v>
      </c>
      <c r="C245" s="234">
        <f>Moteur!C102</f>
        <v>20663.04543</v>
      </c>
      <c r="D245" s="234">
        <f>Moteur!D102</f>
        <v>26887.64272</v>
      </c>
      <c r="E245" s="234">
        <f>Moteur!E102</f>
        <v>31560.88757</v>
      </c>
      <c r="F245" s="234">
        <f>Moteur!F102</f>
        <v>36478.99793</v>
      </c>
      <c r="G245" s="234">
        <f>Moteur!G102</f>
        <v>50403.33771</v>
      </c>
      <c r="H245" s="234">
        <f>Moteur!H102</f>
        <v>58471.42569</v>
      </c>
      <c r="I245" s="234">
        <f>Moteur!I102</f>
        <v>66809.8247</v>
      </c>
      <c r="J245" s="234">
        <f>Moteur!J102</f>
        <v>73286.1542</v>
      </c>
      <c r="K245" s="234">
        <f>Moteur!K102</f>
        <v>80175.50194</v>
      </c>
      <c r="L245" s="234">
        <f>Moteur!L102</f>
        <v>87570.5557</v>
      </c>
      <c r="M245" s="234">
        <f>Moteur!M102</f>
        <v>95481.31304</v>
      </c>
      <c r="N245" s="234">
        <f>Moteur!N102</f>
        <v>103918.1064</v>
      </c>
      <c r="O245" s="234">
        <f>Moteur!O102</f>
        <v>112891.6146</v>
      </c>
      <c r="P245" s="234">
        <f>Moteur!P102</f>
        <v>122412.8739</v>
      </c>
      <c r="Q245" s="234">
        <f>Moteur!Q102</f>
        <v>132493.2906</v>
      </c>
      <c r="R245" s="234">
        <f>Moteur!R102</f>
        <v>143144.653</v>
      </c>
      <c r="S245" s="234">
        <f>Moteur!S102</f>
        <v>154379.1445</v>
      </c>
      <c r="T245" s="234">
        <f>Moteur!T102</f>
        <v>166209.3565</v>
      </c>
      <c r="U245" s="234">
        <f>Moteur!U102</f>
        <v>178648.3025</v>
      </c>
      <c r="V245" s="234">
        <f>Moteur!V102</f>
        <v>191709.4317</v>
      </c>
      <c r="W245" s="234">
        <f>Moteur!W102</f>
        <v>205011.5933</v>
      </c>
      <c r="X245" s="234">
        <f>Moteur!X102</f>
        <v>219466.2681</v>
      </c>
      <c r="Y245" s="234">
        <f>Moteur!Y102</f>
        <v>234604.3222</v>
      </c>
      <c r="Z245" s="234">
        <f>Moteur!Z102</f>
        <v>250441.1</v>
      </c>
    </row>
    <row r="246" ht="15.75" customHeight="1">
      <c r="A246" s="234" t="s">
        <v>156</v>
      </c>
      <c r="B246" s="234">
        <f>Moteur!B107</f>
        <v>17720.61507</v>
      </c>
      <c r="C246" s="234">
        <f>Moteur!C107</f>
        <v>27465.04843</v>
      </c>
      <c r="D246" s="234">
        <f>Moteur!D107</f>
        <v>34464.77156</v>
      </c>
      <c r="E246" s="234">
        <f>Moteur!E107</f>
        <v>41739.87334</v>
      </c>
      <c r="F246" s="234">
        <f>Moteur!F107</f>
        <v>49298.86849</v>
      </c>
      <c r="G246" s="234">
        <f>Moteur!G107</f>
        <v>71403.45493</v>
      </c>
      <c r="H246" s="234">
        <f>Moteur!H107</f>
        <v>80020.53617</v>
      </c>
      <c r="I246" s="234">
        <f>Moteur!I107</f>
        <v>89280.21045</v>
      </c>
      <c r="J246" s="234">
        <f>Moteur!J107</f>
        <v>99194.93325</v>
      </c>
      <c r="K246" s="234">
        <f>Moteur!K107</f>
        <v>109777.5283</v>
      </c>
      <c r="L246" s="234">
        <f>Moteur!L107</f>
        <v>121041.1991</v>
      </c>
      <c r="M246" s="234">
        <f>Moteur!M107</f>
        <v>132999.5403</v>
      </c>
      <c r="N246" s="234">
        <f>Moteur!N107</f>
        <v>145666.55</v>
      </c>
      <c r="O246" s="234">
        <f>Moteur!O107</f>
        <v>159056.6423</v>
      </c>
      <c r="P246" s="234">
        <f>Moteur!P107</f>
        <v>173184.6599</v>
      </c>
      <c r="Q246" s="234">
        <f>Moteur!Q107</f>
        <v>188065.8876</v>
      </c>
      <c r="R246" s="234">
        <f>Moteur!R107</f>
        <v>203716.0659</v>
      </c>
      <c r="S246" s="234">
        <f>Moteur!S107</f>
        <v>220151.4051</v>
      </c>
      <c r="T246" s="234">
        <f>Moteur!T107</f>
        <v>237388.6001</v>
      </c>
      <c r="U246" s="234">
        <f>Moteur!U107</f>
        <v>255444.8451</v>
      </c>
      <c r="V246" s="234">
        <f>Moteur!V107</f>
        <v>274337.8495</v>
      </c>
      <c r="W246" s="234">
        <f>Moteur!W107</f>
        <v>293299.2241</v>
      </c>
      <c r="X246" s="234">
        <f>Moteur!X107</f>
        <v>314138.8737</v>
      </c>
      <c r="Y246" s="234">
        <f>Moteur!Y107</f>
        <v>335903.0757</v>
      </c>
      <c r="Z246" s="234">
        <f>Moteur!Z107</f>
        <v>358612.0678</v>
      </c>
    </row>
    <row r="247" ht="15.75" customHeight="1">
      <c r="A247" s="235"/>
      <c r="B247" s="234">
        <f>Moteur!B146</f>
        <v>13820.61507</v>
      </c>
      <c r="C247" s="234">
        <f>Moteur!C146</f>
        <v>20663.04543</v>
      </c>
      <c r="D247" s="234">
        <f>Moteur!D146</f>
        <v>27734.72272</v>
      </c>
      <c r="E247" s="234">
        <f>Moteur!E146</f>
        <v>35043.32757</v>
      </c>
      <c r="F247" s="234">
        <f>Moteur!F146</f>
        <v>42596.79793</v>
      </c>
      <c r="G247" s="234">
        <f>Moteur!G146</f>
        <v>50403.33771</v>
      </c>
      <c r="H247" s="234">
        <f>Moteur!H146</f>
        <v>58471.42569</v>
      </c>
      <c r="I247" s="234">
        <f>Moteur!I146</f>
        <v>66809.8247</v>
      </c>
      <c r="J247" s="234">
        <f>Moteur!J146</f>
        <v>75427.59116</v>
      </c>
      <c r="K247" s="234">
        <f>Moteur!K146</f>
        <v>84334.08494</v>
      </c>
      <c r="L247" s="234">
        <f>Moteur!L146</f>
        <v>93538.97946</v>
      </c>
      <c r="M247" s="234">
        <f>Moteur!M146</f>
        <v>103052.2723</v>
      </c>
      <c r="N247" s="234">
        <f>Moteur!N146</f>
        <v>112884.2959</v>
      </c>
      <c r="O247" s="234">
        <f>Moteur!O146</f>
        <v>123045.7289</v>
      </c>
      <c r="P247" s="234">
        <f>Moteur!P146</f>
        <v>133547.6079</v>
      </c>
      <c r="Q247" s="234">
        <f>Moteur!Q146</f>
        <v>144401.3389</v>
      </c>
      <c r="R247" s="234">
        <f>Moteur!R146</f>
        <v>155618.7104</v>
      </c>
      <c r="S247" s="234">
        <f>Moteur!S146</f>
        <v>167211.9057</v>
      </c>
      <c r="T247" s="234">
        <f>Moteur!T146</f>
        <v>179193.5163</v>
      </c>
      <c r="U247" s="234">
        <f>Moteur!U146</f>
        <v>191576.5555</v>
      </c>
      <c r="V247" s="234">
        <f>Moteur!V146</f>
        <v>204374.4726</v>
      </c>
      <c r="W247" s="234">
        <f>Moteur!W146</f>
        <v>217601.1677</v>
      </c>
      <c r="X247" s="234">
        <f>Moteur!X146</f>
        <v>231271.0065</v>
      </c>
      <c r="Y247" s="234">
        <f>Moteur!Y146</f>
        <v>245398.8358</v>
      </c>
      <c r="Z247" s="234">
        <f>Moteur!Z146</f>
        <v>260000</v>
      </c>
    </row>
    <row r="248" ht="15.75" customHeight="1">
      <c r="A248" s="236"/>
      <c r="B248" s="234"/>
      <c r="C248" s="234"/>
      <c r="D248" s="234"/>
      <c r="E248" s="234"/>
      <c r="F248" s="234"/>
      <c r="G248" s="234"/>
      <c r="H248" s="234"/>
      <c r="I248" s="234"/>
      <c r="J248" s="234"/>
      <c r="K248" s="234"/>
      <c r="L248" s="234"/>
      <c r="M248" s="234"/>
      <c r="N248" s="234"/>
      <c r="O248" s="234"/>
      <c r="P248" s="234"/>
      <c r="Q248" s="234"/>
      <c r="R248" s="234"/>
      <c r="S248" s="234"/>
      <c r="T248" s="234"/>
      <c r="U248" s="234"/>
      <c r="V248" s="234"/>
      <c r="W248" s="234"/>
      <c r="X248" s="234"/>
      <c r="Y248" s="234"/>
      <c r="Z248" s="234"/>
    </row>
    <row r="249" ht="15.75" customHeight="1">
      <c r="A249" s="237"/>
      <c r="B249" s="234"/>
      <c r="C249" s="234"/>
      <c r="D249" s="234"/>
      <c r="E249" s="234"/>
      <c r="F249" s="234"/>
      <c r="G249" s="234"/>
      <c r="H249" s="234"/>
      <c r="I249" s="234"/>
      <c r="J249" s="234"/>
      <c r="K249" s="234"/>
      <c r="L249" s="234"/>
      <c r="M249" s="234"/>
      <c r="N249" s="234"/>
      <c r="O249" s="234"/>
      <c r="P249" s="234"/>
      <c r="Q249" s="234"/>
      <c r="R249" s="234"/>
      <c r="S249" s="234"/>
      <c r="T249" s="234"/>
      <c r="U249" s="234"/>
      <c r="V249" s="234"/>
      <c r="W249" s="234"/>
      <c r="X249" s="234"/>
      <c r="Y249" s="234"/>
      <c r="Z249" s="234"/>
    </row>
    <row r="250" ht="15.75" customHeight="1">
      <c r="A250" s="236" t="s">
        <v>159</v>
      </c>
      <c r="B250" s="234">
        <f>Moteur!B162</f>
        <v>3176.591447</v>
      </c>
      <c r="C250" s="234">
        <f>Moteur!C162</f>
        <v>4360.65084</v>
      </c>
      <c r="D250" s="234">
        <f>Moteur!D162</f>
        <v>4925.245335</v>
      </c>
      <c r="E250" s="234">
        <f>Moteur!E162</f>
        <v>3935.558503</v>
      </c>
      <c r="F250" s="234">
        <f>Moteur!F162</f>
        <v>3186.449156</v>
      </c>
      <c r="G250" s="234">
        <f>Moteur!G162</f>
        <v>11437.8576</v>
      </c>
      <c r="H250" s="234">
        <f>Moteur!H162</f>
        <v>13825.81212</v>
      </c>
      <c r="I250" s="234">
        <f>Moteur!I162</f>
        <v>16475.31563</v>
      </c>
      <c r="J250" s="234">
        <f>Moteur!J162</f>
        <v>17252.35565</v>
      </c>
      <c r="K250" s="234">
        <f>Moteur!K162</f>
        <v>18430.31318</v>
      </c>
      <c r="L250" s="234">
        <f>Moteur!L162</f>
        <v>20100.09177</v>
      </c>
      <c r="M250" s="234">
        <f>Moteur!M162</f>
        <v>22269.82422</v>
      </c>
      <c r="N250" s="234">
        <f>Moteur!N162</f>
        <v>24947.89482</v>
      </c>
      <c r="O250" s="234">
        <f>Moteur!O162</f>
        <v>28142.94745</v>
      </c>
      <c r="P250" s="234">
        <f>Moteur!P162</f>
        <v>31823.70344</v>
      </c>
      <c r="Q250" s="234">
        <f>Moteur!Q162</f>
        <v>35963.76909</v>
      </c>
      <c r="R250" s="234">
        <f>Moteur!R162</f>
        <v>40575.07612</v>
      </c>
      <c r="S250" s="234">
        <f>Moteur!S162</f>
        <v>45665.26916</v>
      </c>
      <c r="T250" s="234">
        <f>Moteur!T162</f>
        <v>51242.23095</v>
      </c>
      <c r="U250" s="234">
        <f>Moteur!U162</f>
        <v>57314.09012</v>
      </c>
      <c r="V250" s="234">
        <f>Moteur!V162</f>
        <v>63889.22912</v>
      </c>
      <c r="W250" s="234">
        <f>Moteur!W162</f>
        <v>70581.24168</v>
      </c>
      <c r="X250" s="234">
        <f>Moteur!X162</f>
        <v>78296.15776</v>
      </c>
      <c r="Y250" s="234">
        <f>Moteur!Y162</f>
        <v>86559.19108</v>
      </c>
      <c r="Z250" s="234">
        <f>Moteur!Z162</f>
        <v>95379.8244</v>
      </c>
    </row>
    <row r="251" ht="15.75" customHeight="1">
      <c r="A251" s="236" t="s">
        <v>160</v>
      </c>
      <c r="B251" s="234">
        <f>Moteur!B163</f>
        <v>7076.591447</v>
      </c>
      <c r="C251" s="234">
        <f>Moteur!C163</f>
        <v>11162.65384</v>
      </c>
      <c r="D251" s="234">
        <f>Moteur!D163</f>
        <v>12502.37418</v>
      </c>
      <c r="E251" s="234">
        <f>Moteur!E163</f>
        <v>14114.54428</v>
      </c>
      <c r="F251" s="234">
        <f>Moteur!F163</f>
        <v>16006.31972</v>
      </c>
      <c r="G251" s="234">
        <f>Moteur!G163</f>
        <v>32437.97482</v>
      </c>
      <c r="H251" s="234">
        <f>Moteur!H163</f>
        <v>35374.92261</v>
      </c>
      <c r="I251" s="234">
        <f>Moteur!I163</f>
        <v>38945.70139</v>
      </c>
      <c r="J251" s="234">
        <f>Moteur!J163</f>
        <v>43161.13469</v>
      </c>
      <c r="K251" s="234">
        <f>Moteur!K163</f>
        <v>48032.33959</v>
      </c>
      <c r="L251" s="234">
        <f>Moteur!L163</f>
        <v>53570.73518</v>
      </c>
      <c r="M251" s="234">
        <f>Moteur!M163</f>
        <v>59788.05148</v>
      </c>
      <c r="N251" s="234">
        <f>Moteur!N163</f>
        <v>66696.3384</v>
      </c>
      <c r="O251" s="234">
        <f>Moteur!O163</f>
        <v>74307.9752</v>
      </c>
      <c r="P251" s="234">
        <f>Moteur!P163</f>
        <v>82595.48949</v>
      </c>
      <c r="Q251" s="234">
        <f>Moteur!Q163</f>
        <v>91536.36615</v>
      </c>
      <c r="R251" s="234">
        <f>Moteur!R163</f>
        <v>101146.489</v>
      </c>
      <c r="S251" s="234">
        <f>Moteur!S163</f>
        <v>111437.5298</v>
      </c>
      <c r="T251" s="234">
        <f>Moteur!T163</f>
        <v>122421.4745</v>
      </c>
      <c r="U251" s="234">
        <f>Moteur!U163</f>
        <v>134110.6328</v>
      </c>
      <c r="V251" s="234">
        <f>Moteur!V163</f>
        <v>146517.647</v>
      </c>
      <c r="W251" s="234">
        <f>Moteur!W163</f>
        <v>158868.8724</v>
      </c>
      <c r="X251" s="234">
        <f>Moteur!X163</f>
        <v>172968.7634</v>
      </c>
      <c r="Y251" s="234">
        <f>Moteur!Y163</f>
        <v>187857.9447</v>
      </c>
      <c r="Z251" s="234">
        <f>Moteur!Z163</f>
        <v>203550.7922</v>
      </c>
    </row>
    <row r="252" ht="15.75" customHeight="1">
      <c r="A252" s="236"/>
      <c r="B252" s="167"/>
      <c r="C252" s="167"/>
      <c r="D252" s="167"/>
      <c r="E252" s="167"/>
      <c r="F252" s="167"/>
      <c r="G252" s="167"/>
      <c r="H252" s="167"/>
      <c r="I252" s="167"/>
      <c r="J252" s="167"/>
      <c r="K252" s="167"/>
      <c r="L252" s="167"/>
      <c r="M252" s="167"/>
      <c r="N252" s="234">
        <f>Moteur!N164</f>
        <v>-11431.86285</v>
      </c>
      <c r="O252" s="234">
        <f>Moteur!O164</f>
        <v>-10311.98473</v>
      </c>
      <c r="P252" s="234">
        <f>Moteur!P164</f>
        <v>-8942.7749</v>
      </c>
      <c r="Q252" s="234">
        <f>Moteur!Q164</f>
        <v>-7317.04289</v>
      </c>
      <c r="R252" s="234">
        <f>Moteur!R164</f>
        <v>-5427.374775</v>
      </c>
      <c r="S252" s="234">
        <f>Moteur!S164</f>
        <v>-3266.125943</v>
      </c>
      <c r="T252" s="234">
        <f>Moteur!T164</f>
        <v>-825.4136303</v>
      </c>
      <c r="U252" s="234">
        <f>Moteur!U164</f>
        <v>1902.890784</v>
      </c>
      <c r="V252" s="234">
        <f>Moteur!V164</f>
        <v>4927.169745</v>
      </c>
      <c r="W252" s="234">
        <f>Moteur!W164</f>
        <v>8256.067745</v>
      </c>
      <c r="X252" s="234">
        <f>Moteur!X164</f>
        <v>11898.49982</v>
      </c>
      <c r="Y252" s="234">
        <f>Moteur!Y164</f>
        <v>15863.66034</v>
      </c>
      <c r="Z252" s="234">
        <f>Moteur!Z164</f>
        <v>20161.03206</v>
      </c>
    </row>
    <row r="253" ht="15.75" customHeight="1">
      <c r="A253" s="160"/>
      <c r="B253" s="45"/>
      <c r="C253" s="45"/>
      <c r="D253" s="45"/>
      <c r="E253" s="45"/>
      <c r="F253" s="45"/>
      <c r="G253" s="45"/>
      <c r="H253" s="45"/>
      <c r="I253" s="45"/>
      <c r="J253" s="45"/>
      <c r="K253" s="45"/>
      <c r="L253" s="45"/>
      <c r="M253" s="45"/>
      <c r="N253" s="233"/>
      <c r="O253" s="233"/>
      <c r="P253" s="233"/>
      <c r="Q253" s="233"/>
      <c r="R253" s="233"/>
      <c r="S253" s="233"/>
      <c r="T253" s="233"/>
      <c r="U253" s="233"/>
      <c r="V253" s="233"/>
      <c r="W253" s="233"/>
      <c r="X253" s="233"/>
      <c r="Y253" s="233"/>
      <c r="Z253" s="233"/>
    </row>
    <row r="254" ht="15.75" customHeight="1">
      <c r="A254" s="45"/>
      <c r="B254" s="45"/>
      <c r="C254" s="45"/>
      <c r="D254" s="45"/>
      <c r="E254" s="45"/>
      <c r="F254" s="45"/>
      <c r="G254" s="45"/>
      <c r="H254" s="45"/>
      <c r="I254" s="45"/>
      <c r="J254" s="45"/>
      <c r="K254" s="45"/>
      <c r="L254" s="45"/>
      <c r="M254" s="45"/>
    </row>
    <row r="255" ht="15.75" customHeight="1">
      <c r="A255" s="45"/>
      <c r="B255" s="45"/>
      <c r="C255" s="45"/>
      <c r="D255" s="45"/>
      <c r="E255" s="45"/>
      <c r="F255" s="45"/>
      <c r="G255" s="45"/>
      <c r="H255" s="45"/>
      <c r="I255" s="45"/>
      <c r="J255" s="45"/>
      <c r="K255" s="45"/>
      <c r="L255" s="45"/>
      <c r="M255" s="45"/>
    </row>
    <row r="256" ht="15.75" customHeight="1">
      <c r="A256" s="45"/>
      <c r="B256" s="45"/>
      <c r="C256" s="45"/>
      <c r="D256" s="45"/>
      <c r="E256" s="45"/>
      <c r="F256" s="45"/>
      <c r="G256" s="45"/>
      <c r="H256" s="45"/>
      <c r="I256" s="45"/>
      <c r="J256" s="45"/>
      <c r="K256" s="45"/>
      <c r="L256" s="45"/>
      <c r="M256" s="45"/>
    </row>
    <row r="257" ht="15.75" customHeight="1">
      <c r="A257" s="45"/>
      <c r="B257" s="45"/>
      <c r="C257" s="45"/>
      <c r="D257" s="45"/>
      <c r="E257" s="45"/>
      <c r="F257" s="45"/>
      <c r="G257" s="45"/>
      <c r="H257" s="45"/>
      <c r="I257" s="45"/>
      <c r="J257" s="45"/>
      <c r="K257" s="45"/>
      <c r="L257" s="45"/>
      <c r="M257" s="45"/>
    </row>
    <row r="258" ht="15.75" customHeight="1">
      <c r="A258" s="45"/>
      <c r="B258" s="45"/>
      <c r="C258" s="45"/>
      <c r="D258" s="45"/>
      <c r="E258" s="45"/>
      <c r="F258" s="45"/>
      <c r="G258" s="45"/>
      <c r="H258" s="45"/>
      <c r="I258" s="45"/>
      <c r="J258" s="45"/>
      <c r="K258" s="45"/>
      <c r="L258" s="45"/>
      <c r="M258" s="45"/>
    </row>
    <row r="259" ht="15.75" customHeight="1">
      <c r="A259" s="45"/>
      <c r="B259" s="45"/>
      <c r="C259" s="45"/>
      <c r="D259" s="45"/>
      <c r="E259" s="45"/>
      <c r="F259" s="45"/>
      <c r="G259" s="45"/>
      <c r="H259" s="45"/>
      <c r="I259" s="45"/>
      <c r="J259" s="45"/>
      <c r="K259" s="45"/>
      <c r="L259" s="45"/>
      <c r="M259" s="45"/>
    </row>
    <row r="260" ht="15.75" customHeight="1">
      <c r="A260" s="45"/>
      <c r="B260" s="45"/>
      <c r="C260" s="45"/>
      <c r="D260" s="45"/>
      <c r="E260" s="45"/>
      <c r="F260" s="45"/>
      <c r="G260" s="45"/>
      <c r="H260" s="45"/>
      <c r="I260" s="45"/>
      <c r="J260" s="45"/>
      <c r="K260" s="45"/>
      <c r="L260" s="45"/>
      <c r="M260" s="45"/>
    </row>
    <row r="261" ht="15.75" customHeight="1">
      <c r="A261" s="45"/>
      <c r="B261" s="45"/>
      <c r="C261" s="45"/>
      <c r="D261" s="45"/>
      <c r="E261" s="45"/>
      <c r="F261" s="45"/>
      <c r="G261" s="45"/>
      <c r="H261" s="45"/>
      <c r="I261" s="45"/>
      <c r="J261" s="45"/>
      <c r="K261" s="45"/>
      <c r="L261" s="45"/>
      <c r="M261" s="45"/>
    </row>
    <row r="262" ht="15.75" customHeight="1">
      <c r="A262" s="45"/>
      <c r="B262" s="45"/>
      <c r="C262" s="45"/>
      <c r="D262" s="45"/>
      <c r="E262" s="45"/>
      <c r="F262" s="45"/>
      <c r="G262" s="45"/>
      <c r="H262" s="45"/>
      <c r="I262" s="45"/>
      <c r="J262" s="45"/>
      <c r="K262" s="45"/>
      <c r="L262" s="45"/>
      <c r="M262" s="45"/>
    </row>
    <row r="263" ht="15.75" customHeight="1">
      <c r="A263" s="45"/>
      <c r="B263" s="45"/>
      <c r="C263" s="45"/>
      <c r="D263" s="45"/>
      <c r="E263" s="45"/>
      <c r="F263" s="45"/>
      <c r="G263" s="45"/>
      <c r="H263" s="45"/>
      <c r="I263" s="45"/>
      <c r="J263" s="45"/>
      <c r="K263" s="45"/>
      <c r="L263" s="45"/>
      <c r="M263" s="45"/>
    </row>
    <row r="264" ht="15.75" customHeight="1">
      <c r="A264" s="45"/>
      <c r="B264" s="45"/>
      <c r="C264" s="45"/>
      <c r="D264" s="45"/>
      <c r="E264" s="45"/>
      <c r="F264" s="45"/>
      <c r="G264" s="45"/>
      <c r="H264" s="45"/>
      <c r="I264" s="45"/>
      <c r="J264" s="45"/>
      <c r="K264" s="45"/>
      <c r="L264" s="45"/>
      <c r="M264" s="45"/>
    </row>
    <row r="265" ht="15.75" customHeight="1">
      <c r="A265" s="45"/>
      <c r="B265" s="45"/>
      <c r="C265" s="45"/>
      <c r="D265" s="45"/>
      <c r="E265" s="45"/>
      <c r="F265" s="45"/>
      <c r="G265" s="45"/>
      <c r="H265" s="45"/>
      <c r="I265" s="45"/>
      <c r="J265" s="45"/>
      <c r="K265" s="45"/>
      <c r="L265" s="45"/>
      <c r="M265" s="45"/>
    </row>
    <row r="266" ht="15.75" customHeight="1">
      <c r="A266" s="45"/>
      <c r="B266" s="45"/>
      <c r="C266" s="45"/>
      <c r="D266" s="45"/>
      <c r="E266" s="45"/>
      <c r="F266" s="45"/>
      <c r="G266" s="45"/>
      <c r="H266" s="45"/>
      <c r="I266" s="45"/>
      <c r="J266" s="45"/>
      <c r="K266" s="45"/>
      <c r="L266" s="45"/>
      <c r="M266" s="45"/>
    </row>
    <row r="267" ht="15.75" customHeight="1">
      <c r="A267" s="45"/>
      <c r="B267" s="45"/>
      <c r="C267" s="45"/>
      <c r="D267" s="45"/>
      <c r="E267" s="45"/>
      <c r="F267" s="45"/>
      <c r="G267" s="45"/>
      <c r="H267" s="45"/>
      <c r="I267" s="45"/>
      <c r="J267" s="45"/>
      <c r="K267" s="45"/>
      <c r="L267" s="45"/>
      <c r="M267" s="45"/>
    </row>
    <row r="268" ht="15.75" customHeight="1">
      <c r="A268" s="45"/>
      <c r="B268" s="45"/>
      <c r="C268" s="45"/>
      <c r="D268" s="45"/>
      <c r="E268" s="45"/>
      <c r="F268" s="45"/>
      <c r="G268" s="45"/>
      <c r="H268" s="45"/>
      <c r="I268" s="45"/>
      <c r="J268" s="45"/>
      <c r="K268" s="45"/>
      <c r="L268" s="45"/>
      <c r="M268" s="45"/>
    </row>
    <row r="269" ht="15.75" customHeight="1">
      <c r="A269" s="45"/>
      <c r="B269" s="45"/>
      <c r="C269" s="45"/>
      <c r="D269" s="45"/>
      <c r="E269" s="45"/>
      <c r="F269" s="45"/>
      <c r="G269" s="45"/>
      <c r="H269" s="45"/>
      <c r="I269" s="45"/>
      <c r="J269" s="45"/>
      <c r="K269" s="45"/>
      <c r="L269" s="45"/>
      <c r="M269" s="45"/>
    </row>
    <row r="270" ht="15.75" customHeight="1">
      <c r="A270" s="45"/>
      <c r="B270" s="45"/>
      <c r="C270" s="45"/>
      <c r="D270" s="45"/>
      <c r="E270" s="45"/>
      <c r="F270" s="45"/>
      <c r="G270" s="45"/>
      <c r="H270" s="45"/>
      <c r="I270" s="45"/>
      <c r="J270" s="45"/>
      <c r="K270" s="45"/>
      <c r="L270" s="45"/>
      <c r="M270" s="45"/>
    </row>
    <row r="271" ht="15.75" customHeight="1">
      <c r="A271" s="45"/>
      <c r="B271" s="45"/>
      <c r="C271" s="45"/>
      <c r="D271" s="45"/>
      <c r="E271" s="45"/>
      <c r="F271" s="45"/>
      <c r="G271" s="45"/>
      <c r="H271" s="45"/>
      <c r="I271" s="45"/>
      <c r="J271" s="45"/>
      <c r="K271" s="45"/>
      <c r="L271" s="45"/>
      <c r="M271" s="45"/>
    </row>
    <row r="272" ht="15.75" customHeight="1">
      <c r="A272" s="45"/>
      <c r="B272" s="45"/>
      <c r="C272" s="45"/>
      <c r="D272" s="45"/>
      <c r="E272" s="45"/>
      <c r="F272" s="45"/>
      <c r="G272" s="45"/>
      <c r="H272" s="45"/>
      <c r="I272" s="45"/>
      <c r="J272" s="45"/>
      <c r="K272" s="45"/>
      <c r="L272" s="45"/>
      <c r="M272" s="45"/>
    </row>
    <row r="273" ht="15.75" customHeight="1">
      <c r="A273" s="45"/>
      <c r="B273" s="45"/>
      <c r="C273" s="45"/>
      <c r="D273" s="45"/>
      <c r="E273" s="45"/>
      <c r="F273" s="45"/>
      <c r="G273" s="45"/>
      <c r="H273" s="45"/>
      <c r="I273" s="45"/>
      <c r="J273" s="45"/>
      <c r="K273" s="45"/>
      <c r="L273" s="45"/>
      <c r="M273" s="45"/>
    </row>
    <row r="274" ht="15.75" customHeight="1">
      <c r="A274" s="45"/>
      <c r="B274" s="45"/>
      <c r="C274" s="45"/>
      <c r="D274" s="45"/>
      <c r="E274" s="45"/>
      <c r="F274" s="45"/>
      <c r="G274" s="45"/>
      <c r="H274" s="45"/>
      <c r="I274" s="45"/>
      <c r="J274" s="45"/>
      <c r="K274" s="45"/>
      <c r="L274" s="45"/>
      <c r="M274" s="45"/>
    </row>
    <row r="275" ht="15.75" customHeight="1">
      <c r="A275" s="45"/>
      <c r="B275" s="45"/>
      <c r="C275" s="45"/>
      <c r="D275" s="45"/>
      <c r="E275" s="45"/>
      <c r="F275" s="45"/>
      <c r="G275" s="45"/>
      <c r="H275" s="45"/>
      <c r="I275" s="45"/>
      <c r="J275" s="45"/>
      <c r="K275" s="45"/>
      <c r="L275" s="45"/>
      <c r="M275" s="45"/>
    </row>
    <row r="276" ht="15.75" customHeight="1">
      <c r="A276" s="45"/>
      <c r="B276" s="45"/>
      <c r="C276" s="45"/>
      <c r="D276" s="45"/>
      <c r="E276" s="45"/>
      <c r="F276" s="45"/>
      <c r="G276" s="45"/>
      <c r="H276" s="45"/>
      <c r="I276" s="45"/>
      <c r="J276" s="45"/>
      <c r="K276" s="45"/>
      <c r="L276" s="45"/>
      <c r="M276" s="45"/>
    </row>
    <row r="277" ht="15.75" customHeight="1">
      <c r="A277" s="45"/>
      <c r="B277" s="45"/>
      <c r="C277" s="45"/>
      <c r="D277" s="45"/>
      <c r="E277" s="45"/>
      <c r="F277" s="45"/>
      <c r="G277" s="45"/>
      <c r="H277" s="45"/>
      <c r="I277" s="45"/>
      <c r="J277" s="45"/>
      <c r="K277" s="45"/>
      <c r="L277" s="45"/>
      <c r="M277" s="45"/>
    </row>
    <row r="278" ht="15.75" customHeight="1">
      <c r="A278" s="45"/>
      <c r="B278" s="45"/>
      <c r="C278" s="45"/>
      <c r="D278" s="45"/>
      <c r="E278" s="45"/>
      <c r="F278" s="45"/>
      <c r="G278" s="45"/>
      <c r="H278" s="45"/>
      <c r="I278" s="45"/>
      <c r="J278" s="45"/>
      <c r="K278" s="45"/>
      <c r="L278" s="45"/>
      <c r="M278" s="45"/>
    </row>
    <row r="279" ht="15.75" customHeight="1">
      <c r="A279" s="45"/>
      <c r="B279" s="45"/>
      <c r="C279" s="45"/>
      <c r="D279" s="45"/>
      <c r="E279" s="45"/>
      <c r="F279" s="45"/>
      <c r="G279" s="45"/>
      <c r="H279" s="45"/>
      <c r="I279" s="45"/>
      <c r="J279" s="45"/>
      <c r="K279" s="45"/>
      <c r="L279" s="45"/>
      <c r="M279" s="45"/>
    </row>
    <row r="280" ht="15.75" customHeight="1">
      <c r="A280" s="45"/>
      <c r="B280" s="45"/>
      <c r="C280" s="45"/>
      <c r="D280" s="45"/>
      <c r="E280" s="45"/>
      <c r="F280" s="45"/>
      <c r="G280" s="45"/>
      <c r="H280" s="45"/>
      <c r="I280" s="45"/>
      <c r="J280" s="45"/>
      <c r="K280" s="45"/>
      <c r="L280" s="45"/>
      <c r="M280" s="45"/>
    </row>
    <row r="281" ht="15.75" customHeight="1">
      <c r="A281" s="45"/>
      <c r="B281" s="45"/>
      <c r="C281" s="45"/>
      <c r="D281" s="45"/>
      <c r="E281" s="45"/>
      <c r="F281" s="45"/>
      <c r="G281" s="45"/>
      <c r="H281" s="45"/>
      <c r="I281" s="45"/>
      <c r="J281" s="45"/>
      <c r="K281" s="45"/>
      <c r="L281" s="45"/>
      <c r="M281" s="45"/>
    </row>
    <row r="282" ht="15.75" customHeight="1">
      <c r="A282" s="45"/>
      <c r="B282" s="45"/>
      <c r="C282" s="45"/>
      <c r="D282" s="45"/>
      <c r="E282" s="45"/>
      <c r="F282" s="45"/>
      <c r="G282" s="45"/>
      <c r="H282" s="45"/>
      <c r="I282" s="45"/>
      <c r="J282" s="45"/>
      <c r="K282" s="45"/>
      <c r="L282" s="45"/>
      <c r="M282" s="45"/>
    </row>
    <row r="283" ht="15.75" customHeight="1">
      <c r="A283" s="45"/>
      <c r="B283" s="45"/>
      <c r="C283" s="45"/>
      <c r="D283" s="45"/>
      <c r="E283" s="45"/>
      <c r="F283" s="45"/>
      <c r="G283" s="45"/>
      <c r="H283" s="45"/>
      <c r="I283" s="45"/>
      <c r="J283" s="45"/>
      <c r="K283" s="45"/>
      <c r="L283" s="45"/>
      <c r="M283" s="45"/>
    </row>
    <row r="284" ht="15.75" customHeight="1">
      <c r="A284" s="45"/>
      <c r="B284" s="45"/>
      <c r="C284" s="45"/>
      <c r="D284" s="45"/>
      <c r="E284" s="45"/>
      <c r="F284" s="45"/>
      <c r="G284" s="45"/>
      <c r="H284" s="45"/>
      <c r="I284" s="45"/>
      <c r="J284" s="45"/>
      <c r="K284" s="45"/>
      <c r="L284" s="45"/>
      <c r="M284" s="45"/>
    </row>
    <row r="285" ht="15.75" customHeight="1">
      <c r="A285" s="45"/>
      <c r="B285" s="45"/>
      <c r="C285" s="45"/>
      <c r="D285" s="45"/>
      <c r="E285" s="45"/>
      <c r="F285" s="45"/>
      <c r="G285" s="45"/>
      <c r="H285" s="45"/>
      <c r="I285" s="45"/>
      <c r="J285" s="45"/>
      <c r="K285" s="45"/>
      <c r="L285" s="45"/>
      <c r="M285" s="45"/>
    </row>
    <row r="286" ht="15.75" customHeight="1">
      <c r="A286" s="45"/>
      <c r="B286" s="45"/>
      <c r="C286" s="45"/>
      <c r="D286" s="45"/>
      <c r="E286" s="45"/>
      <c r="F286" s="45"/>
      <c r="G286" s="45"/>
      <c r="H286" s="45"/>
      <c r="I286" s="45"/>
      <c r="J286" s="45"/>
      <c r="K286" s="45"/>
      <c r="L286" s="45"/>
      <c r="M286" s="45"/>
    </row>
    <row r="287" ht="15.75" customHeight="1">
      <c r="A287" s="45"/>
      <c r="B287" s="45"/>
      <c r="C287" s="45"/>
      <c r="D287" s="45"/>
      <c r="E287" s="45"/>
      <c r="F287" s="45"/>
      <c r="G287" s="45"/>
      <c r="H287" s="45"/>
      <c r="I287" s="45"/>
      <c r="J287" s="45"/>
      <c r="K287" s="45"/>
      <c r="L287" s="45"/>
      <c r="M287" s="45"/>
    </row>
    <row r="288" ht="15.75" customHeight="1">
      <c r="A288" s="45"/>
      <c r="B288" s="45"/>
      <c r="C288" s="45"/>
      <c r="D288" s="45"/>
      <c r="E288" s="45"/>
      <c r="F288" s="45"/>
      <c r="G288" s="45"/>
      <c r="H288" s="45"/>
      <c r="I288" s="45"/>
      <c r="J288" s="45"/>
      <c r="K288" s="45"/>
      <c r="L288" s="45"/>
      <c r="M288" s="45"/>
    </row>
    <row r="289" ht="15.75" customHeight="1">
      <c r="A289" s="45"/>
      <c r="B289" s="45"/>
      <c r="C289" s="45"/>
      <c r="D289" s="45"/>
      <c r="E289" s="45"/>
      <c r="F289" s="45"/>
      <c r="G289" s="45"/>
      <c r="H289" s="45"/>
      <c r="I289" s="45"/>
      <c r="J289" s="45"/>
      <c r="K289" s="45"/>
      <c r="L289" s="45"/>
      <c r="M289" s="45"/>
    </row>
    <row r="290" ht="15.75" customHeight="1">
      <c r="A290" s="45"/>
      <c r="B290" s="45"/>
      <c r="C290" s="45"/>
      <c r="D290" s="45"/>
      <c r="E290" s="45"/>
      <c r="F290" s="45"/>
      <c r="G290" s="45"/>
      <c r="H290" s="45"/>
      <c r="I290" s="45"/>
      <c r="J290" s="45"/>
      <c r="K290" s="45"/>
      <c r="L290" s="45"/>
      <c r="M290" s="45"/>
    </row>
    <row r="291" ht="15.75" customHeight="1">
      <c r="A291" s="45"/>
      <c r="B291" s="45"/>
      <c r="C291" s="45"/>
      <c r="D291" s="45"/>
      <c r="E291" s="45"/>
      <c r="F291" s="45"/>
      <c r="G291" s="45"/>
      <c r="H291" s="45"/>
      <c r="I291" s="45"/>
      <c r="J291" s="45"/>
      <c r="K291" s="45"/>
      <c r="L291" s="45"/>
      <c r="M291" s="45"/>
    </row>
    <row r="292" ht="15.75" customHeight="1">
      <c r="A292" s="45"/>
      <c r="B292" s="45"/>
      <c r="C292" s="45"/>
      <c r="D292" s="45"/>
      <c r="E292" s="45"/>
      <c r="F292" s="45"/>
      <c r="G292" s="45"/>
      <c r="H292" s="45"/>
      <c r="I292" s="45"/>
      <c r="J292" s="45"/>
      <c r="K292" s="45"/>
      <c r="L292" s="45"/>
      <c r="M292" s="45"/>
    </row>
    <row r="293" ht="15.75" customHeight="1">
      <c r="A293" s="45"/>
      <c r="B293" s="45"/>
      <c r="C293" s="45"/>
      <c r="D293" s="45"/>
      <c r="E293" s="45"/>
      <c r="F293" s="45"/>
      <c r="G293" s="45"/>
      <c r="H293" s="45"/>
      <c r="I293" s="45"/>
      <c r="J293" s="45"/>
      <c r="K293" s="45"/>
      <c r="L293" s="45"/>
      <c r="M293" s="45"/>
    </row>
    <row r="294" ht="15.75" customHeight="1">
      <c r="A294" s="45"/>
      <c r="B294" s="45"/>
      <c r="C294" s="45"/>
      <c r="D294" s="45"/>
      <c r="E294" s="45"/>
      <c r="F294" s="45"/>
      <c r="G294" s="45"/>
      <c r="H294" s="45"/>
      <c r="I294" s="45"/>
      <c r="J294" s="45"/>
      <c r="K294" s="45"/>
      <c r="L294" s="45"/>
      <c r="M294" s="45"/>
    </row>
    <row r="295" ht="15.75" customHeight="1">
      <c r="A295" s="45"/>
      <c r="B295" s="45"/>
      <c r="C295" s="45"/>
      <c r="D295" s="45"/>
      <c r="E295" s="45"/>
      <c r="F295" s="45"/>
      <c r="G295" s="45"/>
      <c r="H295" s="45"/>
      <c r="I295" s="45"/>
      <c r="J295" s="45"/>
      <c r="K295" s="45"/>
      <c r="L295" s="45"/>
      <c r="M295" s="45"/>
    </row>
    <row r="296" ht="15.75" customHeight="1">
      <c r="A296" s="45"/>
      <c r="B296" s="45"/>
      <c r="C296" s="45"/>
      <c r="D296" s="45"/>
      <c r="E296" s="45"/>
      <c r="F296" s="45"/>
      <c r="G296" s="45"/>
      <c r="H296" s="45"/>
      <c r="I296" s="45"/>
      <c r="J296" s="45"/>
      <c r="K296" s="45"/>
      <c r="L296" s="45"/>
      <c r="M296" s="45"/>
    </row>
    <row r="297" ht="15.75" customHeight="1">
      <c r="A297" s="45"/>
      <c r="B297" s="45"/>
      <c r="C297" s="45"/>
      <c r="D297" s="45"/>
      <c r="E297" s="45"/>
      <c r="F297" s="45"/>
      <c r="G297" s="45"/>
      <c r="H297" s="45"/>
      <c r="I297" s="45"/>
      <c r="J297" s="45"/>
      <c r="K297" s="45"/>
      <c r="L297" s="45"/>
      <c r="M297" s="45"/>
    </row>
    <row r="298" ht="15.75" customHeight="1">
      <c r="A298" s="45"/>
      <c r="B298" s="45"/>
      <c r="C298" s="45"/>
      <c r="D298" s="45"/>
      <c r="E298" s="45"/>
      <c r="F298" s="45"/>
      <c r="G298" s="45"/>
      <c r="H298" s="45"/>
      <c r="I298" s="45"/>
      <c r="J298" s="45"/>
      <c r="K298" s="45"/>
      <c r="L298" s="45"/>
      <c r="M298" s="45"/>
    </row>
    <row r="299" ht="15.75" customHeight="1">
      <c r="A299" s="45"/>
      <c r="B299" s="45"/>
      <c r="C299" s="45"/>
      <c r="D299" s="45"/>
      <c r="E299" s="45"/>
      <c r="F299" s="45"/>
      <c r="G299" s="45"/>
      <c r="H299" s="45"/>
      <c r="I299" s="45"/>
      <c r="J299" s="45"/>
      <c r="K299" s="45"/>
      <c r="L299" s="45"/>
      <c r="M299" s="45"/>
    </row>
    <row r="300" ht="15.75" customHeight="1">
      <c r="A300" s="45"/>
      <c r="B300" s="45"/>
      <c r="C300" s="45"/>
      <c r="D300" s="45"/>
      <c r="E300" s="45"/>
      <c r="F300" s="45"/>
      <c r="G300" s="45"/>
      <c r="H300" s="45"/>
      <c r="I300" s="45"/>
      <c r="J300" s="45"/>
      <c r="K300" s="45"/>
      <c r="L300" s="45"/>
      <c r="M300" s="45"/>
    </row>
    <row r="301" ht="15.75" customHeight="1">
      <c r="A301" s="45"/>
      <c r="B301" s="45"/>
      <c r="C301" s="45"/>
      <c r="D301" s="45"/>
      <c r="E301" s="45"/>
      <c r="F301" s="45"/>
      <c r="G301" s="45"/>
      <c r="H301" s="45"/>
      <c r="I301" s="45"/>
      <c r="J301" s="45"/>
      <c r="K301" s="45"/>
      <c r="L301" s="45"/>
      <c r="M301" s="45"/>
    </row>
    <row r="302" ht="15.75" customHeight="1">
      <c r="A302" s="45"/>
      <c r="B302" s="45"/>
      <c r="C302" s="45"/>
      <c r="D302" s="45"/>
      <c r="E302" s="45"/>
      <c r="F302" s="45"/>
      <c r="G302" s="45"/>
      <c r="H302" s="45"/>
      <c r="I302" s="45"/>
      <c r="J302" s="45"/>
      <c r="K302" s="45"/>
      <c r="L302" s="45"/>
      <c r="M302" s="45"/>
    </row>
    <row r="303" ht="15.75" customHeight="1">
      <c r="A303" s="45"/>
      <c r="B303" s="45"/>
      <c r="C303" s="45"/>
      <c r="D303" s="45"/>
      <c r="E303" s="45"/>
      <c r="F303" s="45"/>
      <c r="G303" s="45"/>
      <c r="H303" s="45"/>
      <c r="I303" s="45"/>
      <c r="J303" s="45"/>
      <c r="K303" s="45"/>
      <c r="L303" s="45"/>
      <c r="M303" s="45"/>
    </row>
    <row r="304" ht="15.75" customHeight="1">
      <c r="A304" s="45"/>
      <c r="B304" s="45"/>
      <c r="C304" s="45"/>
      <c r="D304" s="45"/>
      <c r="E304" s="45"/>
      <c r="F304" s="45"/>
      <c r="G304" s="45"/>
      <c r="H304" s="45"/>
      <c r="I304" s="45"/>
      <c r="J304" s="45"/>
      <c r="K304" s="45"/>
      <c r="L304" s="45"/>
      <c r="M304" s="45"/>
    </row>
    <row r="305" ht="15.75" customHeight="1">
      <c r="A305" s="45"/>
      <c r="B305" s="45"/>
      <c r="C305" s="45"/>
      <c r="D305" s="45"/>
      <c r="E305" s="45"/>
      <c r="F305" s="45"/>
      <c r="G305" s="45"/>
      <c r="H305" s="45"/>
      <c r="I305" s="45"/>
      <c r="J305" s="45"/>
      <c r="K305" s="45"/>
      <c r="L305" s="45"/>
      <c r="M305" s="45"/>
    </row>
    <row r="306" ht="15.75" customHeight="1">
      <c r="A306" s="45"/>
      <c r="B306" s="45"/>
      <c r="C306" s="45"/>
      <c r="D306" s="45"/>
      <c r="E306" s="45"/>
      <c r="F306" s="45"/>
      <c r="G306" s="45"/>
      <c r="H306" s="45"/>
      <c r="I306" s="45"/>
      <c r="J306" s="45"/>
      <c r="K306" s="45"/>
      <c r="L306" s="45"/>
      <c r="M306" s="45"/>
    </row>
    <row r="307" ht="15.75" customHeight="1">
      <c r="A307" s="45"/>
      <c r="B307" s="45"/>
      <c r="C307" s="45"/>
      <c r="D307" s="45"/>
      <c r="E307" s="45"/>
      <c r="F307" s="45"/>
      <c r="G307" s="45"/>
      <c r="H307" s="45"/>
      <c r="I307" s="45"/>
      <c r="J307" s="45"/>
      <c r="K307" s="45"/>
      <c r="L307" s="45"/>
      <c r="M307" s="45"/>
    </row>
    <row r="308" ht="15.75" customHeight="1">
      <c r="A308" s="45"/>
      <c r="B308" s="45"/>
      <c r="C308" s="45"/>
      <c r="D308" s="45"/>
      <c r="E308" s="45"/>
      <c r="F308" s="45"/>
      <c r="G308" s="45"/>
      <c r="H308" s="45"/>
      <c r="I308" s="45"/>
      <c r="J308" s="45"/>
      <c r="K308" s="45"/>
      <c r="L308" s="45"/>
      <c r="M308" s="45"/>
    </row>
    <row r="309" ht="15.75" customHeight="1">
      <c r="A309" s="45"/>
      <c r="B309" s="45"/>
      <c r="C309" s="45"/>
      <c r="D309" s="45"/>
      <c r="E309" s="45"/>
      <c r="F309" s="45"/>
      <c r="G309" s="45"/>
      <c r="H309" s="45"/>
      <c r="I309" s="45"/>
      <c r="J309" s="45"/>
      <c r="K309" s="45"/>
      <c r="L309" s="45"/>
      <c r="M309" s="45"/>
    </row>
    <row r="310" ht="15.75" customHeight="1">
      <c r="A310" s="45"/>
      <c r="B310" s="45"/>
      <c r="C310" s="45"/>
      <c r="D310" s="45"/>
      <c r="E310" s="45"/>
      <c r="F310" s="45"/>
      <c r="G310" s="45"/>
      <c r="H310" s="45"/>
      <c r="I310" s="45"/>
      <c r="J310" s="45"/>
      <c r="K310" s="45"/>
      <c r="L310" s="45"/>
      <c r="M310" s="45"/>
    </row>
    <row r="311" ht="15.75" customHeight="1">
      <c r="A311" s="45"/>
      <c r="B311" s="45"/>
      <c r="C311" s="45"/>
      <c r="D311" s="45"/>
      <c r="E311" s="45"/>
      <c r="F311" s="45"/>
      <c r="G311" s="45"/>
      <c r="H311" s="45"/>
      <c r="I311" s="45"/>
      <c r="J311" s="45"/>
      <c r="K311" s="45"/>
      <c r="L311" s="45"/>
      <c r="M311" s="45"/>
    </row>
    <row r="312" ht="15.75" customHeight="1">
      <c r="A312" s="45"/>
      <c r="B312" s="45"/>
      <c r="C312" s="45"/>
      <c r="D312" s="45"/>
      <c r="E312" s="45"/>
      <c r="F312" s="45"/>
      <c r="G312" s="45"/>
      <c r="H312" s="45"/>
      <c r="I312" s="45"/>
      <c r="J312" s="45"/>
      <c r="K312" s="45"/>
      <c r="L312" s="45"/>
      <c r="M312" s="45"/>
    </row>
    <row r="313" ht="15.75" customHeight="1">
      <c r="A313" s="45"/>
      <c r="B313" s="45"/>
      <c r="C313" s="45"/>
      <c r="D313" s="45"/>
      <c r="E313" s="45"/>
      <c r="F313" s="45"/>
      <c r="G313" s="45"/>
      <c r="H313" s="45"/>
      <c r="I313" s="45"/>
      <c r="J313" s="45"/>
      <c r="K313" s="45"/>
      <c r="L313" s="45"/>
      <c r="M313" s="45"/>
    </row>
    <row r="314" ht="15.75" customHeight="1">
      <c r="A314" s="45"/>
      <c r="B314" s="45"/>
      <c r="C314" s="45"/>
      <c r="D314" s="45"/>
      <c r="E314" s="45"/>
      <c r="F314" s="45"/>
      <c r="G314" s="45"/>
      <c r="H314" s="45"/>
      <c r="I314" s="45"/>
      <c r="J314" s="45"/>
      <c r="K314" s="45"/>
      <c r="L314" s="45"/>
      <c r="M314" s="45"/>
    </row>
    <row r="315" ht="15.75" customHeight="1">
      <c r="A315" s="45"/>
      <c r="B315" s="45"/>
      <c r="C315" s="45"/>
      <c r="D315" s="45"/>
      <c r="E315" s="45"/>
      <c r="F315" s="45"/>
      <c r="G315" s="45"/>
      <c r="H315" s="45"/>
      <c r="I315" s="45"/>
      <c r="J315" s="45"/>
      <c r="K315" s="45"/>
      <c r="L315" s="45"/>
      <c r="M315" s="45"/>
    </row>
    <row r="316" ht="15.75" customHeight="1">
      <c r="A316" s="45"/>
      <c r="B316" s="45"/>
      <c r="C316" s="45"/>
      <c r="D316" s="45"/>
      <c r="E316" s="45"/>
      <c r="F316" s="45"/>
      <c r="G316" s="45"/>
      <c r="H316" s="45"/>
      <c r="I316" s="45"/>
      <c r="J316" s="45"/>
      <c r="K316" s="45"/>
      <c r="L316" s="45"/>
      <c r="M316" s="45"/>
    </row>
    <row r="317" ht="15.75" customHeight="1">
      <c r="A317" s="45"/>
      <c r="B317" s="45"/>
      <c r="C317" s="45"/>
      <c r="D317" s="45"/>
      <c r="E317" s="45"/>
      <c r="F317" s="45"/>
      <c r="G317" s="45"/>
      <c r="H317" s="45"/>
      <c r="I317" s="45"/>
      <c r="J317" s="45"/>
      <c r="K317" s="45"/>
      <c r="L317" s="45"/>
      <c r="M317" s="45"/>
    </row>
    <row r="318" ht="15.75" customHeight="1">
      <c r="A318" s="45"/>
      <c r="B318" s="45"/>
      <c r="C318" s="45"/>
      <c r="D318" s="45"/>
      <c r="E318" s="45"/>
      <c r="F318" s="45"/>
      <c r="G318" s="45"/>
      <c r="H318" s="45"/>
      <c r="I318" s="45"/>
      <c r="J318" s="45"/>
      <c r="K318" s="45"/>
      <c r="L318" s="45"/>
      <c r="M318" s="45"/>
    </row>
    <row r="319" ht="15.75" customHeight="1">
      <c r="A319" s="45"/>
      <c r="B319" s="45"/>
      <c r="C319" s="45"/>
      <c r="D319" s="45"/>
      <c r="E319" s="45"/>
      <c r="F319" s="45"/>
      <c r="G319" s="45"/>
      <c r="H319" s="45"/>
      <c r="I319" s="45"/>
      <c r="J319" s="45"/>
      <c r="K319" s="45"/>
      <c r="L319" s="45"/>
      <c r="M319" s="45"/>
    </row>
    <row r="320" ht="15.75" customHeight="1">
      <c r="A320" s="45"/>
      <c r="B320" s="45"/>
      <c r="C320" s="45"/>
      <c r="D320" s="45"/>
      <c r="E320" s="45"/>
      <c r="F320" s="45"/>
      <c r="G320" s="45"/>
      <c r="H320" s="45"/>
      <c r="I320" s="45"/>
      <c r="J320" s="45"/>
      <c r="K320" s="45"/>
      <c r="L320" s="45"/>
      <c r="M320" s="45"/>
    </row>
    <row r="321" ht="15.75" customHeight="1">
      <c r="A321" s="45"/>
      <c r="B321" s="45"/>
      <c r="C321" s="45"/>
      <c r="D321" s="45"/>
      <c r="E321" s="45"/>
      <c r="F321" s="45"/>
      <c r="G321" s="45"/>
      <c r="H321" s="45"/>
      <c r="I321" s="45"/>
      <c r="J321" s="45"/>
      <c r="K321" s="45"/>
      <c r="L321" s="45"/>
      <c r="M321" s="45"/>
    </row>
    <row r="322" ht="15.75" customHeight="1">
      <c r="A322" s="45"/>
      <c r="B322" s="45"/>
      <c r="C322" s="45"/>
      <c r="D322" s="45"/>
      <c r="E322" s="45"/>
      <c r="F322" s="45"/>
      <c r="G322" s="45"/>
      <c r="H322" s="45"/>
      <c r="I322" s="45"/>
      <c r="J322" s="45"/>
      <c r="K322" s="45"/>
      <c r="L322" s="45"/>
      <c r="M322" s="45"/>
    </row>
    <row r="323" ht="15.75" customHeight="1">
      <c r="A323" s="45"/>
      <c r="B323" s="45"/>
      <c r="C323" s="45"/>
      <c r="D323" s="45"/>
      <c r="E323" s="45"/>
      <c r="F323" s="45"/>
      <c r="G323" s="45"/>
      <c r="H323" s="45"/>
      <c r="I323" s="45"/>
      <c r="J323" s="45"/>
      <c r="K323" s="45"/>
      <c r="L323" s="45"/>
      <c r="M323" s="45"/>
    </row>
    <row r="324" ht="15.75" customHeight="1">
      <c r="A324" s="45"/>
      <c r="B324" s="45"/>
      <c r="C324" s="45"/>
      <c r="D324" s="45"/>
      <c r="E324" s="45"/>
      <c r="F324" s="45"/>
      <c r="G324" s="45"/>
      <c r="H324" s="45"/>
      <c r="I324" s="45"/>
      <c r="J324" s="45"/>
      <c r="K324" s="45"/>
      <c r="L324" s="45"/>
      <c r="M324" s="45"/>
    </row>
    <row r="325" ht="15.75" customHeight="1">
      <c r="A325" s="45"/>
      <c r="B325" s="45"/>
      <c r="C325" s="45"/>
      <c r="D325" s="45"/>
      <c r="E325" s="45"/>
      <c r="F325" s="45"/>
      <c r="G325" s="45"/>
      <c r="H325" s="45"/>
      <c r="I325" s="45"/>
      <c r="J325" s="45"/>
      <c r="K325" s="45"/>
      <c r="L325" s="45"/>
      <c r="M325" s="45"/>
    </row>
    <row r="326" ht="15.75" customHeight="1">
      <c r="A326" s="45"/>
      <c r="B326" s="45"/>
      <c r="C326" s="45"/>
      <c r="D326" s="45"/>
      <c r="E326" s="45"/>
      <c r="F326" s="45"/>
      <c r="G326" s="45"/>
      <c r="H326" s="45"/>
      <c r="I326" s="45"/>
      <c r="J326" s="45"/>
      <c r="K326" s="45"/>
      <c r="L326" s="45"/>
      <c r="M326" s="45"/>
    </row>
    <row r="327" ht="15.75" customHeight="1">
      <c r="A327" s="45"/>
      <c r="B327" s="45"/>
      <c r="C327" s="45"/>
      <c r="D327" s="45"/>
      <c r="E327" s="45"/>
      <c r="F327" s="45"/>
      <c r="G327" s="45"/>
      <c r="H327" s="45"/>
      <c r="I327" s="45"/>
      <c r="J327" s="45"/>
      <c r="K327" s="45"/>
      <c r="L327" s="45"/>
      <c r="M327" s="45"/>
    </row>
    <row r="328" ht="15.75" customHeight="1">
      <c r="A328" s="45"/>
      <c r="B328" s="45"/>
      <c r="C328" s="45"/>
      <c r="D328" s="45"/>
      <c r="E328" s="45"/>
      <c r="F328" s="45"/>
      <c r="G328" s="45"/>
      <c r="H328" s="45"/>
      <c r="I328" s="45"/>
      <c r="J328" s="45"/>
      <c r="K328" s="45"/>
      <c r="L328" s="45"/>
      <c r="M328" s="45"/>
    </row>
    <row r="329" ht="15.75" customHeight="1">
      <c r="A329" s="45"/>
      <c r="B329" s="45"/>
      <c r="C329" s="45"/>
      <c r="D329" s="45"/>
      <c r="E329" s="45"/>
      <c r="F329" s="45"/>
      <c r="G329" s="45"/>
      <c r="H329" s="45"/>
      <c r="I329" s="45"/>
      <c r="J329" s="45"/>
      <c r="K329" s="45"/>
      <c r="L329" s="45"/>
      <c r="M329" s="45"/>
    </row>
    <row r="330" ht="15.75" customHeight="1">
      <c r="A330" s="45"/>
      <c r="B330" s="45"/>
      <c r="C330" s="45"/>
      <c r="D330" s="45"/>
      <c r="E330" s="45"/>
      <c r="F330" s="45"/>
      <c r="G330" s="45"/>
      <c r="H330" s="45"/>
      <c r="I330" s="45"/>
      <c r="J330" s="45"/>
      <c r="K330" s="45"/>
      <c r="L330" s="45"/>
      <c r="M330" s="45"/>
    </row>
    <row r="331" ht="15.75" customHeight="1">
      <c r="A331" s="45"/>
      <c r="B331" s="45"/>
      <c r="C331" s="45"/>
      <c r="D331" s="45"/>
      <c r="E331" s="45"/>
      <c r="F331" s="45"/>
      <c r="G331" s="45"/>
      <c r="H331" s="45"/>
      <c r="I331" s="45"/>
      <c r="J331" s="45"/>
      <c r="K331" s="45"/>
      <c r="L331" s="45"/>
      <c r="M331" s="45"/>
    </row>
    <row r="332" ht="15.75" customHeight="1">
      <c r="A332" s="45"/>
      <c r="B332" s="45"/>
      <c r="C332" s="45"/>
      <c r="D332" s="45"/>
      <c r="E332" s="45"/>
      <c r="F332" s="45"/>
      <c r="G332" s="45"/>
      <c r="H332" s="45"/>
      <c r="I332" s="45"/>
      <c r="J332" s="45"/>
      <c r="K332" s="45"/>
      <c r="L332" s="45"/>
      <c r="M332" s="45"/>
    </row>
    <row r="333" ht="15.75" customHeight="1">
      <c r="A333" s="45"/>
      <c r="B333" s="45"/>
      <c r="C333" s="45"/>
      <c r="D333" s="45"/>
      <c r="E333" s="45"/>
      <c r="F333" s="45"/>
      <c r="G333" s="45"/>
      <c r="H333" s="45"/>
      <c r="I333" s="45"/>
      <c r="J333" s="45"/>
      <c r="K333" s="45"/>
      <c r="L333" s="45"/>
      <c r="M333" s="45"/>
    </row>
    <row r="334" ht="15.75" customHeight="1">
      <c r="A334" s="45"/>
      <c r="B334" s="45"/>
      <c r="C334" s="45"/>
      <c r="D334" s="45"/>
      <c r="E334" s="45"/>
      <c r="F334" s="45"/>
      <c r="G334" s="45"/>
      <c r="H334" s="45"/>
      <c r="I334" s="45"/>
      <c r="J334" s="45"/>
      <c r="K334" s="45"/>
      <c r="L334" s="45"/>
      <c r="M334" s="45"/>
    </row>
    <row r="335" ht="15.75" customHeight="1">
      <c r="A335" s="45"/>
      <c r="B335" s="45"/>
      <c r="C335" s="45"/>
      <c r="D335" s="45"/>
      <c r="E335" s="45"/>
      <c r="F335" s="45"/>
      <c r="G335" s="45"/>
      <c r="H335" s="45"/>
      <c r="I335" s="45"/>
      <c r="J335" s="45"/>
      <c r="K335" s="45"/>
      <c r="L335" s="45"/>
      <c r="M335" s="45"/>
    </row>
    <row r="336" ht="15.75" customHeight="1">
      <c r="A336" s="45"/>
      <c r="B336" s="45"/>
      <c r="C336" s="45"/>
      <c r="D336" s="45"/>
      <c r="E336" s="45"/>
      <c r="F336" s="45"/>
      <c r="G336" s="45"/>
      <c r="H336" s="45"/>
      <c r="I336" s="45"/>
      <c r="J336" s="45"/>
      <c r="K336" s="45"/>
      <c r="L336" s="45"/>
      <c r="M336" s="45"/>
    </row>
    <row r="337" ht="15.75" customHeight="1">
      <c r="A337" s="45"/>
      <c r="B337" s="45"/>
      <c r="C337" s="45"/>
      <c r="D337" s="45"/>
      <c r="E337" s="45"/>
      <c r="F337" s="45"/>
      <c r="G337" s="45"/>
      <c r="H337" s="45"/>
      <c r="I337" s="45"/>
      <c r="J337" s="45"/>
      <c r="K337" s="45"/>
      <c r="L337" s="45"/>
      <c r="M337" s="45"/>
    </row>
    <row r="338" ht="15.75" customHeight="1">
      <c r="A338" s="45"/>
      <c r="B338" s="45"/>
      <c r="C338" s="45"/>
      <c r="D338" s="45"/>
      <c r="E338" s="45"/>
      <c r="F338" s="45"/>
      <c r="G338" s="45"/>
      <c r="H338" s="45"/>
      <c r="I338" s="45"/>
      <c r="J338" s="45"/>
      <c r="K338" s="45"/>
      <c r="L338" s="45"/>
      <c r="M338" s="45"/>
    </row>
    <row r="339" ht="15.75" customHeight="1">
      <c r="A339" s="45"/>
      <c r="B339" s="45"/>
      <c r="C339" s="45"/>
      <c r="D339" s="45"/>
      <c r="E339" s="45"/>
      <c r="F339" s="45"/>
      <c r="G339" s="45"/>
      <c r="H339" s="45"/>
      <c r="I339" s="45"/>
      <c r="J339" s="45"/>
      <c r="K339" s="45"/>
      <c r="L339" s="45"/>
      <c r="M339" s="45"/>
    </row>
    <row r="340" ht="15.75" customHeight="1">
      <c r="A340" s="45"/>
      <c r="B340" s="45"/>
      <c r="C340" s="45"/>
      <c r="D340" s="45"/>
      <c r="E340" s="45"/>
      <c r="F340" s="45"/>
      <c r="G340" s="45"/>
      <c r="H340" s="45"/>
      <c r="I340" s="45"/>
      <c r="J340" s="45"/>
      <c r="K340" s="45"/>
      <c r="L340" s="45"/>
      <c r="M340" s="45"/>
    </row>
    <row r="341" ht="15.75" customHeight="1">
      <c r="A341" s="45"/>
      <c r="B341" s="45"/>
      <c r="C341" s="45"/>
      <c r="D341" s="45"/>
      <c r="E341" s="45"/>
      <c r="F341" s="45"/>
      <c r="G341" s="45"/>
      <c r="H341" s="45"/>
      <c r="I341" s="45"/>
      <c r="J341" s="45"/>
      <c r="K341" s="45"/>
      <c r="L341" s="45"/>
      <c r="M341" s="45"/>
    </row>
    <row r="342" ht="15.75" customHeight="1">
      <c r="A342" s="45"/>
      <c r="B342" s="45"/>
      <c r="C342" s="45"/>
      <c r="D342" s="45"/>
      <c r="E342" s="45"/>
      <c r="F342" s="45"/>
      <c r="G342" s="45"/>
      <c r="H342" s="45"/>
      <c r="I342" s="45"/>
      <c r="J342" s="45"/>
      <c r="K342" s="45"/>
      <c r="L342" s="45"/>
      <c r="M342" s="45"/>
    </row>
    <row r="343" ht="15.75" customHeight="1">
      <c r="A343" s="45"/>
      <c r="B343" s="45"/>
      <c r="C343" s="45"/>
      <c r="D343" s="45"/>
      <c r="E343" s="45"/>
      <c r="F343" s="45"/>
      <c r="G343" s="45"/>
      <c r="H343" s="45"/>
      <c r="I343" s="45"/>
      <c r="J343" s="45"/>
      <c r="K343" s="45"/>
      <c r="L343" s="45"/>
      <c r="M343" s="45"/>
    </row>
    <row r="344" ht="15.75" customHeight="1">
      <c r="A344" s="45"/>
      <c r="B344" s="45"/>
      <c r="C344" s="45"/>
      <c r="D344" s="45"/>
      <c r="E344" s="45"/>
      <c r="F344" s="45"/>
      <c r="G344" s="45"/>
      <c r="H344" s="45"/>
      <c r="I344" s="45"/>
      <c r="J344" s="45"/>
      <c r="K344" s="45"/>
      <c r="L344" s="45"/>
      <c r="M344" s="45"/>
    </row>
    <row r="345" ht="15.75" customHeight="1">
      <c r="A345" s="45"/>
      <c r="B345" s="45"/>
      <c r="C345" s="45"/>
      <c r="D345" s="45"/>
      <c r="E345" s="45"/>
      <c r="F345" s="45"/>
      <c r="G345" s="45"/>
      <c r="H345" s="45"/>
      <c r="I345" s="45"/>
      <c r="J345" s="45"/>
      <c r="K345" s="45"/>
      <c r="L345" s="45"/>
      <c r="M345" s="45"/>
    </row>
    <row r="346" ht="15.75" customHeight="1">
      <c r="A346" s="45"/>
      <c r="B346" s="45"/>
      <c r="C346" s="45"/>
      <c r="D346" s="45"/>
      <c r="E346" s="45"/>
      <c r="F346" s="45"/>
      <c r="G346" s="45"/>
      <c r="H346" s="45"/>
      <c r="I346" s="45"/>
      <c r="J346" s="45"/>
      <c r="K346" s="45"/>
      <c r="L346" s="45"/>
      <c r="M346" s="45"/>
    </row>
    <row r="347" ht="15.75" customHeight="1">
      <c r="A347" s="45"/>
      <c r="B347" s="45"/>
      <c r="C347" s="45"/>
      <c r="D347" s="45"/>
      <c r="E347" s="45"/>
      <c r="F347" s="45"/>
      <c r="G347" s="45"/>
      <c r="H347" s="45"/>
      <c r="I347" s="45"/>
      <c r="J347" s="45"/>
      <c r="K347" s="45"/>
      <c r="L347" s="45"/>
      <c r="M347" s="45"/>
    </row>
    <row r="348" ht="15.75" customHeight="1">
      <c r="A348" s="45"/>
      <c r="B348" s="45"/>
      <c r="C348" s="45"/>
      <c r="D348" s="45"/>
      <c r="E348" s="45"/>
      <c r="F348" s="45"/>
      <c r="G348" s="45"/>
      <c r="H348" s="45"/>
      <c r="I348" s="45"/>
      <c r="J348" s="45"/>
      <c r="K348" s="45"/>
      <c r="L348" s="45"/>
      <c r="M348" s="45"/>
    </row>
    <row r="349" ht="15.75" customHeight="1">
      <c r="A349" s="45"/>
      <c r="B349" s="45"/>
      <c r="C349" s="45"/>
      <c r="D349" s="45"/>
      <c r="E349" s="45"/>
      <c r="F349" s="45"/>
      <c r="G349" s="45"/>
      <c r="H349" s="45"/>
      <c r="I349" s="45"/>
      <c r="J349" s="45"/>
      <c r="K349" s="45"/>
      <c r="L349" s="45"/>
      <c r="M349" s="45"/>
    </row>
    <row r="350" ht="15.75" customHeight="1">
      <c r="A350" s="45"/>
      <c r="B350" s="45"/>
      <c r="C350" s="45"/>
      <c r="D350" s="45"/>
      <c r="E350" s="45"/>
      <c r="F350" s="45"/>
      <c r="G350" s="45"/>
      <c r="H350" s="45"/>
      <c r="I350" s="45"/>
      <c r="J350" s="45"/>
      <c r="K350" s="45"/>
      <c r="L350" s="45"/>
      <c r="M350" s="45"/>
    </row>
    <row r="351" ht="15.75" customHeight="1">
      <c r="A351" s="45"/>
      <c r="B351" s="45"/>
      <c r="C351" s="45"/>
      <c r="D351" s="45"/>
      <c r="E351" s="45"/>
      <c r="F351" s="45"/>
      <c r="G351" s="45"/>
      <c r="H351" s="45"/>
      <c r="I351" s="45"/>
      <c r="J351" s="45"/>
      <c r="K351" s="45"/>
      <c r="L351" s="45"/>
      <c r="M351" s="45"/>
    </row>
    <row r="352" ht="15.75" customHeight="1">
      <c r="A352" s="45"/>
      <c r="B352" s="45"/>
      <c r="C352" s="45"/>
      <c r="D352" s="45"/>
      <c r="E352" s="45"/>
      <c r="F352" s="45"/>
      <c r="G352" s="45"/>
      <c r="H352" s="45"/>
      <c r="I352" s="45"/>
      <c r="J352" s="45"/>
      <c r="K352" s="45"/>
      <c r="L352" s="45"/>
      <c r="M352" s="45"/>
    </row>
    <row r="353" ht="15.75" customHeight="1">
      <c r="A353" s="45"/>
      <c r="B353" s="45"/>
      <c r="C353" s="45"/>
      <c r="D353" s="45"/>
      <c r="E353" s="45"/>
      <c r="F353" s="45"/>
      <c r="G353" s="45"/>
      <c r="H353" s="45"/>
      <c r="I353" s="45"/>
      <c r="J353" s="45"/>
      <c r="K353" s="45"/>
      <c r="L353" s="45"/>
      <c r="M353" s="45"/>
    </row>
    <row r="354" ht="15.75" customHeight="1">
      <c r="A354" s="45"/>
      <c r="B354" s="45"/>
      <c r="C354" s="45"/>
      <c r="D354" s="45"/>
      <c r="E354" s="45"/>
      <c r="F354" s="45"/>
      <c r="G354" s="45"/>
      <c r="H354" s="45"/>
      <c r="I354" s="45"/>
      <c r="J354" s="45"/>
      <c r="K354" s="45"/>
      <c r="L354" s="45"/>
      <c r="M354" s="45"/>
    </row>
    <row r="355" ht="15.75" customHeight="1">
      <c r="A355" s="45"/>
      <c r="B355" s="45"/>
      <c r="C355" s="45"/>
      <c r="D355" s="45"/>
      <c r="E355" s="45"/>
      <c r="F355" s="45"/>
      <c r="G355" s="45"/>
      <c r="H355" s="45"/>
      <c r="I355" s="45"/>
      <c r="J355" s="45"/>
      <c r="K355" s="45"/>
      <c r="L355" s="45"/>
      <c r="M355" s="45"/>
    </row>
    <row r="356" ht="15.75" customHeight="1">
      <c r="A356" s="45"/>
      <c r="B356" s="45"/>
      <c r="C356" s="45"/>
      <c r="D356" s="45"/>
      <c r="E356" s="45"/>
      <c r="F356" s="45"/>
      <c r="G356" s="45"/>
      <c r="H356" s="45"/>
      <c r="I356" s="45"/>
      <c r="J356" s="45"/>
      <c r="K356" s="45"/>
      <c r="L356" s="45"/>
      <c r="M356" s="45"/>
    </row>
    <row r="357" ht="15.75" customHeight="1">
      <c r="A357" s="45"/>
      <c r="B357" s="45"/>
      <c r="C357" s="45"/>
      <c r="D357" s="45"/>
      <c r="E357" s="45"/>
      <c r="F357" s="45"/>
      <c r="G357" s="45"/>
      <c r="H357" s="45"/>
      <c r="I357" s="45"/>
      <c r="J357" s="45"/>
      <c r="K357" s="45"/>
      <c r="L357" s="45"/>
      <c r="M357" s="45"/>
    </row>
    <row r="358" ht="15.75" customHeight="1">
      <c r="A358" s="45"/>
      <c r="B358" s="45"/>
      <c r="C358" s="45"/>
      <c r="D358" s="45"/>
      <c r="E358" s="45"/>
      <c r="F358" s="45"/>
      <c r="G358" s="45"/>
      <c r="H358" s="45"/>
      <c r="I358" s="45"/>
      <c r="J358" s="45"/>
      <c r="K358" s="45"/>
      <c r="L358" s="45"/>
      <c r="M358" s="45"/>
    </row>
    <row r="359" ht="15.75" customHeight="1">
      <c r="A359" s="45"/>
      <c r="B359" s="45"/>
      <c r="C359" s="45"/>
      <c r="D359" s="45"/>
      <c r="E359" s="45"/>
      <c r="F359" s="45"/>
      <c r="G359" s="45"/>
      <c r="H359" s="45"/>
      <c r="I359" s="45"/>
      <c r="J359" s="45"/>
      <c r="K359" s="45"/>
      <c r="L359" s="45"/>
      <c r="M359" s="45"/>
    </row>
    <row r="360" ht="15.75" customHeight="1">
      <c r="A360" s="45"/>
      <c r="B360" s="45"/>
      <c r="C360" s="45"/>
      <c r="D360" s="45"/>
      <c r="E360" s="45"/>
      <c r="F360" s="45"/>
      <c r="G360" s="45"/>
      <c r="H360" s="45"/>
      <c r="I360" s="45"/>
      <c r="J360" s="45"/>
      <c r="K360" s="45"/>
      <c r="L360" s="45"/>
      <c r="M360" s="45"/>
    </row>
    <row r="361" ht="15.75" customHeight="1">
      <c r="A361" s="45"/>
      <c r="B361" s="45"/>
      <c r="C361" s="45"/>
      <c r="D361" s="45"/>
      <c r="E361" s="45"/>
      <c r="F361" s="45"/>
      <c r="G361" s="45"/>
      <c r="H361" s="45"/>
      <c r="I361" s="45"/>
      <c r="J361" s="45"/>
      <c r="K361" s="45"/>
      <c r="L361" s="45"/>
      <c r="M361" s="45"/>
    </row>
    <row r="362" ht="15.75" customHeight="1">
      <c r="A362" s="45"/>
      <c r="B362" s="45"/>
      <c r="C362" s="45"/>
      <c r="D362" s="45"/>
      <c r="E362" s="45"/>
      <c r="F362" s="45"/>
      <c r="G362" s="45"/>
      <c r="H362" s="45"/>
      <c r="I362" s="45"/>
      <c r="J362" s="45"/>
      <c r="K362" s="45"/>
      <c r="L362" s="45"/>
      <c r="M362" s="45"/>
    </row>
    <row r="363" ht="15.75" customHeight="1">
      <c r="A363" s="45"/>
      <c r="B363" s="45"/>
      <c r="C363" s="45"/>
      <c r="D363" s="45"/>
      <c r="E363" s="45"/>
      <c r="F363" s="45"/>
      <c r="G363" s="45"/>
      <c r="H363" s="45"/>
      <c r="I363" s="45"/>
      <c r="J363" s="45"/>
      <c r="K363" s="45"/>
      <c r="L363" s="45"/>
      <c r="M363" s="45"/>
    </row>
    <row r="364" ht="15.75" customHeight="1">
      <c r="A364" s="45"/>
      <c r="B364" s="45"/>
      <c r="C364" s="45"/>
      <c r="D364" s="45"/>
      <c r="E364" s="45"/>
      <c r="F364" s="45"/>
      <c r="G364" s="45"/>
      <c r="H364" s="45"/>
      <c r="I364" s="45"/>
      <c r="J364" s="45"/>
      <c r="K364" s="45"/>
      <c r="L364" s="45"/>
      <c r="M364" s="45"/>
    </row>
    <row r="365" ht="15.75" customHeight="1">
      <c r="A365" s="45"/>
      <c r="B365" s="45"/>
      <c r="C365" s="45"/>
      <c r="D365" s="45"/>
      <c r="E365" s="45"/>
      <c r="F365" s="45"/>
      <c r="G365" s="45"/>
      <c r="H365" s="45"/>
      <c r="I365" s="45"/>
      <c r="J365" s="45"/>
      <c r="K365" s="45"/>
      <c r="L365" s="45"/>
      <c r="M365" s="45"/>
    </row>
    <row r="366" ht="15.75" customHeight="1">
      <c r="A366" s="45"/>
      <c r="B366" s="45"/>
      <c r="C366" s="45"/>
      <c r="D366" s="45"/>
      <c r="E366" s="45"/>
      <c r="F366" s="45"/>
      <c r="G366" s="45"/>
      <c r="H366" s="45"/>
      <c r="I366" s="45"/>
      <c r="J366" s="45"/>
      <c r="K366" s="45"/>
      <c r="L366" s="45"/>
      <c r="M366" s="45"/>
    </row>
    <row r="367" ht="15.75" customHeight="1">
      <c r="A367" s="45"/>
      <c r="B367" s="45"/>
      <c r="C367" s="45"/>
      <c r="D367" s="45"/>
      <c r="E367" s="45"/>
      <c r="F367" s="45"/>
      <c r="G367" s="45"/>
      <c r="H367" s="45"/>
      <c r="I367" s="45"/>
      <c r="J367" s="45"/>
      <c r="K367" s="45"/>
      <c r="L367" s="45"/>
      <c r="M367" s="45"/>
    </row>
    <row r="368" ht="15.75" customHeight="1">
      <c r="A368" s="45"/>
      <c r="B368" s="45"/>
      <c r="C368" s="45"/>
      <c r="D368" s="45"/>
      <c r="E368" s="45"/>
      <c r="F368" s="45"/>
      <c r="G368" s="45"/>
      <c r="H368" s="45"/>
      <c r="I368" s="45"/>
      <c r="J368" s="45"/>
      <c r="K368" s="45"/>
      <c r="L368" s="45"/>
      <c r="M368" s="45"/>
    </row>
    <row r="369" ht="15.75" customHeight="1">
      <c r="A369" s="45"/>
      <c r="B369" s="45"/>
      <c r="C369" s="45"/>
      <c r="D369" s="45"/>
      <c r="E369" s="45"/>
      <c r="F369" s="45"/>
      <c r="G369" s="45"/>
      <c r="H369" s="45"/>
      <c r="I369" s="45"/>
      <c r="J369" s="45"/>
      <c r="K369" s="45"/>
      <c r="L369" s="45"/>
      <c r="M369" s="45"/>
    </row>
    <row r="370" ht="15.75" customHeight="1">
      <c r="A370" s="45"/>
      <c r="B370" s="45"/>
      <c r="C370" s="45"/>
      <c r="D370" s="45"/>
      <c r="E370" s="45"/>
      <c r="F370" s="45"/>
      <c r="G370" s="45"/>
      <c r="H370" s="45"/>
      <c r="I370" s="45"/>
      <c r="J370" s="45"/>
      <c r="K370" s="45"/>
      <c r="L370" s="45"/>
      <c r="M370" s="45"/>
    </row>
    <row r="371" ht="15.75" customHeight="1">
      <c r="A371" s="45"/>
      <c r="B371" s="45"/>
      <c r="C371" s="45"/>
      <c r="D371" s="45"/>
      <c r="E371" s="45"/>
      <c r="F371" s="45"/>
      <c r="G371" s="45"/>
      <c r="H371" s="45"/>
      <c r="I371" s="45"/>
      <c r="J371" s="45"/>
      <c r="K371" s="45"/>
      <c r="L371" s="45"/>
      <c r="M371" s="45"/>
    </row>
    <row r="372" ht="15.75" customHeight="1">
      <c r="A372" s="45"/>
      <c r="B372" s="45"/>
      <c r="C372" s="45"/>
      <c r="D372" s="45"/>
      <c r="E372" s="45"/>
      <c r="F372" s="45"/>
      <c r="G372" s="45"/>
      <c r="H372" s="45"/>
      <c r="I372" s="45"/>
      <c r="J372" s="45"/>
      <c r="K372" s="45"/>
      <c r="L372" s="45"/>
      <c r="M372" s="45"/>
    </row>
    <row r="373" ht="15.75" customHeight="1">
      <c r="A373" s="45"/>
      <c r="B373" s="45"/>
      <c r="C373" s="45"/>
      <c r="D373" s="45"/>
      <c r="E373" s="45"/>
      <c r="F373" s="45"/>
      <c r="G373" s="45"/>
      <c r="H373" s="45"/>
      <c r="I373" s="45"/>
      <c r="J373" s="45"/>
      <c r="K373" s="45"/>
      <c r="L373" s="45"/>
      <c r="M373" s="45"/>
    </row>
    <row r="374" ht="15.75" customHeight="1">
      <c r="A374" s="45"/>
      <c r="B374" s="45"/>
      <c r="C374" s="45"/>
      <c r="D374" s="45"/>
      <c r="E374" s="45"/>
      <c r="F374" s="45"/>
      <c r="G374" s="45"/>
      <c r="H374" s="45"/>
      <c r="I374" s="45"/>
      <c r="J374" s="45"/>
      <c r="K374" s="45"/>
      <c r="L374" s="45"/>
      <c r="M374" s="45"/>
    </row>
    <row r="375" ht="15.75" customHeight="1">
      <c r="A375" s="45"/>
      <c r="B375" s="45"/>
      <c r="C375" s="45"/>
      <c r="D375" s="45"/>
      <c r="E375" s="45"/>
      <c r="F375" s="45"/>
      <c r="G375" s="45"/>
      <c r="H375" s="45"/>
      <c r="I375" s="45"/>
      <c r="J375" s="45"/>
      <c r="K375" s="45"/>
      <c r="L375" s="45"/>
      <c r="M375" s="45"/>
    </row>
    <row r="376" ht="15.75" customHeight="1">
      <c r="A376" s="45"/>
      <c r="B376" s="45"/>
      <c r="C376" s="45"/>
      <c r="D376" s="45"/>
      <c r="E376" s="45"/>
      <c r="F376" s="45"/>
      <c r="G376" s="45"/>
      <c r="H376" s="45"/>
      <c r="I376" s="45"/>
      <c r="J376" s="45"/>
      <c r="K376" s="45"/>
      <c r="L376" s="45"/>
      <c r="M376" s="45"/>
    </row>
    <row r="377" ht="15.75" customHeight="1">
      <c r="A377" s="45"/>
      <c r="B377" s="45"/>
      <c r="C377" s="45"/>
      <c r="D377" s="45"/>
      <c r="E377" s="45"/>
      <c r="F377" s="45"/>
      <c r="G377" s="45"/>
      <c r="H377" s="45"/>
      <c r="I377" s="45"/>
      <c r="J377" s="45"/>
      <c r="K377" s="45"/>
      <c r="L377" s="45"/>
      <c r="M377" s="45"/>
    </row>
    <row r="378" ht="15.75" customHeight="1">
      <c r="A378" s="45"/>
      <c r="B378" s="45"/>
      <c r="C378" s="45"/>
      <c r="D378" s="45"/>
      <c r="E378" s="45"/>
      <c r="F378" s="45"/>
      <c r="G378" s="45"/>
      <c r="H378" s="45"/>
      <c r="I378" s="45"/>
      <c r="J378" s="45"/>
      <c r="K378" s="45"/>
      <c r="L378" s="45"/>
      <c r="M378" s="45"/>
    </row>
    <row r="379" ht="15.75" customHeight="1">
      <c r="A379" s="45"/>
      <c r="B379" s="45"/>
      <c r="C379" s="45"/>
      <c r="D379" s="45"/>
      <c r="E379" s="45"/>
      <c r="F379" s="45"/>
      <c r="G379" s="45"/>
      <c r="H379" s="45"/>
      <c r="I379" s="45"/>
      <c r="J379" s="45"/>
      <c r="K379" s="45"/>
      <c r="L379" s="45"/>
      <c r="M379" s="45"/>
    </row>
    <row r="380" ht="15.75" customHeight="1">
      <c r="A380" s="45"/>
      <c r="B380" s="45"/>
      <c r="C380" s="45"/>
      <c r="D380" s="45"/>
      <c r="E380" s="45"/>
      <c r="F380" s="45"/>
      <c r="G380" s="45"/>
      <c r="H380" s="45"/>
      <c r="I380" s="45"/>
      <c r="J380" s="45"/>
      <c r="K380" s="45"/>
      <c r="L380" s="45"/>
      <c r="M380" s="45"/>
    </row>
    <row r="381" ht="15.75" customHeight="1">
      <c r="A381" s="45"/>
      <c r="B381" s="45"/>
      <c r="C381" s="45"/>
      <c r="D381" s="45"/>
      <c r="E381" s="45"/>
      <c r="F381" s="45"/>
      <c r="G381" s="45"/>
      <c r="H381" s="45"/>
      <c r="I381" s="45"/>
      <c r="J381" s="45"/>
      <c r="K381" s="45"/>
      <c r="L381" s="45"/>
      <c r="M381" s="45"/>
    </row>
    <row r="382" ht="15.75" customHeight="1">
      <c r="A382" s="45"/>
      <c r="B382" s="45"/>
      <c r="C382" s="45"/>
      <c r="D382" s="45"/>
      <c r="E382" s="45"/>
      <c r="F382" s="45"/>
      <c r="G382" s="45"/>
      <c r="H382" s="45"/>
      <c r="I382" s="45"/>
      <c r="J382" s="45"/>
      <c r="K382" s="45"/>
      <c r="L382" s="45"/>
      <c r="M382" s="45"/>
    </row>
    <row r="383" ht="15.75" customHeight="1">
      <c r="A383" s="45"/>
      <c r="B383" s="45"/>
      <c r="C383" s="45"/>
      <c r="D383" s="45"/>
      <c r="E383" s="45"/>
      <c r="F383" s="45"/>
      <c r="G383" s="45"/>
      <c r="H383" s="45"/>
      <c r="I383" s="45"/>
      <c r="J383" s="45"/>
      <c r="K383" s="45"/>
      <c r="L383" s="45"/>
      <c r="M383" s="45"/>
    </row>
    <row r="384" ht="15.75" customHeight="1">
      <c r="A384" s="45"/>
      <c r="B384" s="45"/>
      <c r="C384" s="45"/>
      <c r="D384" s="45"/>
      <c r="E384" s="45"/>
      <c r="F384" s="45"/>
      <c r="G384" s="45"/>
      <c r="H384" s="45"/>
      <c r="I384" s="45"/>
      <c r="J384" s="45"/>
      <c r="K384" s="45"/>
      <c r="L384" s="45"/>
      <c r="M384" s="45"/>
    </row>
    <row r="385" ht="15.75" customHeight="1">
      <c r="A385" s="45"/>
      <c r="B385" s="45"/>
      <c r="C385" s="45"/>
      <c r="D385" s="45"/>
      <c r="E385" s="45"/>
      <c r="F385" s="45"/>
      <c r="G385" s="45"/>
      <c r="H385" s="45"/>
      <c r="I385" s="45"/>
      <c r="J385" s="45"/>
      <c r="K385" s="45"/>
      <c r="L385" s="45"/>
      <c r="M385" s="45"/>
    </row>
    <row r="386" ht="15.75" customHeight="1">
      <c r="A386" s="45"/>
      <c r="B386" s="45"/>
      <c r="C386" s="45"/>
      <c r="D386" s="45"/>
      <c r="E386" s="45"/>
      <c r="F386" s="45"/>
      <c r="G386" s="45"/>
      <c r="H386" s="45"/>
      <c r="I386" s="45"/>
      <c r="J386" s="45"/>
      <c r="K386" s="45"/>
      <c r="L386" s="45"/>
      <c r="M386" s="45"/>
    </row>
    <row r="387" ht="15.75" customHeight="1">
      <c r="A387" s="45"/>
      <c r="B387" s="45"/>
      <c r="C387" s="45"/>
      <c r="D387" s="45"/>
      <c r="E387" s="45"/>
      <c r="F387" s="45"/>
      <c r="G387" s="45"/>
      <c r="H387" s="45"/>
      <c r="I387" s="45"/>
      <c r="J387" s="45"/>
      <c r="K387" s="45"/>
      <c r="L387" s="45"/>
      <c r="M387" s="45"/>
    </row>
    <row r="388" ht="15.75" customHeight="1">
      <c r="A388" s="45"/>
      <c r="B388" s="45"/>
      <c r="C388" s="45"/>
      <c r="D388" s="45"/>
      <c r="E388" s="45"/>
      <c r="F388" s="45"/>
      <c r="G388" s="45"/>
      <c r="H388" s="45"/>
      <c r="I388" s="45"/>
      <c r="J388" s="45"/>
      <c r="K388" s="45"/>
      <c r="L388" s="45"/>
      <c r="M388" s="45"/>
    </row>
    <row r="389" ht="15.75" customHeight="1">
      <c r="A389" s="45"/>
      <c r="B389" s="45"/>
      <c r="C389" s="45"/>
      <c r="D389" s="45"/>
      <c r="E389" s="45"/>
      <c r="F389" s="45"/>
      <c r="G389" s="45"/>
      <c r="H389" s="45"/>
      <c r="I389" s="45"/>
      <c r="J389" s="45"/>
      <c r="K389" s="45"/>
      <c r="L389" s="45"/>
      <c r="M389" s="45"/>
    </row>
    <row r="390" ht="15.75" customHeight="1">
      <c r="A390" s="45"/>
      <c r="B390" s="45"/>
      <c r="C390" s="45"/>
      <c r="D390" s="45"/>
      <c r="E390" s="45"/>
      <c r="F390" s="45"/>
      <c r="G390" s="45"/>
      <c r="H390" s="45"/>
      <c r="I390" s="45"/>
      <c r="J390" s="45"/>
      <c r="K390" s="45"/>
      <c r="L390" s="45"/>
      <c r="M390" s="45"/>
    </row>
    <row r="391" ht="15.75" customHeight="1">
      <c r="A391" s="45"/>
      <c r="B391" s="45"/>
      <c r="C391" s="45"/>
      <c r="D391" s="45"/>
      <c r="E391" s="45"/>
      <c r="F391" s="45"/>
      <c r="G391" s="45"/>
      <c r="H391" s="45"/>
      <c r="I391" s="45"/>
      <c r="J391" s="45"/>
      <c r="K391" s="45"/>
      <c r="L391" s="45"/>
      <c r="M391" s="45"/>
    </row>
    <row r="392" ht="15.75" customHeight="1">
      <c r="A392" s="45"/>
      <c r="B392" s="45"/>
      <c r="C392" s="45"/>
      <c r="D392" s="45"/>
      <c r="E392" s="45"/>
      <c r="F392" s="45"/>
      <c r="G392" s="45"/>
      <c r="H392" s="45"/>
      <c r="I392" s="45"/>
      <c r="J392" s="45"/>
      <c r="K392" s="45"/>
      <c r="L392" s="45"/>
      <c r="M392" s="45"/>
    </row>
    <row r="393" ht="15.75" customHeight="1">
      <c r="A393" s="45"/>
      <c r="B393" s="45"/>
      <c r="C393" s="45"/>
      <c r="D393" s="45"/>
      <c r="E393" s="45"/>
      <c r="F393" s="45"/>
      <c r="G393" s="45"/>
      <c r="H393" s="45"/>
      <c r="I393" s="45"/>
      <c r="J393" s="45"/>
      <c r="K393" s="45"/>
      <c r="L393" s="45"/>
      <c r="M393" s="45"/>
    </row>
    <row r="394" ht="15.75" customHeight="1">
      <c r="A394" s="45"/>
      <c r="B394" s="45"/>
      <c r="C394" s="45"/>
      <c r="D394" s="45"/>
      <c r="E394" s="45"/>
      <c r="F394" s="45"/>
      <c r="G394" s="45"/>
      <c r="H394" s="45"/>
      <c r="I394" s="45"/>
      <c r="J394" s="45"/>
      <c r="K394" s="45"/>
      <c r="L394" s="45"/>
      <c r="M394" s="45"/>
    </row>
    <row r="395" ht="15.75" customHeight="1">
      <c r="A395" s="45"/>
      <c r="B395" s="45"/>
      <c r="C395" s="45"/>
      <c r="D395" s="45"/>
      <c r="E395" s="45"/>
      <c r="F395" s="45"/>
      <c r="G395" s="45"/>
      <c r="H395" s="45"/>
      <c r="I395" s="45"/>
      <c r="J395" s="45"/>
      <c r="K395" s="45"/>
      <c r="L395" s="45"/>
      <c r="M395" s="45"/>
    </row>
    <row r="396" ht="15.75" customHeight="1">
      <c r="A396" s="45"/>
      <c r="B396" s="45"/>
      <c r="C396" s="45"/>
      <c r="D396" s="45"/>
      <c r="E396" s="45"/>
      <c r="F396" s="45"/>
      <c r="G396" s="45"/>
      <c r="H396" s="45"/>
      <c r="I396" s="45"/>
      <c r="J396" s="45"/>
      <c r="K396" s="45"/>
      <c r="L396" s="45"/>
      <c r="M396" s="45"/>
    </row>
    <row r="397" ht="15.75" customHeight="1">
      <c r="A397" s="45"/>
      <c r="B397" s="45"/>
      <c r="C397" s="45"/>
      <c r="D397" s="45"/>
      <c r="E397" s="45"/>
      <c r="F397" s="45"/>
      <c r="G397" s="45"/>
      <c r="H397" s="45"/>
      <c r="I397" s="45"/>
      <c r="J397" s="45"/>
      <c r="K397" s="45"/>
      <c r="L397" s="45"/>
      <c r="M397" s="45"/>
    </row>
    <row r="398" ht="15.75" customHeight="1">
      <c r="A398" s="45"/>
      <c r="B398" s="45"/>
      <c r="C398" s="45"/>
      <c r="D398" s="45"/>
      <c r="E398" s="45"/>
      <c r="F398" s="45"/>
      <c r="G398" s="45"/>
      <c r="H398" s="45"/>
      <c r="I398" s="45"/>
      <c r="J398" s="45"/>
      <c r="K398" s="45"/>
      <c r="L398" s="45"/>
      <c r="M398" s="45"/>
    </row>
    <row r="399" ht="15.75" customHeight="1">
      <c r="A399" s="45"/>
      <c r="B399" s="45"/>
      <c r="C399" s="45"/>
      <c r="D399" s="45"/>
      <c r="E399" s="45"/>
      <c r="F399" s="45"/>
      <c r="G399" s="45"/>
      <c r="H399" s="45"/>
      <c r="I399" s="45"/>
      <c r="J399" s="45"/>
      <c r="K399" s="45"/>
      <c r="L399" s="45"/>
      <c r="M399" s="45"/>
    </row>
    <row r="400" ht="15.75" customHeight="1">
      <c r="A400" s="45"/>
      <c r="B400" s="45"/>
      <c r="C400" s="45"/>
      <c r="D400" s="45"/>
      <c r="E400" s="45"/>
      <c r="F400" s="45"/>
      <c r="G400" s="45"/>
      <c r="H400" s="45"/>
      <c r="I400" s="45"/>
      <c r="J400" s="45"/>
      <c r="K400" s="45"/>
      <c r="L400" s="45"/>
      <c r="M400" s="45"/>
    </row>
    <row r="401" ht="15.75" customHeight="1">
      <c r="A401" s="45"/>
      <c r="B401" s="45"/>
      <c r="C401" s="45"/>
      <c r="D401" s="45"/>
      <c r="E401" s="45"/>
      <c r="F401" s="45"/>
      <c r="G401" s="45"/>
      <c r="H401" s="45"/>
      <c r="I401" s="45"/>
      <c r="J401" s="45"/>
      <c r="K401" s="45"/>
      <c r="L401" s="45"/>
      <c r="M401" s="45"/>
    </row>
    <row r="402" ht="15.75" customHeight="1">
      <c r="A402" s="45"/>
      <c r="B402" s="45"/>
      <c r="C402" s="45"/>
      <c r="D402" s="45"/>
      <c r="E402" s="45"/>
      <c r="F402" s="45"/>
      <c r="G402" s="45"/>
      <c r="H402" s="45"/>
      <c r="I402" s="45"/>
      <c r="J402" s="45"/>
      <c r="K402" s="45"/>
      <c r="L402" s="45"/>
      <c r="M402" s="45"/>
    </row>
    <row r="403" ht="15.75" customHeight="1">
      <c r="A403" s="45"/>
      <c r="B403" s="45"/>
      <c r="C403" s="45"/>
      <c r="D403" s="45"/>
      <c r="E403" s="45"/>
      <c r="F403" s="45"/>
      <c r="G403" s="45"/>
      <c r="H403" s="45"/>
      <c r="I403" s="45"/>
      <c r="J403" s="45"/>
      <c r="K403" s="45"/>
      <c r="L403" s="45"/>
      <c r="M403" s="45"/>
    </row>
    <row r="404" ht="15.75" customHeight="1">
      <c r="A404" s="45"/>
      <c r="B404" s="45"/>
      <c r="C404" s="45"/>
      <c r="D404" s="45"/>
      <c r="E404" s="45"/>
      <c r="F404" s="45"/>
      <c r="G404" s="45"/>
      <c r="H404" s="45"/>
      <c r="I404" s="45"/>
      <c r="J404" s="45"/>
      <c r="K404" s="45"/>
      <c r="L404" s="45"/>
      <c r="M404" s="45"/>
    </row>
    <row r="405" ht="15.75" customHeight="1">
      <c r="A405" s="45"/>
      <c r="B405" s="45"/>
      <c r="C405" s="45"/>
      <c r="D405" s="45"/>
      <c r="E405" s="45"/>
      <c r="F405" s="45"/>
      <c r="G405" s="45"/>
      <c r="H405" s="45"/>
      <c r="I405" s="45"/>
      <c r="J405" s="45"/>
      <c r="K405" s="45"/>
      <c r="L405" s="45"/>
      <c r="M405" s="45"/>
    </row>
    <row r="406" ht="15.75" customHeight="1">
      <c r="A406" s="45"/>
      <c r="B406" s="45"/>
      <c r="C406" s="45"/>
      <c r="D406" s="45"/>
      <c r="E406" s="45"/>
      <c r="F406" s="45"/>
      <c r="G406" s="45"/>
      <c r="H406" s="45"/>
      <c r="I406" s="45"/>
      <c r="J406" s="45"/>
      <c r="K406" s="45"/>
      <c r="L406" s="45"/>
      <c r="M406" s="45"/>
    </row>
    <row r="407" ht="15.75" customHeight="1">
      <c r="A407" s="45"/>
      <c r="B407" s="45"/>
      <c r="C407" s="45"/>
      <c r="D407" s="45"/>
      <c r="E407" s="45"/>
      <c r="F407" s="45"/>
      <c r="G407" s="45"/>
      <c r="H407" s="45"/>
      <c r="I407" s="45"/>
      <c r="J407" s="45"/>
      <c r="K407" s="45"/>
      <c r="L407" s="45"/>
      <c r="M407" s="45"/>
    </row>
    <row r="408" ht="15.75" customHeight="1">
      <c r="A408" s="45"/>
      <c r="B408" s="45"/>
      <c r="C408" s="45"/>
      <c r="D408" s="45"/>
      <c r="E408" s="45"/>
      <c r="F408" s="45"/>
      <c r="G408" s="45"/>
      <c r="H408" s="45"/>
      <c r="I408" s="45"/>
      <c r="J408" s="45"/>
      <c r="K408" s="45"/>
      <c r="L408" s="45"/>
      <c r="M408" s="45"/>
    </row>
    <row r="409" ht="15.75" customHeight="1">
      <c r="A409" s="45"/>
      <c r="B409" s="45"/>
      <c r="C409" s="45"/>
      <c r="D409" s="45"/>
      <c r="E409" s="45"/>
      <c r="F409" s="45"/>
      <c r="G409" s="45"/>
      <c r="H409" s="45"/>
      <c r="I409" s="45"/>
      <c r="J409" s="45"/>
      <c r="K409" s="45"/>
      <c r="L409" s="45"/>
      <c r="M409" s="45"/>
    </row>
    <row r="410" ht="15.75" customHeight="1">
      <c r="A410" s="45"/>
      <c r="B410" s="45"/>
      <c r="C410" s="45"/>
      <c r="D410" s="45"/>
      <c r="E410" s="45"/>
      <c r="F410" s="45"/>
      <c r="G410" s="45"/>
      <c r="H410" s="45"/>
      <c r="I410" s="45"/>
      <c r="J410" s="45"/>
      <c r="K410" s="45"/>
      <c r="L410" s="45"/>
      <c r="M410" s="45"/>
    </row>
    <row r="411" ht="15.75" customHeight="1">
      <c r="A411" s="45"/>
      <c r="B411" s="45"/>
      <c r="C411" s="45"/>
      <c r="D411" s="45"/>
      <c r="E411" s="45"/>
      <c r="F411" s="45"/>
      <c r="G411" s="45"/>
      <c r="H411" s="45"/>
      <c r="I411" s="45"/>
      <c r="J411" s="45"/>
      <c r="K411" s="45"/>
      <c r="L411" s="45"/>
      <c r="M411" s="45"/>
    </row>
    <row r="412" ht="15.75" customHeight="1">
      <c r="A412" s="45"/>
      <c r="B412" s="45"/>
      <c r="C412" s="45"/>
      <c r="D412" s="45"/>
      <c r="E412" s="45"/>
      <c r="F412" s="45"/>
      <c r="G412" s="45"/>
      <c r="H412" s="45"/>
      <c r="I412" s="45"/>
      <c r="J412" s="45"/>
      <c r="K412" s="45"/>
      <c r="L412" s="45"/>
      <c r="M412" s="45"/>
    </row>
    <row r="413" ht="15.75" customHeight="1">
      <c r="A413" s="45"/>
      <c r="B413" s="45"/>
      <c r="C413" s="45"/>
      <c r="D413" s="45"/>
      <c r="E413" s="45"/>
      <c r="F413" s="45"/>
      <c r="G413" s="45"/>
      <c r="H413" s="45"/>
      <c r="I413" s="45"/>
      <c r="J413" s="45"/>
      <c r="K413" s="45"/>
      <c r="L413" s="45"/>
      <c r="M413" s="45"/>
    </row>
    <row r="414" ht="15.75" customHeight="1">
      <c r="A414" s="45"/>
      <c r="B414" s="45"/>
      <c r="C414" s="45"/>
      <c r="D414" s="45"/>
      <c r="E414" s="45"/>
      <c r="F414" s="45"/>
      <c r="G414" s="45"/>
      <c r="H414" s="45"/>
      <c r="I414" s="45"/>
      <c r="J414" s="45"/>
      <c r="K414" s="45"/>
      <c r="L414" s="45"/>
      <c r="M414" s="45"/>
    </row>
    <row r="415" ht="15.75" customHeight="1">
      <c r="A415" s="45"/>
      <c r="B415" s="45"/>
      <c r="C415" s="45"/>
      <c r="D415" s="45"/>
      <c r="E415" s="45"/>
      <c r="F415" s="45"/>
      <c r="G415" s="45"/>
      <c r="H415" s="45"/>
      <c r="I415" s="45"/>
      <c r="J415" s="45"/>
      <c r="K415" s="45"/>
      <c r="L415" s="45"/>
      <c r="M415" s="45"/>
    </row>
    <row r="416" ht="15.75" customHeight="1">
      <c r="A416" s="45"/>
      <c r="B416" s="45"/>
      <c r="C416" s="45"/>
      <c r="D416" s="45"/>
      <c r="E416" s="45"/>
      <c r="F416" s="45"/>
      <c r="G416" s="45"/>
      <c r="H416" s="45"/>
      <c r="I416" s="45"/>
      <c r="J416" s="45"/>
      <c r="K416" s="45"/>
      <c r="L416" s="45"/>
      <c r="M416" s="45"/>
    </row>
    <row r="417" ht="15.75" customHeight="1">
      <c r="A417" s="45"/>
      <c r="B417" s="45"/>
      <c r="C417" s="45"/>
      <c r="D417" s="45"/>
      <c r="E417" s="45"/>
      <c r="F417" s="45"/>
      <c r="G417" s="45"/>
      <c r="H417" s="45"/>
      <c r="I417" s="45"/>
      <c r="J417" s="45"/>
      <c r="K417" s="45"/>
      <c r="L417" s="45"/>
      <c r="M417" s="45"/>
    </row>
    <row r="418" ht="15.75" customHeight="1">
      <c r="A418" s="45"/>
      <c r="B418" s="45"/>
      <c r="C418" s="45"/>
      <c r="D418" s="45"/>
      <c r="E418" s="45"/>
      <c r="F418" s="45"/>
      <c r="G418" s="45"/>
      <c r="H418" s="45"/>
      <c r="I418" s="45"/>
      <c r="J418" s="45"/>
      <c r="K418" s="45"/>
      <c r="L418" s="45"/>
      <c r="M418" s="45"/>
    </row>
    <row r="419" ht="15.75" customHeight="1">
      <c r="A419" s="45"/>
      <c r="B419" s="45"/>
      <c r="C419" s="45"/>
      <c r="D419" s="45"/>
      <c r="E419" s="45"/>
      <c r="F419" s="45"/>
      <c r="G419" s="45"/>
      <c r="H419" s="45"/>
      <c r="I419" s="45"/>
      <c r="J419" s="45"/>
      <c r="K419" s="45"/>
      <c r="L419" s="45"/>
      <c r="M419" s="45"/>
    </row>
    <row r="420" ht="15.75" customHeight="1">
      <c r="A420" s="45"/>
      <c r="B420" s="45"/>
      <c r="C420" s="45"/>
      <c r="D420" s="45"/>
      <c r="E420" s="45"/>
      <c r="F420" s="45"/>
      <c r="G420" s="45"/>
      <c r="H420" s="45"/>
      <c r="I420" s="45"/>
      <c r="J420" s="45"/>
      <c r="K420" s="45"/>
      <c r="L420" s="45"/>
      <c r="M420" s="45"/>
    </row>
    <row r="421" ht="15.75" customHeight="1">
      <c r="A421" s="45"/>
      <c r="B421" s="45"/>
      <c r="C421" s="45"/>
      <c r="D421" s="45"/>
      <c r="E421" s="45"/>
      <c r="F421" s="45"/>
      <c r="G421" s="45"/>
      <c r="H421" s="45"/>
      <c r="I421" s="45"/>
      <c r="J421" s="45"/>
      <c r="K421" s="45"/>
      <c r="L421" s="45"/>
      <c r="M421" s="45"/>
    </row>
    <row r="422" ht="15.75" customHeight="1">
      <c r="A422" s="45"/>
      <c r="B422" s="45"/>
      <c r="C422" s="45"/>
      <c r="D422" s="45"/>
      <c r="E422" s="45"/>
      <c r="F422" s="45"/>
      <c r="G422" s="45"/>
      <c r="H422" s="45"/>
      <c r="I422" s="45"/>
      <c r="J422" s="45"/>
      <c r="K422" s="45"/>
      <c r="L422" s="45"/>
      <c r="M422" s="45"/>
    </row>
    <row r="423" ht="15.75" customHeight="1">
      <c r="A423" s="45"/>
      <c r="B423" s="45"/>
      <c r="C423" s="45"/>
      <c r="D423" s="45"/>
      <c r="E423" s="45"/>
      <c r="F423" s="45"/>
      <c r="G423" s="45"/>
      <c r="H423" s="45"/>
      <c r="I423" s="45"/>
      <c r="J423" s="45"/>
      <c r="K423" s="45"/>
      <c r="L423" s="45"/>
      <c r="M423" s="45"/>
    </row>
    <row r="424" ht="15.75" customHeight="1">
      <c r="A424" s="45"/>
      <c r="B424" s="45"/>
      <c r="C424" s="45"/>
      <c r="D424" s="45"/>
      <c r="E424" s="45"/>
      <c r="F424" s="45"/>
      <c r="G424" s="45"/>
      <c r="H424" s="45"/>
      <c r="I424" s="45"/>
      <c r="J424" s="45"/>
      <c r="K424" s="45"/>
      <c r="L424" s="45"/>
      <c r="M424" s="45"/>
    </row>
    <row r="425" ht="15.75" customHeight="1">
      <c r="A425" s="45"/>
      <c r="B425" s="45"/>
      <c r="C425" s="45"/>
      <c r="D425" s="45"/>
      <c r="E425" s="45"/>
      <c r="F425" s="45"/>
      <c r="G425" s="45"/>
      <c r="H425" s="45"/>
      <c r="I425" s="45"/>
      <c r="J425" s="45"/>
      <c r="K425" s="45"/>
      <c r="L425" s="45"/>
      <c r="M425" s="45"/>
    </row>
    <row r="426" ht="15.75" customHeight="1">
      <c r="A426" s="45"/>
      <c r="B426" s="45"/>
      <c r="C426" s="45"/>
      <c r="D426" s="45"/>
      <c r="E426" s="45"/>
      <c r="F426" s="45"/>
      <c r="G426" s="45"/>
      <c r="H426" s="45"/>
      <c r="I426" s="45"/>
      <c r="J426" s="45"/>
      <c r="K426" s="45"/>
      <c r="L426" s="45"/>
      <c r="M426" s="45"/>
    </row>
    <row r="427" ht="15.75" customHeight="1">
      <c r="A427" s="45"/>
      <c r="B427" s="45"/>
      <c r="C427" s="45"/>
      <c r="D427" s="45"/>
      <c r="E427" s="45"/>
      <c r="F427" s="45"/>
      <c r="G427" s="45"/>
      <c r="H427" s="45"/>
      <c r="I427" s="45"/>
      <c r="J427" s="45"/>
      <c r="K427" s="45"/>
      <c r="L427" s="45"/>
      <c r="M427" s="45"/>
    </row>
    <row r="428" ht="15.75" customHeight="1">
      <c r="A428" s="45"/>
      <c r="B428" s="45"/>
      <c r="C428" s="45"/>
      <c r="D428" s="45"/>
      <c r="E428" s="45"/>
      <c r="F428" s="45"/>
      <c r="G428" s="45"/>
      <c r="H428" s="45"/>
      <c r="I428" s="45"/>
      <c r="J428" s="45"/>
      <c r="K428" s="45"/>
      <c r="L428" s="45"/>
      <c r="M428" s="45"/>
    </row>
    <row r="429" ht="15.75" customHeight="1">
      <c r="A429" s="45"/>
      <c r="B429" s="45"/>
      <c r="C429" s="45"/>
      <c r="D429" s="45"/>
      <c r="E429" s="45"/>
      <c r="F429" s="45"/>
      <c r="G429" s="45"/>
      <c r="H429" s="45"/>
      <c r="I429" s="45"/>
      <c r="J429" s="45"/>
      <c r="K429" s="45"/>
      <c r="L429" s="45"/>
      <c r="M429" s="45"/>
    </row>
    <row r="430" ht="15.75" customHeight="1">
      <c r="A430" s="45"/>
      <c r="B430" s="45"/>
      <c r="C430" s="45"/>
      <c r="D430" s="45"/>
      <c r="E430" s="45"/>
      <c r="F430" s="45"/>
      <c r="G430" s="45"/>
      <c r="H430" s="45"/>
      <c r="I430" s="45"/>
      <c r="J430" s="45"/>
      <c r="K430" s="45"/>
      <c r="L430" s="45"/>
      <c r="M430" s="45"/>
    </row>
    <row r="431" ht="15.75" customHeight="1">
      <c r="A431" s="45"/>
      <c r="B431" s="45"/>
      <c r="C431" s="45"/>
      <c r="D431" s="45"/>
      <c r="E431" s="45"/>
      <c r="F431" s="45"/>
      <c r="G431" s="45"/>
      <c r="H431" s="45"/>
      <c r="I431" s="45"/>
      <c r="J431" s="45"/>
      <c r="K431" s="45"/>
      <c r="L431" s="45"/>
      <c r="M431" s="45"/>
    </row>
    <row r="432" ht="15.75" customHeight="1">
      <c r="A432" s="45"/>
      <c r="B432" s="45"/>
      <c r="C432" s="45"/>
      <c r="D432" s="45"/>
      <c r="E432" s="45"/>
      <c r="F432" s="45"/>
      <c r="G432" s="45"/>
      <c r="H432" s="45"/>
      <c r="I432" s="45"/>
      <c r="J432" s="45"/>
      <c r="K432" s="45"/>
      <c r="L432" s="45"/>
      <c r="M432" s="45"/>
    </row>
    <row r="433" ht="15.75" customHeight="1">
      <c r="A433" s="45"/>
      <c r="B433" s="45"/>
      <c r="C433" s="45"/>
      <c r="D433" s="45"/>
      <c r="E433" s="45"/>
      <c r="F433" s="45"/>
      <c r="G433" s="45"/>
      <c r="H433" s="45"/>
      <c r="I433" s="45"/>
      <c r="J433" s="45"/>
      <c r="K433" s="45"/>
      <c r="L433" s="45"/>
      <c r="M433" s="45"/>
    </row>
    <row r="434" ht="15.75" customHeight="1">
      <c r="A434" s="45"/>
      <c r="B434" s="45"/>
      <c r="C434" s="45"/>
      <c r="D434" s="45"/>
      <c r="E434" s="45"/>
      <c r="F434" s="45"/>
      <c r="G434" s="45"/>
      <c r="H434" s="45"/>
      <c r="I434" s="45"/>
      <c r="J434" s="45"/>
      <c r="K434" s="45"/>
      <c r="L434" s="45"/>
      <c r="M434" s="45"/>
    </row>
    <row r="435" ht="15.75" customHeight="1">
      <c r="A435" s="45"/>
      <c r="B435" s="45"/>
      <c r="C435" s="45"/>
      <c r="D435" s="45"/>
      <c r="E435" s="45"/>
      <c r="F435" s="45"/>
      <c r="G435" s="45"/>
      <c r="H435" s="45"/>
      <c r="I435" s="45"/>
      <c r="J435" s="45"/>
      <c r="K435" s="45"/>
      <c r="L435" s="45"/>
      <c r="M435" s="45"/>
    </row>
    <row r="436" ht="15.75" customHeight="1">
      <c r="A436" s="45"/>
      <c r="B436" s="45"/>
      <c r="C436" s="45"/>
      <c r="D436" s="45"/>
      <c r="E436" s="45"/>
      <c r="F436" s="45"/>
      <c r="G436" s="45"/>
      <c r="H436" s="45"/>
      <c r="I436" s="45"/>
      <c r="J436" s="45"/>
      <c r="K436" s="45"/>
      <c r="L436" s="45"/>
      <c r="M436" s="45"/>
    </row>
    <row r="437" ht="15.75" customHeight="1">
      <c r="A437" s="45"/>
      <c r="B437" s="45"/>
      <c r="C437" s="45"/>
      <c r="D437" s="45"/>
      <c r="E437" s="45"/>
      <c r="F437" s="45"/>
      <c r="G437" s="45"/>
      <c r="H437" s="45"/>
      <c r="I437" s="45"/>
      <c r="J437" s="45"/>
      <c r="K437" s="45"/>
      <c r="L437" s="45"/>
      <c r="M437" s="45"/>
    </row>
    <row r="438" ht="15.75" customHeight="1">
      <c r="A438" s="45"/>
      <c r="B438" s="45"/>
      <c r="C438" s="45"/>
      <c r="D438" s="45"/>
      <c r="E438" s="45"/>
      <c r="F438" s="45"/>
      <c r="G438" s="45"/>
      <c r="H438" s="45"/>
      <c r="I438" s="45"/>
      <c r="J438" s="45"/>
      <c r="K438" s="45"/>
      <c r="L438" s="45"/>
      <c r="M438" s="45"/>
    </row>
    <row r="439" ht="15.75" customHeight="1">
      <c r="A439" s="45"/>
      <c r="B439" s="45"/>
      <c r="C439" s="45"/>
      <c r="D439" s="45"/>
      <c r="E439" s="45"/>
      <c r="F439" s="45"/>
      <c r="G439" s="45"/>
      <c r="H439" s="45"/>
      <c r="I439" s="45"/>
      <c r="J439" s="45"/>
      <c r="K439" s="45"/>
      <c r="L439" s="45"/>
      <c r="M439" s="45"/>
    </row>
    <row r="440" ht="15.75" customHeight="1">
      <c r="A440" s="45"/>
      <c r="B440" s="45"/>
      <c r="C440" s="45"/>
      <c r="D440" s="45"/>
      <c r="E440" s="45"/>
      <c r="F440" s="45"/>
      <c r="G440" s="45"/>
      <c r="H440" s="45"/>
      <c r="I440" s="45"/>
      <c r="J440" s="45"/>
      <c r="K440" s="45"/>
      <c r="L440" s="45"/>
      <c r="M440" s="45"/>
    </row>
    <row r="441" ht="15.75" customHeight="1">
      <c r="A441" s="45"/>
      <c r="B441" s="45"/>
      <c r="C441" s="45"/>
      <c r="D441" s="45"/>
      <c r="E441" s="45"/>
      <c r="F441" s="45"/>
      <c r="G441" s="45"/>
      <c r="H441" s="45"/>
      <c r="I441" s="45"/>
      <c r="J441" s="45"/>
      <c r="K441" s="45"/>
      <c r="L441" s="45"/>
      <c r="M441" s="45"/>
    </row>
    <row r="442" ht="15.75" customHeight="1">
      <c r="A442" s="45"/>
      <c r="B442" s="45"/>
      <c r="C442" s="45"/>
      <c r="D442" s="45"/>
      <c r="E442" s="45"/>
      <c r="F442" s="45"/>
      <c r="G442" s="45"/>
      <c r="H442" s="45"/>
      <c r="I442" s="45"/>
      <c r="J442" s="45"/>
      <c r="K442" s="45"/>
      <c r="L442" s="45"/>
      <c r="M442" s="45"/>
    </row>
    <row r="443" ht="15.75" customHeight="1">
      <c r="A443" s="45"/>
      <c r="B443" s="45"/>
      <c r="C443" s="45"/>
      <c r="D443" s="45"/>
      <c r="E443" s="45"/>
      <c r="F443" s="45"/>
      <c r="G443" s="45"/>
      <c r="H443" s="45"/>
      <c r="I443" s="45"/>
      <c r="J443" s="45"/>
      <c r="K443" s="45"/>
      <c r="L443" s="45"/>
      <c r="M443" s="45"/>
    </row>
    <row r="444" ht="15.75" customHeight="1">
      <c r="A444" s="45"/>
      <c r="B444" s="45"/>
      <c r="C444" s="45"/>
      <c r="D444" s="45"/>
      <c r="E444" s="45"/>
      <c r="F444" s="45"/>
      <c r="G444" s="45"/>
      <c r="H444" s="45"/>
      <c r="I444" s="45"/>
      <c r="J444" s="45"/>
      <c r="K444" s="45"/>
      <c r="L444" s="45"/>
      <c r="M444" s="45"/>
    </row>
    <row r="445" ht="15.75" customHeight="1">
      <c r="A445" s="45"/>
      <c r="B445" s="45"/>
      <c r="C445" s="45"/>
      <c r="D445" s="45"/>
      <c r="E445" s="45"/>
      <c r="F445" s="45"/>
      <c r="G445" s="45"/>
      <c r="H445" s="45"/>
      <c r="I445" s="45"/>
      <c r="J445" s="45"/>
      <c r="K445" s="45"/>
      <c r="L445" s="45"/>
      <c r="M445" s="45"/>
    </row>
    <row r="446" ht="15.75" customHeight="1">
      <c r="A446" s="45"/>
      <c r="B446" s="45"/>
      <c r="C446" s="45"/>
      <c r="D446" s="45"/>
      <c r="E446" s="45"/>
      <c r="F446" s="45"/>
      <c r="G446" s="45"/>
      <c r="H446" s="45"/>
      <c r="I446" s="45"/>
      <c r="J446" s="45"/>
      <c r="K446" s="45"/>
      <c r="L446" s="45"/>
      <c r="M446" s="45"/>
    </row>
    <row r="447" ht="15.75" customHeight="1">
      <c r="A447" s="45"/>
      <c r="B447" s="45"/>
      <c r="C447" s="45"/>
      <c r="D447" s="45"/>
      <c r="E447" s="45"/>
      <c r="F447" s="45"/>
      <c r="G447" s="45"/>
      <c r="H447" s="45"/>
      <c r="I447" s="45"/>
      <c r="J447" s="45"/>
      <c r="K447" s="45"/>
      <c r="L447" s="45"/>
      <c r="M447" s="45"/>
    </row>
    <row r="448" ht="15.75" customHeight="1">
      <c r="A448" s="45"/>
      <c r="B448" s="45"/>
      <c r="C448" s="45"/>
      <c r="D448" s="45"/>
      <c r="E448" s="45"/>
      <c r="F448" s="45"/>
      <c r="G448" s="45"/>
      <c r="H448" s="45"/>
      <c r="I448" s="45"/>
      <c r="J448" s="45"/>
      <c r="K448" s="45"/>
      <c r="L448" s="45"/>
      <c r="M448" s="45"/>
    </row>
    <row r="449" ht="15.75" customHeight="1">
      <c r="A449" s="45"/>
      <c r="B449" s="45"/>
      <c r="C449" s="45"/>
      <c r="D449" s="45"/>
      <c r="E449" s="45"/>
      <c r="F449" s="45"/>
      <c r="G449" s="45"/>
      <c r="H449" s="45"/>
      <c r="I449" s="45"/>
      <c r="J449" s="45"/>
      <c r="K449" s="45"/>
      <c r="L449" s="45"/>
      <c r="M449" s="45"/>
    </row>
    <row r="450" ht="15.75" customHeight="1">
      <c r="A450" s="45"/>
      <c r="B450" s="45"/>
      <c r="C450" s="45"/>
      <c r="D450" s="45"/>
      <c r="E450" s="45"/>
      <c r="F450" s="45"/>
      <c r="G450" s="45"/>
      <c r="H450" s="45"/>
      <c r="I450" s="45"/>
      <c r="J450" s="45"/>
      <c r="K450" s="45"/>
      <c r="L450" s="45"/>
      <c r="M450" s="45"/>
    </row>
    <row r="451" ht="15.75" customHeight="1">
      <c r="A451" s="45"/>
      <c r="B451" s="45"/>
      <c r="C451" s="45"/>
      <c r="D451" s="45"/>
      <c r="E451" s="45"/>
      <c r="F451" s="45"/>
      <c r="G451" s="45"/>
      <c r="H451" s="45"/>
      <c r="I451" s="45"/>
      <c r="J451" s="45"/>
      <c r="K451" s="45"/>
      <c r="L451" s="45"/>
      <c r="M451" s="45"/>
    </row>
    <row r="452" ht="15.75" customHeight="1">
      <c r="A452" s="45"/>
      <c r="B452" s="45"/>
      <c r="C452" s="45"/>
      <c r="D452" s="45"/>
      <c r="E452" s="45"/>
      <c r="F452" s="45"/>
      <c r="G452" s="45"/>
      <c r="H452" s="45"/>
      <c r="I452" s="45"/>
      <c r="J452" s="45"/>
      <c r="K452" s="45"/>
      <c r="L452" s="45"/>
      <c r="M452" s="45"/>
    </row>
    <row r="453" ht="15.75" customHeight="1">
      <c r="A453" s="45"/>
      <c r="B453" s="45"/>
      <c r="C453" s="45"/>
      <c r="D453" s="45"/>
      <c r="E453" s="45"/>
      <c r="F453" s="45"/>
      <c r="G453" s="45"/>
      <c r="H453" s="45"/>
      <c r="I453" s="45"/>
      <c r="J453" s="45"/>
      <c r="K453" s="45"/>
      <c r="L453" s="45"/>
      <c r="M453" s="45"/>
    </row>
    <row r="454" ht="15.75" customHeight="1">
      <c r="A454" s="45"/>
      <c r="B454" s="45"/>
      <c r="C454" s="45"/>
      <c r="D454" s="45"/>
      <c r="E454" s="45"/>
      <c r="F454" s="45"/>
      <c r="G454" s="45"/>
      <c r="H454" s="45"/>
      <c r="I454" s="45"/>
      <c r="J454" s="45"/>
      <c r="K454" s="45"/>
      <c r="L454" s="45"/>
      <c r="M454" s="45"/>
    </row>
    <row r="455" ht="15.75" customHeight="1">
      <c r="A455" s="45"/>
      <c r="B455" s="45"/>
      <c r="C455" s="45"/>
      <c r="D455" s="45"/>
      <c r="E455" s="45"/>
      <c r="F455" s="45"/>
      <c r="G455" s="45"/>
      <c r="H455" s="45"/>
      <c r="I455" s="45"/>
      <c r="J455" s="45"/>
      <c r="K455" s="45"/>
      <c r="L455" s="45"/>
      <c r="M455" s="45"/>
    </row>
    <row r="456" ht="15.75" customHeight="1">
      <c r="A456" s="45"/>
      <c r="B456" s="45"/>
      <c r="C456" s="45"/>
      <c r="D456" s="45"/>
      <c r="E456" s="45"/>
      <c r="F456" s="45"/>
      <c r="G456" s="45"/>
      <c r="H456" s="45"/>
      <c r="I456" s="45"/>
      <c r="J456" s="45"/>
      <c r="K456" s="45"/>
      <c r="L456" s="45"/>
      <c r="M456" s="45"/>
    </row>
    <row r="457" ht="15.75" customHeight="1">
      <c r="A457" s="45"/>
      <c r="B457" s="45"/>
      <c r="C457" s="45"/>
      <c r="D457" s="45"/>
      <c r="E457" s="45"/>
      <c r="F457" s="45"/>
      <c r="G457" s="45"/>
      <c r="H457" s="45"/>
      <c r="I457" s="45"/>
      <c r="J457" s="45"/>
      <c r="K457" s="45"/>
      <c r="L457" s="45"/>
      <c r="M457" s="45"/>
    </row>
    <row r="458" ht="15.75" customHeight="1">
      <c r="A458" s="45"/>
      <c r="B458" s="45"/>
      <c r="C458" s="45"/>
      <c r="D458" s="45"/>
      <c r="E458" s="45"/>
      <c r="F458" s="45"/>
      <c r="G458" s="45"/>
      <c r="H458" s="45"/>
      <c r="I458" s="45"/>
      <c r="J458" s="45"/>
      <c r="K458" s="45"/>
      <c r="L458" s="45"/>
      <c r="M458" s="45"/>
    </row>
    <row r="459" ht="15.75" customHeight="1">
      <c r="A459" s="45"/>
      <c r="B459" s="45"/>
      <c r="C459" s="45"/>
      <c r="D459" s="45"/>
      <c r="E459" s="45"/>
      <c r="F459" s="45"/>
      <c r="G459" s="45"/>
      <c r="H459" s="45"/>
      <c r="I459" s="45"/>
      <c r="J459" s="45"/>
      <c r="K459" s="45"/>
      <c r="L459" s="45"/>
      <c r="M459" s="45"/>
    </row>
    <row r="460" ht="15.75" customHeight="1">
      <c r="A460" s="45"/>
      <c r="B460" s="45"/>
      <c r="C460" s="45"/>
      <c r="D460" s="45"/>
      <c r="E460" s="45"/>
      <c r="F460" s="45"/>
      <c r="G460" s="45"/>
      <c r="H460" s="45"/>
      <c r="I460" s="45"/>
      <c r="J460" s="45"/>
      <c r="K460" s="45"/>
      <c r="L460" s="45"/>
      <c r="M460" s="45"/>
    </row>
    <row r="461" ht="15.75" customHeight="1">
      <c r="A461" s="45"/>
      <c r="B461" s="45"/>
      <c r="C461" s="45"/>
      <c r="D461" s="45"/>
      <c r="E461" s="45"/>
      <c r="F461" s="45"/>
      <c r="G461" s="45"/>
      <c r="H461" s="45"/>
      <c r="I461" s="45"/>
      <c r="J461" s="45"/>
      <c r="K461" s="45"/>
      <c r="L461" s="45"/>
      <c r="M461" s="45"/>
    </row>
    <row r="462" ht="15.75" customHeight="1">
      <c r="A462" s="45"/>
      <c r="B462" s="45"/>
      <c r="C462" s="45"/>
      <c r="D462" s="45"/>
      <c r="E462" s="45"/>
      <c r="F462" s="45"/>
      <c r="G462" s="45"/>
      <c r="H462" s="45"/>
      <c r="I462" s="45"/>
      <c r="J462" s="45"/>
      <c r="K462" s="45"/>
      <c r="L462" s="45"/>
      <c r="M462" s="45"/>
    </row>
    <row r="463" ht="15.75" customHeight="1">
      <c r="A463" s="45"/>
      <c r="B463" s="45"/>
      <c r="C463" s="45"/>
      <c r="D463" s="45"/>
      <c r="E463" s="45"/>
      <c r="F463" s="45"/>
      <c r="G463" s="45"/>
      <c r="H463" s="45"/>
      <c r="I463" s="45"/>
      <c r="J463" s="45"/>
      <c r="K463" s="45"/>
      <c r="L463" s="45"/>
      <c r="M463" s="45"/>
    </row>
    <row r="464" ht="15.75" customHeight="1">
      <c r="A464" s="45"/>
      <c r="B464" s="45"/>
      <c r="C464" s="45"/>
      <c r="D464" s="45"/>
      <c r="E464" s="45"/>
      <c r="F464" s="45"/>
      <c r="G464" s="45"/>
      <c r="H464" s="45"/>
      <c r="I464" s="45"/>
      <c r="J464" s="45"/>
      <c r="K464" s="45"/>
      <c r="L464" s="45"/>
      <c r="M464" s="45"/>
    </row>
    <row r="465" ht="15.75" customHeight="1">
      <c r="A465" s="45"/>
      <c r="B465" s="45"/>
      <c r="C465" s="45"/>
      <c r="D465" s="45"/>
      <c r="E465" s="45"/>
      <c r="F465" s="45"/>
      <c r="G465" s="45"/>
      <c r="H465" s="45"/>
      <c r="I465" s="45"/>
      <c r="J465" s="45"/>
      <c r="K465" s="45"/>
      <c r="L465" s="45"/>
      <c r="M465" s="45"/>
    </row>
    <row r="466" ht="15.75" customHeight="1">
      <c r="A466" s="45"/>
      <c r="B466" s="45"/>
      <c r="C466" s="45"/>
      <c r="D466" s="45"/>
      <c r="E466" s="45"/>
      <c r="F466" s="45"/>
      <c r="G466" s="45"/>
      <c r="H466" s="45"/>
      <c r="I466" s="45"/>
      <c r="J466" s="45"/>
      <c r="K466" s="45"/>
      <c r="L466" s="45"/>
      <c r="M466" s="45"/>
    </row>
    <row r="467" ht="15.75" customHeight="1">
      <c r="A467" s="45"/>
      <c r="B467" s="45"/>
      <c r="C467" s="45"/>
      <c r="D467" s="45"/>
      <c r="E467" s="45"/>
      <c r="F467" s="45"/>
      <c r="G467" s="45"/>
      <c r="H467" s="45"/>
      <c r="I467" s="45"/>
      <c r="J467" s="45"/>
      <c r="K467" s="45"/>
      <c r="L467" s="45"/>
      <c r="M467" s="45"/>
    </row>
    <row r="468" ht="15.75" customHeight="1">
      <c r="A468" s="45"/>
      <c r="B468" s="45"/>
      <c r="C468" s="45"/>
      <c r="D468" s="45"/>
      <c r="E468" s="45"/>
      <c r="F468" s="45"/>
      <c r="G468" s="45"/>
      <c r="H468" s="45"/>
      <c r="I468" s="45"/>
      <c r="J468" s="45"/>
      <c r="K468" s="45"/>
      <c r="L468" s="45"/>
      <c r="M468" s="45"/>
    </row>
    <row r="469" ht="15.75" customHeight="1">
      <c r="A469" s="45"/>
      <c r="B469" s="45"/>
      <c r="C469" s="45"/>
      <c r="D469" s="45"/>
      <c r="E469" s="45"/>
      <c r="F469" s="45"/>
      <c r="G469" s="45"/>
      <c r="H469" s="45"/>
      <c r="I469" s="45"/>
      <c r="J469" s="45"/>
      <c r="K469" s="45"/>
      <c r="L469" s="45"/>
      <c r="M469" s="45"/>
    </row>
    <row r="470" ht="15.75" customHeight="1">
      <c r="A470" s="45"/>
      <c r="B470" s="45"/>
      <c r="C470" s="45"/>
      <c r="D470" s="45"/>
      <c r="E470" s="45"/>
      <c r="F470" s="45"/>
      <c r="G470" s="45"/>
      <c r="H470" s="45"/>
      <c r="I470" s="45"/>
      <c r="J470" s="45"/>
      <c r="K470" s="45"/>
      <c r="L470" s="45"/>
      <c r="M470" s="45"/>
    </row>
    <row r="471" ht="15.75" customHeight="1">
      <c r="A471" s="45"/>
      <c r="B471" s="45"/>
      <c r="C471" s="45"/>
      <c r="D471" s="45"/>
      <c r="E471" s="45"/>
      <c r="F471" s="45"/>
      <c r="G471" s="45"/>
      <c r="H471" s="45"/>
      <c r="I471" s="45"/>
      <c r="J471" s="45"/>
      <c r="K471" s="45"/>
      <c r="L471" s="45"/>
      <c r="M471" s="45"/>
    </row>
    <row r="472" ht="15.75" customHeight="1">
      <c r="A472" s="45"/>
      <c r="B472" s="45"/>
      <c r="C472" s="45"/>
      <c r="D472" s="45"/>
      <c r="E472" s="45"/>
      <c r="F472" s="45"/>
      <c r="G472" s="45"/>
      <c r="H472" s="45"/>
      <c r="I472" s="45"/>
      <c r="J472" s="45"/>
      <c r="K472" s="45"/>
      <c r="L472" s="45"/>
      <c r="M472" s="45"/>
    </row>
    <row r="473" ht="15.75" customHeight="1">
      <c r="A473" s="45"/>
      <c r="B473" s="45"/>
      <c r="C473" s="45"/>
      <c r="D473" s="45"/>
      <c r="E473" s="45"/>
      <c r="F473" s="45"/>
      <c r="G473" s="45"/>
      <c r="H473" s="45"/>
      <c r="I473" s="45"/>
      <c r="J473" s="45"/>
      <c r="K473" s="45"/>
      <c r="L473" s="45"/>
      <c r="M473" s="45"/>
    </row>
    <row r="474" ht="15.75" customHeight="1">
      <c r="A474" s="45"/>
      <c r="B474" s="45"/>
      <c r="C474" s="45"/>
      <c r="D474" s="45"/>
      <c r="E474" s="45"/>
      <c r="F474" s="45"/>
      <c r="G474" s="45"/>
      <c r="H474" s="45"/>
      <c r="I474" s="45"/>
      <c r="J474" s="45"/>
      <c r="K474" s="45"/>
      <c r="L474" s="45"/>
      <c r="M474" s="45"/>
    </row>
    <row r="475" ht="15.75" customHeight="1">
      <c r="A475" s="45"/>
      <c r="B475" s="45"/>
      <c r="C475" s="45"/>
      <c r="D475" s="45"/>
      <c r="E475" s="45"/>
      <c r="F475" s="45"/>
      <c r="G475" s="45"/>
      <c r="H475" s="45"/>
      <c r="I475" s="45"/>
      <c r="J475" s="45"/>
      <c r="K475" s="45"/>
      <c r="L475" s="45"/>
      <c r="M475" s="45"/>
    </row>
    <row r="476" ht="15.75" customHeight="1">
      <c r="A476" s="45"/>
      <c r="B476" s="45"/>
      <c r="C476" s="45"/>
      <c r="D476" s="45"/>
      <c r="E476" s="45"/>
      <c r="F476" s="45"/>
      <c r="G476" s="45"/>
      <c r="H476" s="45"/>
      <c r="I476" s="45"/>
      <c r="J476" s="45"/>
      <c r="K476" s="45"/>
      <c r="L476" s="45"/>
      <c r="M476" s="45"/>
    </row>
    <row r="477" ht="15.75" customHeight="1">
      <c r="A477" s="45"/>
      <c r="B477" s="45"/>
      <c r="C477" s="45"/>
      <c r="D477" s="45"/>
      <c r="E477" s="45"/>
      <c r="F477" s="45"/>
      <c r="G477" s="45"/>
      <c r="H477" s="45"/>
      <c r="I477" s="45"/>
      <c r="J477" s="45"/>
      <c r="K477" s="45"/>
      <c r="L477" s="45"/>
      <c r="M477" s="45"/>
    </row>
    <row r="478" ht="15.75" customHeight="1">
      <c r="A478" s="45"/>
      <c r="B478" s="45"/>
      <c r="C478" s="45"/>
      <c r="D478" s="45"/>
      <c r="E478" s="45"/>
      <c r="F478" s="45"/>
      <c r="G478" s="45"/>
      <c r="H478" s="45"/>
      <c r="I478" s="45"/>
      <c r="J478" s="45"/>
      <c r="K478" s="45"/>
      <c r="L478" s="45"/>
      <c r="M478" s="45"/>
    </row>
    <row r="479" ht="15.75" customHeight="1">
      <c r="A479" s="45"/>
      <c r="B479" s="45"/>
      <c r="C479" s="45"/>
      <c r="D479" s="45"/>
      <c r="E479" s="45"/>
      <c r="F479" s="45"/>
      <c r="G479" s="45"/>
      <c r="H479" s="45"/>
      <c r="I479" s="45"/>
      <c r="J479" s="45"/>
      <c r="K479" s="45"/>
      <c r="L479" s="45"/>
      <c r="M479" s="45"/>
    </row>
    <row r="480" ht="15.75" customHeight="1">
      <c r="A480" s="45"/>
      <c r="B480" s="45"/>
      <c r="C480" s="45"/>
      <c r="D480" s="45"/>
      <c r="E480" s="45"/>
      <c r="F480" s="45"/>
      <c r="G480" s="45"/>
      <c r="H480" s="45"/>
      <c r="I480" s="45"/>
      <c r="J480" s="45"/>
      <c r="K480" s="45"/>
      <c r="L480" s="45"/>
      <c r="M480" s="45"/>
    </row>
    <row r="481" ht="15.75" customHeight="1">
      <c r="A481" s="45"/>
      <c r="B481" s="45"/>
      <c r="C481" s="45"/>
      <c r="D481" s="45"/>
      <c r="E481" s="45"/>
      <c r="F481" s="45"/>
      <c r="G481" s="45"/>
      <c r="H481" s="45"/>
      <c r="I481" s="45"/>
      <c r="J481" s="45"/>
      <c r="K481" s="45"/>
      <c r="L481" s="45"/>
      <c r="M481" s="45"/>
    </row>
    <row r="482" ht="15.75" customHeight="1">
      <c r="A482" s="45"/>
      <c r="B482" s="45"/>
      <c r="C482" s="45"/>
      <c r="D482" s="45"/>
      <c r="E482" s="45"/>
      <c r="F482" s="45"/>
      <c r="G482" s="45"/>
      <c r="H482" s="45"/>
      <c r="I482" s="45"/>
      <c r="J482" s="45"/>
      <c r="K482" s="45"/>
      <c r="L482" s="45"/>
      <c r="M482" s="45"/>
    </row>
    <row r="483" ht="15.75" customHeight="1">
      <c r="A483" s="45"/>
      <c r="B483" s="45"/>
      <c r="C483" s="45"/>
      <c r="D483" s="45"/>
      <c r="E483" s="45"/>
      <c r="F483" s="45"/>
      <c r="G483" s="45"/>
      <c r="H483" s="45"/>
      <c r="I483" s="45"/>
      <c r="J483" s="45"/>
      <c r="K483" s="45"/>
      <c r="L483" s="45"/>
      <c r="M483" s="45"/>
    </row>
    <row r="484" ht="15.75" customHeight="1">
      <c r="A484" s="45"/>
      <c r="B484" s="45"/>
      <c r="C484" s="45"/>
      <c r="D484" s="45"/>
      <c r="E484" s="45"/>
      <c r="F484" s="45"/>
      <c r="G484" s="45"/>
      <c r="H484" s="45"/>
      <c r="I484" s="45"/>
      <c r="J484" s="45"/>
      <c r="K484" s="45"/>
      <c r="L484" s="45"/>
      <c r="M484" s="45"/>
    </row>
    <row r="485" ht="15.75" customHeight="1">
      <c r="A485" s="45"/>
      <c r="B485" s="45"/>
      <c r="C485" s="45"/>
      <c r="D485" s="45"/>
      <c r="E485" s="45"/>
      <c r="F485" s="45"/>
      <c r="G485" s="45"/>
      <c r="H485" s="45"/>
      <c r="I485" s="45"/>
      <c r="J485" s="45"/>
      <c r="K485" s="45"/>
      <c r="L485" s="45"/>
      <c r="M485" s="45"/>
    </row>
    <row r="486" ht="15.75" customHeight="1">
      <c r="A486" s="45"/>
      <c r="B486" s="45"/>
      <c r="C486" s="45"/>
      <c r="D486" s="45"/>
      <c r="E486" s="45"/>
      <c r="F486" s="45"/>
      <c r="G486" s="45"/>
      <c r="H486" s="45"/>
      <c r="I486" s="45"/>
      <c r="J486" s="45"/>
      <c r="K486" s="45"/>
      <c r="L486" s="45"/>
      <c r="M486" s="45"/>
    </row>
    <row r="487" ht="15.75" customHeight="1">
      <c r="A487" s="45"/>
      <c r="B487" s="45"/>
      <c r="C487" s="45"/>
      <c r="D487" s="45"/>
      <c r="E487" s="45"/>
      <c r="F487" s="45"/>
      <c r="G487" s="45"/>
      <c r="H487" s="45"/>
      <c r="I487" s="45"/>
      <c r="J487" s="45"/>
      <c r="K487" s="45"/>
      <c r="L487" s="45"/>
      <c r="M487" s="45"/>
    </row>
    <row r="488" ht="15.75" customHeight="1">
      <c r="A488" s="45"/>
      <c r="B488" s="45"/>
      <c r="C488" s="45"/>
      <c r="D488" s="45"/>
      <c r="E488" s="45"/>
      <c r="F488" s="45"/>
      <c r="G488" s="45"/>
      <c r="H488" s="45"/>
      <c r="I488" s="45"/>
      <c r="J488" s="45"/>
      <c r="K488" s="45"/>
      <c r="L488" s="45"/>
      <c r="M488" s="45"/>
    </row>
    <row r="489" ht="15.75" customHeight="1">
      <c r="A489" s="45"/>
      <c r="B489" s="45"/>
      <c r="C489" s="45"/>
      <c r="D489" s="45"/>
      <c r="E489" s="45"/>
      <c r="F489" s="45"/>
      <c r="G489" s="45"/>
      <c r="H489" s="45"/>
      <c r="I489" s="45"/>
      <c r="J489" s="45"/>
      <c r="K489" s="45"/>
      <c r="L489" s="45"/>
      <c r="M489" s="45"/>
    </row>
    <row r="490" ht="15.75" customHeight="1">
      <c r="A490" s="45"/>
      <c r="B490" s="45"/>
      <c r="C490" s="45"/>
      <c r="D490" s="45"/>
      <c r="E490" s="45"/>
      <c r="F490" s="45"/>
      <c r="G490" s="45"/>
      <c r="H490" s="45"/>
      <c r="I490" s="45"/>
      <c r="J490" s="45"/>
      <c r="K490" s="45"/>
      <c r="L490" s="45"/>
      <c r="M490" s="45"/>
    </row>
    <row r="491" ht="15.75" customHeight="1">
      <c r="A491" s="45"/>
      <c r="B491" s="45"/>
      <c r="C491" s="45"/>
      <c r="D491" s="45"/>
      <c r="E491" s="45"/>
      <c r="F491" s="45"/>
      <c r="G491" s="45"/>
      <c r="H491" s="45"/>
      <c r="I491" s="45"/>
      <c r="J491" s="45"/>
      <c r="K491" s="45"/>
      <c r="L491" s="45"/>
      <c r="M491" s="45"/>
    </row>
    <row r="492" ht="15.75" customHeight="1">
      <c r="A492" s="45"/>
      <c r="B492" s="45"/>
      <c r="C492" s="45"/>
      <c r="D492" s="45"/>
      <c r="E492" s="45"/>
      <c r="F492" s="45"/>
      <c r="G492" s="45"/>
      <c r="H492" s="45"/>
      <c r="I492" s="45"/>
      <c r="J492" s="45"/>
      <c r="K492" s="45"/>
      <c r="L492" s="45"/>
      <c r="M492" s="45"/>
    </row>
    <row r="493" ht="15.75" customHeight="1">
      <c r="A493" s="45"/>
      <c r="B493" s="45"/>
      <c r="C493" s="45"/>
      <c r="D493" s="45"/>
      <c r="E493" s="45"/>
      <c r="F493" s="45"/>
      <c r="G493" s="45"/>
      <c r="H493" s="45"/>
      <c r="I493" s="45"/>
      <c r="J493" s="45"/>
      <c r="K493" s="45"/>
      <c r="L493" s="45"/>
      <c r="M493" s="45"/>
    </row>
    <row r="494" ht="15.75" customHeight="1">
      <c r="A494" s="45"/>
      <c r="B494" s="45"/>
      <c r="C494" s="45"/>
      <c r="D494" s="45"/>
      <c r="E494" s="45"/>
      <c r="F494" s="45"/>
      <c r="G494" s="45"/>
      <c r="H494" s="45"/>
      <c r="I494" s="45"/>
      <c r="J494" s="45"/>
      <c r="K494" s="45"/>
      <c r="L494" s="45"/>
      <c r="M494" s="45"/>
    </row>
    <row r="495" ht="15.75" customHeight="1">
      <c r="A495" s="45"/>
      <c r="B495" s="45"/>
      <c r="C495" s="45"/>
      <c r="D495" s="45"/>
      <c r="E495" s="45"/>
      <c r="F495" s="45"/>
      <c r="G495" s="45"/>
      <c r="H495" s="45"/>
      <c r="I495" s="45"/>
      <c r="J495" s="45"/>
      <c r="K495" s="45"/>
      <c r="L495" s="45"/>
      <c r="M495" s="45"/>
    </row>
    <row r="496" ht="15.75" customHeight="1">
      <c r="A496" s="45"/>
      <c r="B496" s="45"/>
      <c r="C496" s="45"/>
      <c r="D496" s="45"/>
      <c r="E496" s="45"/>
      <c r="F496" s="45"/>
      <c r="G496" s="45"/>
      <c r="H496" s="45"/>
      <c r="I496" s="45"/>
      <c r="J496" s="45"/>
      <c r="K496" s="45"/>
      <c r="L496" s="45"/>
      <c r="M496" s="45"/>
    </row>
    <row r="497" ht="15.75" customHeight="1">
      <c r="A497" s="45"/>
      <c r="B497" s="45"/>
      <c r="C497" s="45"/>
      <c r="D497" s="45"/>
      <c r="E497" s="45"/>
      <c r="F497" s="45"/>
      <c r="G497" s="45"/>
      <c r="H497" s="45"/>
      <c r="I497" s="45"/>
      <c r="J497" s="45"/>
      <c r="K497" s="45"/>
      <c r="L497" s="45"/>
      <c r="M497" s="45"/>
    </row>
    <row r="498" ht="15.75" customHeight="1">
      <c r="A498" s="45"/>
      <c r="B498" s="45"/>
      <c r="C498" s="45"/>
      <c r="D498" s="45"/>
      <c r="E498" s="45"/>
      <c r="F498" s="45"/>
      <c r="G498" s="45"/>
      <c r="H498" s="45"/>
      <c r="I498" s="45"/>
      <c r="J498" s="45"/>
      <c r="K498" s="45"/>
      <c r="L498" s="45"/>
      <c r="M498" s="45"/>
    </row>
    <row r="499" ht="15.75" customHeight="1">
      <c r="A499" s="45"/>
      <c r="B499" s="45"/>
      <c r="C499" s="45"/>
      <c r="D499" s="45"/>
      <c r="E499" s="45"/>
      <c r="F499" s="45"/>
      <c r="G499" s="45"/>
      <c r="H499" s="45"/>
      <c r="I499" s="45"/>
      <c r="J499" s="45"/>
      <c r="K499" s="45"/>
      <c r="L499" s="45"/>
      <c r="M499" s="45"/>
    </row>
    <row r="500" ht="15.75" customHeight="1">
      <c r="A500" s="45"/>
      <c r="B500" s="45"/>
      <c r="C500" s="45"/>
      <c r="D500" s="45"/>
      <c r="E500" s="45"/>
      <c r="F500" s="45"/>
      <c r="G500" s="45"/>
      <c r="H500" s="45"/>
      <c r="I500" s="45"/>
      <c r="J500" s="45"/>
      <c r="K500" s="45"/>
      <c r="L500" s="45"/>
      <c r="M500" s="45"/>
    </row>
    <row r="501" ht="15.75" customHeight="1">
      <c r="A501" s="45"/>
      <c r="B501" s="45"/>
      <c r="C501" s="45"/>
      <c r="D501" s="45"/>
      <c r="E501" s="45"/>
      <c r="F501" s="45"/>
      <c r="G501" s="45"/>
      <c r="H501" s="45"/>
      <c r="I501" s="45"/>
      <c r="J501" s="45"/>
      <c r="K501" s="45"/>
      <c r="L501" s="45"/>
      <c r="M501" s="45"/>
    </row>
    <row r="502" ht="15.75" customHeight="1">
      <c r="A502" s="45"/>
      <c r="B502" s="45"/>
      <c r="C502" s="45"/>
      <c r="D502" s="45"/>
      <c r="E502" s="45"/>
      <c r="F502" s="45"/>
      <c r="G502" s="45"/>
      <c r="H502" s="45"/>
      <c r="I502" s="45"/>
      <c r="J502" s="45"/>
      <c r="K502" s="45"/>
      <c r="L502" s="45"/>
      <c r="M502" s="45"/>
    </row>
    <row r="503" ht="15.75" customHeight="1">
      <c r="A503" s="45"/>
      <c r="B503" s="45"/>
      <c r="C503" s="45"/>
      <c r="D503" s="45"/>
      <c r="E503" s="45"/>
      <c r="F503" s="45"/>
      <c r="G503" s="45"/>
      <c r="H503" s="45"/>
      <c r="I503" s="45"/>
      <c r="J503" s="45"/>
      <c r="K503" s="45"/>
      <c r="L503" s="45"/>
      <c r="M503" s="45"/>
    </row>
    <row r="504" ht="15.75" customHeight="1">
      <c r="A504" s="45"/>
      <c r="B504" s="45"/>
      <c r="C504" s="45"/>
      <c r="D504" s="45"/>
      <c r="E504" s="45"/>
      <c r="F504" s="45"/>
      <c r="G504" s="45"/>
      <c r="H504" s="45"/>
      <c r="I504" s="45"/>
      <c r="J504" s="45"/>
      <c r="K504" s="45"/>
      <c r="L504" s="45"/>
      <c r="M504" s="45"/>
    </row>
    <row r="505" ht="15.75" customHeight="1">
      <c r="A505" s="45"/>
      <c r="B505" s="45"/>
      <c r="C505" s="45"/>
      <c r="D505" s="45"/>
      <c r="E505" s="45"/>
      <c r="F505" s="45"/>
      <c r="G505" s="45"/>
      <c r="H505" s="45"/>
      <c r="I505" s="45"/>
      <c r="J505" s="45"/>
      <c r="K505" s="45"/>
      <c r="L505" s="45"/>
      <c r="M505" s="45"/>
    </row>
    <row r="506" ht="15.75" customHeight="1">
      <c r="A506" s="45"/>
      <c r="B506" s="45"/>
      <c r="C506" s="45"/>
      <c r="D506" s="45"/>
      <c r="E506" s="45"/>
      <c r="F506" s="45"/>
      <c r="G506" s="45"/>
      <c r="H506" s="45"/>
      <c r="I506" s="45"/>
      <c r="J506" s="45"/>
      <c r="K506" s="45"/>
      <c r="L506" s="45"/>
      <c r="M506" s="45"/>
    </row>
    <row r="507" ht="15.75" customHeight="1">
      <c r="A507" s="45"/>
      <c r="B507" s="45"/>
      <c r="C507" s="45"/>
      <c r="D507" s="45"/>
      <c r="E507" s="45"/>
      <c r="F507" s="45"/>
      <c r="G507" s="45"/>
      <c r="H507" s="45"/>
      <c r="I507" s="45"/>
      <c r="J507" s="45"/>
      <c r="K507" s="45"/>
      <c r="L507" s="45"/>
      <c r="M507" s="45"/>
    </row>
    <row r="508" ht="15.75" customHeight="1">
      <c r="A508" s="45"/>
      <c r="B508" s="45"/>
      <c r="C508" s="45"/>
      <c r="D508" s="45"/>
      <c r="E508" s="45"/>
      <c r="F508" s="45"/>
      <c r="G508" s="45"/>
      <c r="H508" s="45"/>
      <c r="I508" s="45"/>
      <c r="J508" s="45"/>
      <c r="K508" s="45"/>
      <c r="L508" s="45"/>
      <c r="M508" s="45"/>
    </row>
    <row r="509" ht="15.75" customHeight="1">
      <c r="A509" s="45"/>
      <c r="B509" s="45"/>
      <c r="C509" s="45"/>
      <c r="D509" s="45"/>
      <c r="E509" s="45"/>
      <c r="F509" s="45"/>
      <c r="G509" s="45"/>
      <c r="H509" s="45"/>
      <c r="I509" s="45"/>
      <c r="J509" s="45"/>
      <c r="K509" s="45"/>
      <c r="L509" s="45"/>
      <c r="M509" s="45"/>
    </row>
    <row r="510" ht="15.75" customHeight="1">
      <c r="A510" s="45"/>
      <c r="B510" s="45"/>
      <c r="C510" s="45"/>
      <c r="D510" s="45"/>
      <c r="E510" s="45"/>
      <c r="F510" s="45"/>
      <c r="G510" s="45"/>
      <c r="H510" s="45"/>
      <c r="I510" s="45"/>
      <c r="J510" s="45"/>
      <c r="K510" s="45"/>
      <c r="L510" s="45"/>
      <c r="M510" s="45"/>
    </row>
    <row r="511" ht="15.75" customHeight="1">
      <c r="A511" s="45"/>
      <c r="B511" s="45"/>
      <c r="C511" s="45"/>
      <c r="D511" s="45"/>
      <c r="E511" s="45"/>
      <c r="F511" s="45"/>
      <c r="G511" s="45"/>
      <c r="H511" s="45"/>
      <c r="I511" s="45"/>
      <c r="J511" s="45"/>
      <c r="K511" s="45"/>
      <c r="L511" s="45"/>
      <c r="M511" s="45"/>
    </row>
    <row r="512" ht="15.75" customHeight="1">
      <c r="A512" s="45"/>
      <c r="B512" s="45"/>
      <c r="C512" s="45"/>
      <c r="D512" s="45"/>
      <c r="E512" s="45"/>
      <c r="F512" s="45"/>
      <c r="G512" s="45"/>
      <c r="H512" s="45"/>
      <c r="I512" s="45"/>
      <c r="J512" s="45"/>
      <c r="K512" s="45"/>
      <c r="L512" s="45"/>
      <c r="M512" s="45"/>
    </row>
    <row r="513" ht="15.75" customHeight="1">
      <c r="A513" s="45"/>
      <c r="B513" s="45"/>
      <c r="C513" s="45"/>
      <c r="D513" s="45"/>
      <c r="E513" s="45"/>
      <c r="F513" s="45"/>
      <c r="G513" s="45"/>
      <c r="H513" s="45"/>
      <c r="I513" s="45"/>
      <c r="J513" s="45"/>
      <c r="K513" s="45"/>
      <c r="L513" s="45"/>
      <c r="M513" s="45"/>
    </row>
    <row r="514" ht="15.75" customHeight="1">
      <c r="A514" s="45"/>
      <c r="B514" s="45"/>
      <c r="C514" s="45"/>
      <c r="D514" s="45"/>
      <c r="E514" s="45"/>
      <c r="F514" s="45"/>
      <c r="G514" s="45"/>
      <c r="H514" s="45"/>
      <c r="I514" s="45"/>
      <c r="J514" s="45"/>
      <c r="K514" s="45"/>
      <c r="L514" s="45"/>
      <c r="M514" s="45"/>
    </row>
    <row r="515" ht="15.75" customHeight="1">
      <c r="A515" s="45"/>
      <c r="B515" s="45"/>
      <c r="C515" s="45"/>
      <c r="D515" s="45"/>
      <c r="E515" s="45"/>
      <c r="F515" s="45"/>
      <c r="G515" s="45"/>
      <c r="H515" s="45"/>
      <c r="I515" s="45"/>
      <c r="J515" s="45"/>
      <c r="K515" s="45"/>
      <c r="L515" s="45"/>
      <c r="M515" s="45"/>
    </row>
    <row r="516" ht="15.75" customHeight="1">
      <c r="A516" s="45"/>
      <c r="B516" s="45"/>
      <c r="C516" s="45"/>
      <c r="D516" s="45"/>
      <c r="E516" s="45"/>
      <c r="F516" s="45"/>
      <c r="G516" s="45"/>
      <c r="H516" s="45"/>
      <c r="I516" s="45"/>
      <c r="J516" s="45"/>
      <c r="K516" s="45"/>
      <c r="L516" s="45"/>
      <c r="M516" s="45"/>
    </row>
    <row r="517" ht="15.75" customHeight="1">
      <c r="A517" s="45"/>
      <c r="B517" s="45"/>
      <c r="C517" s="45"/>
      <c r="D517" s="45"/>
      <c r="E517" s="45"/>
      <c r="F517" s="45"/>
      <c r="G517" s="45"/>
      <c r="H517" s="45"/>
      <c r="I517" s="45"/>
      <c r="J517" s="45"/>
      <c r="K517" s="45"/>
      <c r="L517" s="45"/>
      <c r="M517" s="45"/>
    </row>
    <row r="518" ht="15.75" customHeight="1">
      <c r="A518" s="45"/>
      <c r="B518" s="45"/>
      <c r="C518" s="45"/>
      <c r="D518" s="45"/>
      <c r="E518" s="45"/>
      <c r="F518" s="45"/>
      <c r="G518" s="45"/>
      <c r="H518" s="45"/>
      <c r="I518" s="45"/>
      <c r="J518" s="45"/>
      <c r="K518" s="45"/>
      <c r="L518" s="45"/>
      <c r="M518" s="45"/>
    </row>
    <row r="519" ht="15.75" customHeight="1">
      <c r="A519" s="45"/>
      <c r="B519" s="45"/>
      <c r="C519" s="45"/>
      <c r="D519" s="45"/>
      <c r="E519" s="45"/>
      <c r="F519" s="45"/>
      <c r="G519" s="45"/>
      <c r="H519" s="45"/>
      <c r="I519" s="45"/>
      <c r="J519" s="45"/>
      <c r="K519" s="45"/>
      <c r="L519" s="45"/>
      <c r="M519" s="45"/>
    </row>
    <row r="520" ht="15.75" customHeight="1">
      <c r="A520" s="45"/>
      <c r="B520" s="45"/>
      <c r="C520" s="45"/>
      <c r="D520" s="45"/>
      <c r="E520" s="45"/>
      <c r="F520" s="45"/>
      <c r="G520" s="45"/>
      <c r="H520" s="45"/>
      <c r="I520" s="45"/>
      <c r="J520" s="45"/>
      <c r="K520" s="45"/>
      <c r="L520" s="45"/>
      <c r="M520" s="45"/>
    </row>
    <row r="521" ht="15.75" customHeight="1">
      <c r="A521" s="45"/>
      <c r="B521" s="45"/>
      <c r="C521" s="45"/>
      <c r="D521" s="45"/>
      <c r="E521" s="45"/>
      <c r="F521" s="45"/>
      <c r="G521" s="45"/>
      <c r="H521" s="45"/>
      <c r="I521" s="45"/>
      <c r="J521" s="45"/>
      <c r="K521" s="45"/>
      <c r="L521" s="45"/>
      <c r="M521" s="45"/>
    </row>
    <row r="522" ht="15.75" customHeight="1">
      <c r="A522" s="45"/>
      <c r="B522" s="45"/>
      <c r="C522" s="45"/>
      <c r="D522" s="45"/>
      <c r="E522" s="45"/>
      <c r="F522" s="45"/>
      <c r="G522" s="45"/>
      <c r="H522" s="45"/>
      <c r="I522" s="45"/>
      <c r="J522" s="45"/>
      <c r="K522" s="45"/>
      <c r="L522" s="45"/>
      <c r="M522" s="45"/>
    </row>
    <row r="523" ht="15.75" customHeight="1">
      <c r="A523" s="45"/>
      <c r="B523" s="45"/>
      <c r="C523" s="45"/>
      <c r="D523" s="45"/>
      <c r="E523" s="45"/>
      <c r="F523" s="45"/>
      <c r="G523" s="45"/>
      <c r="H523" s="45"/>
      <c r="I523" s="45"/>
      <c r="J523" s="45"/>
      <c r="K523" s="45"/>
      <c r="L523" s="45"/>
      <c r="M523" s="45"/>
    </row>
    <row r="524" ht="15.75" customHeight="1">
      <c r="A524" s="45"/>
      <c r="B524" s="45"/>
      <c r="C524" s="45"/>
      <c r="D524" s="45"/>
      <c r="E524" s="45"/>
      <c r="F524" s="45"/>
      <c r="G524" s="45"/>
      <c r="H524" s="45"/>
      <c r="I524" s="45"/>
      <c r="J524" s="45"/>
      <c r="K524" s="45"/>
      <c r="L524" s="45"/>
      <c r="M524" s="45"/>
    </row>
    <row r="525" ht="15.75" customHeight="1">
      <c r="A525" s="45"/>
      <c r="B525" s="45"/>
      <c r="C525" s="45"/>
      <c r="D525" s="45"/>
      <c r="E525" s="45"/>
      <c r="F525" s="45"/>
      <c r="G525" s="45"/>
      <c r="H525" s="45"/>
      <c r="I525" s="45"/>
      <c r="J525" s="45"/>
      <c r="K525" s="45"/>
      <c r="L525" s="45"/>
      <c r="M525" s="45"/>
    </row>
    <row r="526" ht="15.75" customHeight="1">
      <c r="A526" s="45"/>
      <c r="B526" s="45"/>
      <c r="C526" s="45"/>
      <c r="D526" s="45"/>
      <c r="E526" s="45"/>
      <c r="F526" s="45"/>
      <c r="G526" s="45"/>
      <c r="H526" s="45"/>
      <c r="I526" s="45"/>
      <c r="J526" s="45"/>
      <c r="K526" s="45"/>
      <c r="L526" s="45"/>
      <c r="M526" s="45"/>
    </row>
    <row r="527" ht="15.75" customHeight="1">
      <c r="A527" s="45"/>
      <c r="B527" s="45"/>
      <c r="C527" s="45"/>
      <c r="D527" s="45"/>
      <c r="E527" s="45"/>
      <c r="F527" s="45"/>
      <c r="G527" s="45"/>
      <c r="H527" s="45"/>
      <c r="I527" s="45"/>
      <c r="J527" s="45"/>
      <c r="K527" s="45"/>
      <c r="L527" s="45"/>
      <c r="M527" s="45"/>
    </row>
    <row r="528" ht="15.75" customHeight="1">
      <c r="A528" s="45"/>
      <c r="B528" s="45"/>
      <c r="C528" s="45"/>
      <c r="D528" s="45"/>
      <c r="E528" s="45"/>
      <c r="F528" s="45"/>
      <c r="G528" s="45"/>
      <c r="H528" s="45"/>
      <c r="I528" s="45"/>
      <c r="J528" s="45"/>
      <c r="K528" s="45"/>
      <c r="L528" s="45"/>
      <c r="M528" s="45"/>
    </row>
    <row r="529" ht="15.75" customHeight="1">
      <c r="A529" s="45"/>
      <c r="B529" s="45"/>
      <c r="C529" s="45"/>
      <c r="D529" s="45"/>
      <c r="E529" s="45"/>
      <c r="F529" s="45"/>
      <c r="G529" s="45"/>
      <c r="H529" s="45"/>
      <c r="I529" s="45"/>
      <c r="J529" s="45"/>
      <c r="K529" s="45"/>
      <c r="L529" s="45"/>
      <c r="M529" s="45"/>
    </row>
    <row r="530" ht="15.75" customHeight="1">
      <c r="A530" s="45"/>
      <c r="B530" s="45"/>
      <c r="C530" s="45"/>
      <c r="D530" s="45"/>
      <c r="E530" s="45"/>
      <c r="F530" s="45"/>
      <c r="G530" s="45"/>
      <c r="H530" s="45"/>
      <c r="I530" s="45"/>
      <c r="J530" s="45"/>
      <c r="K530" s="45"/>
      <c r="L530" s="45"/>
      <c r="M530" s="45"/>
    </row>
    <row r="531" ht="15.75" customHeight="1">
      <c r="A531" s="45"/>
      <c r="B531" s="45"/>
      <c r="C531" s="45"/>
      <c r="D531" s="45"/>
      <c r="E531" s="45"/>
      <c r="F531" s="45"/>
      <c r="G531" s="45"/>
      <c r="H531" s="45"/>
      <c r="I531" s="45"/>
      <c r="J531" s="45"/>
      <c r="K531" s="45"/>
      <c r="L531" s="45"/>
      <c r="M531" s="45"/>
    </row>
    <row r="532" ht="15.75" customHeight="1">
      <c r="A532" s="45"/>
      <c r="B532" s="45"/>
      <c r="C532" s="45"/>
      <c r="D532" s="45"/>
      <c r="E532" s="45"/>
      <c r="F532" s="45"/>
      <c r="G532" s="45"/>
      <c r="H532" s="45"/>
      <c r="I532" s="45"/>
      <c r="J532" s="45"/>
      <c r="K532" s="45"/>
      <c r="L532" s="45"/>
      <c r="M532" s="45"/>
    </row>
    <row r="533" ht="15.75" customHeight="1">
      <c r="A533" s="45"/>
      <c r="B533" s="45"/>
      <c r="C533" s="45"/>
      <c r="D533" s="45"/>
      <c r="E533" s="45"/>
      <c r="F533" s="45"/>
      <c r="G533" s="45"/>
      <c r="H533" s="45"/>
      <c r="I533" s="45"/>
      <c r="J533" s="45"/>
      <c r="K533" s="45"/>
      <c r="L533" s="45"/>
      <c r="M533" s="45"/>
    </row>
    <row r="534" ht="15.75" customHeight="1">
      <c r="A534" s="45"/>
      <c r="B534" s="45"/>
      <c r="C534" s="45"/>
      <c r="D534" s="45"/>
      <c r="E534" s="45"/>
      <c r="F534" s="45"/>
      <c r="G534" s="45"/>
      <c r="H534" s="45"/>
      <c r="I534" s="45"/>
      <c r="J534" s="45"/>
      <c r="K534" s="45"/>
      <c r="L534" s="45"/>
      <c r="M534" s="45"/>
    </row>
    <row r="535" ht="15.75" customHeight="1">
      <c r="A535" s="45"/>
      <c r="B535" s="45"/>
      <c r="C535" s="45"/>
      <c r="D535" s="45"/>
      <c r="E535" s="45"/>
      <c r="F535" s="45"/>
      <c r="G535" s="45"/>
      <c r="H535" s="45"/>
      <c r="I535" s="45"/>
      <c r="J535" s="45"/>
      <c r="K535" s="45"/>
      <c r="L535" s="45"/>
      <c r="M535" s="45"/>
    </row>
    <row r="536" ht="15.75" customHeight="1">
      <c r="A536" s="45"/>
      <c r="B536" s="45"/>
      <c r="C536" s="45"/>
      <c r="D536" s="45"/>
      <c r="E536" s="45"/>
      <c r="F536" s="45"/>
      <c r="G536" s="45"/>
      <c r="H536" s="45"/>
      <c r="I536" s="45"/>
      <c r="J536" s="45"/>
      <c r="K536" s="45"/>
      <c r="L536" s="45"/>
      <c r="M536" s="45"/>
    </row>
    <row r="537" ht="15.75" customHeight="1">
      <c r="A537" s="45"/>
      <c r="B537" s="45"/>
      <c r="C537" s="45"/>
      <c r="D537" s="45"/>
      <c r="E537" s="45"/>
      <c r="F537" s="45"/>
      <c r="G537" s="45"/>
      <c r="H537" s="45"/>
      <c r="I537" s="45"/>
      <c r="J537" s="45"/>
      <c r="K537" s="45"/>
      <c r="L537" s="45"/>
      <c r="M537" s="45"/>
    </row>
    <row r="538" ht="15.75" customHeight="1">
      <c r="A538" s="45"/>
      <c r="B538" s="45"/>
      <c r="C538" s="45"/>
      <c r="D538" s="45"/>
      <c r="E538" s="45"/>
      <c r="F538" s="45"/>
      <c r="G538" s="45"/>
      <c r="H538" s="45"/>
      <c r="I538" s="45"/>
      <c r="J538" s="45"/>
      <c r="K538" s="45"/>
      <c r="L538" s="45"/>
      <c r="M538" s="45"/>
    </row>
    <row r="539" ht="15.75" customHeight="1">
      <c r="A539" s="45"/>
      <c r="B539" s="45"/>
      <c r="C539" s="45"/>
      <c r="D539" s="45"/>
      <c r="E539" s="45"/>
      <c r="F539" s="45"/>
      <c r="G539" s="45"/>
      <c r="H539" s="45"/>
      <c r="I539" s="45"/>
      <c r="J539" s="45"/>
      <c r="K539" s="45"/>
      <c r="L539" s="45"/>
      <c r="M539" s="45"/>
    </row>
    <row r="540" ht="15.75" customHeight="1">
      <c r="A540" s="45"/>
      <c r="B540" s="45"/>
      <c r="C540" s="45"/>
      <c r="D540" s="45"/>
      <c r="E540" s="45"/>
      <c r="F540" s="45"/>
      <c r="G540" s="45"/>
      <c r="H540" s="45"/>
      <c r="I540" s="45"/>
      <c r="J540" s="45"/>
      <c r="K540" s="45"/>
      <c r="L540" s="45"/>
      <c r="M540" s="45"/>
    </row>
    <row r="541" ht="15.75" customHeight="1">
      <c r="A541" s="45"/>
      <c r="B541" s="45"/>
      <c r="C541" s="45"/>
      <c r="D541" s="45"/>
      <c r="E541" s="45"/>
      <c r="F541" s="45"/>
      <c r="G541" s="45"/>
      <c r="H541" s="45"/>
      <c r="I541" s="45"/>
      <c r="J541" s="45"/>
      <c r="K541" s="45"/>
      <c r="L541" s="45"/>
      <c r="M541" s="45"/>
    </row>
    <row r="542" ht="15.75" customHeight="1">
      <c r="A542" s="45"/>
      <c r="B542" s="45"/>
      <c r="C542" s="45"/>
      <c r="D542" s="45"/>
      <c r="E542" s="45"/>
      <c r="F542" s="45"/>
      <c r="G542" s="45"/>
      <c r="H542" s="45"/>
      <c r="I542" s="45"/>
      <c r="J542" s="45"/>
      <c r="K542" s="45"/>
      <c r="L542" s="45"/>
      <c r="M542" s="45"/>
    </row>
    <row r="543" ht="15.75" customHeight="1">
      <c r="A543" s="45"/>
      <c r="B543" s="45"/>
      <c r="C543" s="45"/>
      <c r="D543" s="45"/>
      <c r="E543" s="45"/>
      <c r="F543" s="45"/>
      <c r="G543" s="45"/>
      <c r="H543" s="45"/>
      <c r="I543" s="45"/>
      <c r="J543" s="45"/>
      <c r="K543" s="45"/>
      <c r="L543" s="45"/>
      <c r="M543" s="45"/>
    </row>
    <row r="544" ht="15.75" customHeight="1">
      <c r="A544" s="45"/>
      <c r="B544" s="45"/>
      <c r="C544" s="45"/>
      <c r="D544" s="45"/>
      <c r="E544" s="45"/>
      <c r="F544" s="45"/>
      <c r="G544" s="45"/>
      <c r="H544" s="45"/>
      <c r="I544" s="45"/>
      <c r="J544" s="45"/>
      <c r="K544" s="45"/>
      <c r="L544" s="45"/>
      <c r="M544" s="45"/>
    </row>
    <row r="545" ht="15.75" customHeight="1">
      <c r="A545" s="45"/>
      <c r="B545" s="45"/>
      <c r="C545" s="45"/>
      <c r="D545" s="45"/>
      <c r="E545" s="45"/>
      <c r="F545" s="45"/>
      <c r="G545" s="45"/>
      <c r="H545" s="45"/>
      <c r="I545" s="45"/>
      <c r="J545" s="45"/>
      <c r="K545" s="45"/>
      <c r="L545" s="45"/>
      <c r="M545" s="45"/>
    </row>
    <row r="546" ht="15.75" customHeight="1">
      <c r="A546" s="45"/>
      <c r="B546" s="45"/>
      <c r="C546" s="45"/>
      <c r="D546" s="45"/>
      <c r="E546" s="45"/>
      <c r="F546" s="45"/>
      <c r="G546" s="45"/>
      <c r="H546" s="45"/>
      <c r="I546" s="45"/>
      <c r="J546" s="45"/>
      <c r="K546" s="45"/>
      <c r="L546" s="45"/>
      <c r="M546" s="45"/>
    </row>
    <row r="547" ht="15.75" customHeight="1">
      <c r="A547" s="45"/>
      <c r="B547" s="45"/>
      <c r="C547" s="45"/>
      <c r="D547" s="45"/>
      <c r="E547" s="45"/>
      <c r="F547" s="45"/>
      <c r="G547" s="45"/>
      <c r="H547" s="45"/>
      <c r="I547" s="45"/>
      <c r="J547" s="45"/>
      <c r="K547" s="45"/>
      <c r="L547" s="45"/>
      <c r="M547" s="45"/>
    </row>
    <row r="548" ht="15.75" customHeight="1">
      <c r="A548" s="45"/>
      <c r="B548" s="45"/>
      <c r="C548" s="45"/>
      <c r="D548" s="45"/>
      <c r="E548" s="45"/>
      <c r="F548" s="45"/>
      <c r="G548" s="45"/>
      <c r="H548" s="45"/>
      <c r="I548" s="45"/>
      <c r="J548" s="45"/>
      <c r="K548" s="45"/>
      <c r="L548" s="45"/>
      <c r="M548" s="45"/>
    </row>
    <row r="549" ht="15.75" customHeight="1">
      <c r="A549" s="45"/>
      <c r="B549" s="45"/>
      <c r="C549" s="45"/>
      <c r="D549" s="45"/>
      <c r="E549" s="45"/>
      <c r="F549" s="45"/>
      <c r="G549" s="45"/>
      <c r="H549" s="45"/>
      <c r="I549" s="45"/>
      <c r="J549" s="45"/>
      <c r="K549" s="45"/>
      <c r="L549" s="45"/>
      <c r="M549" s="45"/>
    </row>
    <row r="550" ht="15.75" customHeight="1">
      <c r="A550" s="45"/>
      <c r="B550" s="45"/>
      <c r="C550" s="45"/>
      <c r="D550" s="45"/>
      <c r="E550" s="45"/>
      <c r="F550" s="45"/>
      <c r="G550" s="45"/>
      <c r="H550" s="45"/>
      <c r="I550" s="45"/>
      <c r="J550" s="45"/>
      <c r="K550" s="45"/>
      <c r="L550" s="45"/>
      <c r="M550" s="45"/>
    </row>
    <row r="551" ht="15.75" customHeight="1">
      <c r="A551" s="45"/>
      <c r="B551" s="45"/>
      <c r="C551" s="45"/>
      <c r="D551" s="45"/>
      <c r="E551" s="45"/>
      <c r="F551" s="45"/>
      <c r="G551" s="45"/>
      <c r="H551" s="45"/>
      <c r="I551" s="45"/>
      <c r="J551" s="45"/>
      <c r="K551" s="45"/>
      <c r="L551" s="45"/>
      <c r="M551" s="45"/>
    </row>
    <row r="552" ht="15.75" customHeight="1">
      <c r="A552" s="45"/>
      <c r="B552" s="45"/>
      <c r="C552" s="45"/>
      <c r="D552" s="45"/>
      <c r="E552" s="45"/>
      <c r="F552" s="45"/>
      <c r="G552" s="45"/>
      <c r="H552" s="45"/>
      <c r="I552" s="45"/>
      <c r="J552" s="45"/>
      <c r="K552" s="45"/>
      <c r="L552" s="45"/>
      <c r="M552" s="45"/>
    </row>
    <row r="553" ht="15.75" customHeight="1">
      <c r="A553" s="45"/>
      <c r="B553" s="45"/>
      <c r="C553" s="45"/>
      <c r="D553" s="45"/>
      <c r="E553" s="45"/>
      <c r="F553" s="45"/>
      <c r="G553" s="45"/>
      <c r="H553" s="45"/>
      <c r="I553" s="45"/>
      <c r="J553" s="45"/>
      <c r="K553" s="45"/>
      <c r="L553" s="45"/>
      <c r="M553" s="45"/>
    </row>
    <row r="554" ht="15.75" customHeight="1">
      <c r="A554" s="45"/>
      <c r="B554" s="45"/>
      <c r="C554" s="45"/>
      <c r="D554" s="45"/>
      <c r="E554" s="45"/>
      <c r="F554" s="45"/>
      <c r="G554" s="45"/>
      <c r="H554" s="45"/>
      <c r="I554" s="45"/>
      <c r="J554" s="45"/>
      <c r="K554" s="45"/>
      <c r="L554" s="45"/>
      <c r="M554" s="45"/>
    </row>
    <row r="555" ht="15.75" customHeight="1">
      <c r="A555" s="45"/>
      <c r="B555" s="45"/>
      <c r="C555" s="45"/>
      <c r="D555" s="45"/>
      <c r="E555" s="45"/>
      <c r="F555" s="45"/>
      <c r="G555" s="45"/>
      <c r="H555" s="45"/>
      <c r="I555" s="45"/>
      <c r="J555" s="45"/>
      <c r="K555" s="45"/>
      <c r="L555" s="45"/>
      <c r="M555" s="45"/>
    </row>
    <row r="556" ht="15.75" customHeight="1">
      <c r="A556" s="45"/>
      <c r="B556" s="45"/>
      <c r="C556" s="45"/>
      <c r="D556" s="45"/>
      <c r="E556" s="45"/>
      <c r="F556" s="45"/>
      <c r="G556" s="45"/>
      <c r="H556" s="45"/>
      <c r="I556" s="45"/>
      <c r="J556" s="45"/>
      <c r="K556" s="45"/>
      <c r="L556" s="45"/>
      <c r="M556" s="45"/>
    </row>
    <row r="557" ht="15.75" customHeight="1">
      <c r="A557" s="45"/>
      <c r="B557" s="45"/>
      <c r="C557" s="45"/>
      <c r="D557" s="45"/>
      <c r="E557" s="45"/>
      <c r="F557" s="45"/>
      <c r="G557" s="45"/>
      <c r="H557" s="45"/>
      <c r="I557" s="45"/>
      <c r="J557" s="45"/>
      <c r="K557" s="45"/>
      <c r="L557" s="45"/>
      <c r="M557" s="45"/>
    </row>
    <row r="558" ht="15.75" customHeight="1">
      <c r="A558" s="45"/>
      <c r="B558" s="45"/>
      <c r="C558" s="45"/>
      <c r="D558" s="45"/>
      <c r="E558" s="45"/>
      <c r="F558" s="45"/>
      <c r="G558" s="45"/>
      <c r="H558" s="45"/>
      <c r="I558" s="45"/>
      <c r="J558" s="45"/>
      <c r="K558" s="45"/>
      <c r="L558" s="45"/>
      <c r="M558" s="45"/>
    </row>
    <row r="559" ht="15.75" customHeight="1">
      <c r="A559" s="45"/>
      <c r="B559" s="45"/>
      <c r="C559" s="45"/>
      <c r="D559" s="45"/>
      <c r="E559" s="45"/>
      <c r="F559" s="45"/>
      <c r="G559" s="45"/>
      <c r="H559" s="45"/>
      <c r="I559" s="45"/>
      <c r="J559" s="45"/>
      <c r="K559" s="45"/>
      <c r="L559" s="45"/>
      <c r="M559" s="45"/>
    </row>
    <row r="560" ht="15.75" customHeight="1">
      <c r="A560" s="45"/>
      <c r="B560" s="45"/>
      <c r="C560" s="45"/>
      <c r="D560" s="45"/>
      <c r="E560" s="45"/>
      <c r="F560" s="45"/>
      <c r="G560" s="45"/>
      <c r="H560" s="45"/>
      <c r="I560" s="45"/>
      <c r="J560" s="45"/>
      <c r="K560" s="45"/>
      <c r="L560" s="45"/>
      <c r="M560" s="45"/>
    </row>
    <row r="561" ht="15.75" customHeight="1">
      <c r="A561" s="45"/>
      <c r="B561" s="45"/>
      <c r="C561" s="45"/>
      <c r="D561" s="45"/>
      <c r="E561" s="45"/>
      <c r="F561" s="45"/>
      <c r="G561" s="45"/>
      <c r="H561" s="45"/>
      <c r="I561" s="45"/>
      <c r="J561" s="45"/>
      <c r="K561" s="45"/>
      <c r="L561" s="45"/>
      <c r="M561" s="45"/>
    </row>
    <row r="562" ht="15.75" customHeight="1">
      <c r="A562" s="45"/>
      <c r="B562" s="45"/>
      <c r="C562" s="45"/>
      <c r="D562" s="45"/>
      <c r="E562" s="45"/>
      <c r="F562" s="45"/>
      <c r="G562" s="45"/>
      <c r="H562" s="45"/>
      <c r="I562" s="45"/>
      <c r="J562" s="45"/>
      <c r="K562" s="45"/>
      <c r="L562" s="45"/>
      <c r="M562" s="45"/>
    </row>
    <row r="563" ht="15.75" customHeight="1">
      <c r="A563" s="45"/>
      <c r="B563" s="45"/>
      <c r="C563" s="45"/>
      <c r="D563" s="45"/>
      <c r="E563" s="45"/>
      <c r="F563" s="45"/>
      <c r="G563" s="45"/>
      <c r="H563" s="45"/>
      <c r="I563" s="45"/>
      <c r="J563" s="45"/>
      <c r="K563" s="45"/>
      <c r="L563" s="45"/>
      <c r="M563" s="45"/>
    </row>
    <row r="564" ht="15.75" customHeight="1">
      <c r="A564" s="45"/>
      <c r="B564" s="45"/>
      <c r="C564" s="45"/>
      <c r="D564" s="45"/>
      <c r="E564" s="45"/>
      <c r="F564" s="45"/>
      <c r="G564" s="45"/>
      <c r="H564" s="45"/>
      <c r="I564" s="45"/>
      <c r="J564" s="45"/>
      <c r="K564" s="45"/>
      <c r="L564" s="45"/>
      <c r="M564" s="45"/>
    </row>
    <row r="565" ht="15.75" customHeight="1">
      <c r="A565" s="45"/>
      <c r="B565" s="45"/>
      <c r="C565" s="45"/>
      <c r="D565" s="45"/>
      <c r="E565" s="45"/>
      <c r="F565" s="45"/>
      <c r="G565" s="45"/>
      <c r="H565" s="45"/>
      <c r="I565" s="45"/>
      <c r="J565" s="45"/>
      <c r="K565" s="45"/>
      <c r="L565" s="45"/>
      <c r="M565" s="45"/>
    </row>
    <row r="566" ht="15.75" customHeight="1">
      <c r="A566" s="45"/>
      <c r="B566" s="45"/>
      <c r="C566" s="45"/>
      <c r="D566" s="45"/>
      <c r="E566" s="45"/>
      <c r="F566" s="45"/>
      <c r="G566" s="45"/>
      <c r="H566" s="45"/>
      <c r="I566" s="45"/>
      <c r="J566" s="45"/>
      <c r="K566" s="45"/>
      <c r="L566" s="45"/>
      <c r="M566" s="45"/>
    </row>
    <row r="567" ht="15.75" customHeight="1">
      <c r="A567" s="45"/>
      <c r="B567" s="45"/>
      <c r="C567" s="45"/>
      <c r="D567" s="45"/>
      <c r="E567" s="45"/>
      <c r="F567" s="45"/>
      <c r="G567" s="45"/>
      <c r="H567" s="45"/>
      <c r="I567" s="45"/>
      <c r="J567" s="45"/>
      <c r="K567" s="45"/>
      <c r="L567" s="45"/>
      <c r="M567" s="45"/>
    </row>
    <row r="568" ht="15.75" customHeight="1">
      <c r="A568" s="45"/>
      <c r="B568" s="45"/>
      <c r="C568" s="45"/>
      <c r="D568" s="45"/>
      <c r="E568" s="45"/>
      <c r="F568" s="45"/>
      <c r="G568" s="45"/>
      <c r="H568" s="45"/>
      <c r="I568" s="45"/>
      <c r="J568" s="45"/>
      <c r="K568" s="45"/>
      <c r="L568" s="45"/>
      <c r="M568" s="45"/>
    </row>
    <row r="569" ht="15.75" customHeight="1">
      <c r="A569" s="45"/>
      <c r="B569" s="45"/>
      <c r="C569" s="45"/>
      <c r="D569" s="45"/>
      <c r="E569" s="45"/>
      <c r="F569" s="45"/>
      <c r="G569" s="45"/>
      <c r="H569" s="45"/>
      <c r="I569" s="45"/>
      <c r="J569" s="45"/>
      <c r="K569" s="45"/>
      <c r="L569" s="45"/>
      <c r="M569" s="45"/>
    </row>
    <row r="570" ht="15.75" customHeight="1">
      <c r="A570" s="45"/>
      <c r="B570" s="45"/>
      <c r="C570" s="45"/>
      <c r="D570" s="45"/>
      <c r="E570" s="45"/>
      <c r="F570" s="45"/>
      <c r="G570" s="45"/>
      <c r="H570" s="45"/>
      <c r="I570" s="45"/>
      <c r="J570" s="45"/>
      <c r="K570" s="45"/>
      <c r="L570" s="45"/>
      <c r="M570" s="45"/>
    </row>
    <row r="571" ht="15.75" customHeight="1">
      <c r="A571" s="45"/>
      <c r="B571" s="45"/>
      <c r="C571" s="45"/>
      <c r="D571" s="45"/>
      <c r="E571" s="45"/>
      <c r="F571" s="45"/>
      <c r="G571" s="45"/>
      <c r="H571" s="45"/>
      <c r="I571" s="45"/>
      <c r="J571" s="45"/>
      <c r="K571" s="45"/>
      <c r="L571" s="45"/>
      <c r="M571" s="45"/>
    </row>
    <row r="572" ht="15.75" customHeight="1">
      <c r="A572" s="45"/>
      <c r="B572" s="45"/>
      <c r="C572" s="45"/>
      <c r="D572" s="45"/>
      <c r="E572" s="45"/>
      <c r="F572" s="45"/>
      <c r="G572" s="45"/>
      <c r="H572" s="45"/>
      <c r="I572" s="45"/>
      <c r="J572" s="45"/>
      <c r="K572" s="45"/>
      <c r="L572" s="45"/>
      <c r="M572" s="45"/>
    </row>
    <row r="573" ht="15.75" customHeight="1">
      <c r="A573" s="45"/>
      <c r="B573" s="45"/>
      <c r="C573" s="45"/>
      <c r="D573" s="45"/>
      <c r="E573" s="45"/>
      <c r="F573" s="45"/>
      <c r="G573" s="45"/>
      <c r="H573" s="45"/>
      <c r="I573" s="45"/>
      <c r="J573" s="45"/>
      <c r="K573" s="45"/>
      <c r="L573" s="45"/>
      <c r="M573" s="45"/>
    </row>
    <row r="574" ht="15.75" customHeight="1">
      <c r="A574" s="45"/>
      <c r="B574" s="45"/>
      <c r="C574" s="45"/>
      <c r="D574" s="45"/>
      <c r="E574" s="45"/>
      <c r="F574" s="45"/>
      <c r="G574" s="45"/>
      <c r="H574" s="45"/>
      <c r="I574" s="45"/>
      <c r="J574" s="45"/>
      <c r="K574" s="45"/>
      <c r="L574" s="45"/>
      <c r="M574" s="45"/>
    </row>
    <row r="575" ht="15.75" customHeight="1">
      <c r="A575" s="45"/>
      <c r="B575" s="45"/>
      <c r="C575" s="45"/>
      <c r="D575" s="45"/>
      <c r="E575" s="45"/>
      <c r="F575" s="45"/>
      <c r="G575" s="45"/>
      <c r="H575" s="45"/>
      <c r="I575" s="45"/>
      <c r="J575" s="45"/>
      <c r="K575" s="45"/>
      <c r="L575" s="45"/>
      <c r="M575" s="45"/>
    </row>
    <row r="576" ht="15.75" customHeight="1">
      <c r="A576" s="45"/>
      <c r="B576" s="45"/>
      <c r="C576" s="45"/>
      <c r="D576" s="45"/>
      <c r="E576" s="45"/>
      <c r="F576" s="45"/>
      <c r="G576" s="45"/>
      <c r="H576" s="45"/>
      <c r="I576" s="45"/>
      <c r="J576" s="45"/>
      <c r="K576" s="45"/>
      <c r="L576" s="45"/>
      <c r="M576" s="45"/>
    </row>
    <row r="577" ht="15.75" customHeight="1">
      <c r="A577" s="45"/>
      <c r="B577" s="45"/>
      <c r="C577" s="45"/>
      <c r="D577" s="45"/>
      <c r="E577" s="45"/>
      <c r="F577" s="45"/>
      <c r="G577" s="45"/>
      <c r="H577" s="45"/>
      <c r="I577" s="45"/>
      <c r="J577" s="45"/>
      <c r="K577" s="45"/>
      <c r="L577" s="45"/>
      <c r="M577" s="45"/>
    </row>
    <row r="578" ht="15.75" customHeight="1">
      <c r="A578" s="45"/>
      <c r="B578" s="45"/>
      <c r="C578" s="45"/>
      <c r="D578" s="45"/>
      <c r="E578" s="45"/>
      <c r="F578" s="45"/>
      <c r="G578" s="45"/>
      <c r="H578" s="45"/>
      <c r="I578" s="45"/>
      <c r="J578" s="45"/>
      <c r="K578" s="45"/>
      <c r="L578" s="45"/>
      <c r="M578" s="45"/>
    </row>
    <row r="579" ht="15.75" customHeight="1">
      <c r="A579" s="45"/>
      <c r="B579" s="45"/>
      <c r="C579" s="45"/>
      <c r="D579" s="45"/>
      <c r="E579" s="45"/>
      <c r="F579" s="45"/>
      <c r="G579" s="45"/>
      <c r="H579" s="45"/>
      <c r="I579" s="45"/>
      <c r="J579" s="45"/>
      <c r="K579" s="45"/>
      <c r="L579" s="45"/>
      <c r="M579" s="45"/>
    </row>
    <row r="580" ht="15.75" customHeight="1">
      <c r="A580" s="45"/>
      <c r="B580" s="45"/>
      <c r="C580" s="45"/>
      <c r="D580" s="45"/>
      <c r="E580" s="45"/>
      <c r="F580" s="45"/>
      <c r="G580" s="45"/>
      <c r="H580" s="45"/>
      <c r="I580" s="45"/>
      <c r="J580" s="45"/>
      <c r="K580" s="45"/>
      <c r="L580" s="45"/>
      <c r="M580" s="45"/>
    </row>
    <row r="581" ht="15.75" customHeight="1">
      <c r="A581" s="45"/>
      <c r="B581" s="45"/>
      <c r="C581" s="45"/>
      <c r="D581" s="45"/>
      <c r="E581" s="45"/>
      <c r="F581" s="45"/>
      <c r="G581" s="45"/>
      <c r="H581" s="45"/>
      <c r="I581" s="45"/>
      <c r="J581" s="45"/>
      <c r="K581" s="45"/>
      <c r="L581" s="45"/>
      <c r="M581" s="45"/>
    </row>
    <row r="582" ht="15.75" customHeight="1">
      <c r="A582" s="45"/>
      <c r="B582" s="45"/>
      <c r="C582" s="45"/>
      <c r="D582" s="45"/>
      <c r="E582" s="45"/>
      <c r="F582" s="45"/>
      <c r="G582" s="45"/>
      <c r="H582" s="45"/>
      <c r="I582" s="45"/>
      <c r="J582" s="45"/>
      <c r="K582" s="45"/>
      <c r="L582" s="45"/>
      <c r="M582" s="45"/>
    </row>
    <row r="583" ht="15.75" customHeight="1">
      <c r="A583" s="45"/>
      <c r="B583" s="45"/>
      <c r="C583" s="45"/>
      <c r="D583" s="45"/>
      <c r="E583" s="45"/>
      <c r="F583" s="45"/>
      <c r="G583" s="45"/>
      <c r="H583" s="45"/>
      <c r="I583" s="45"/>
      <c r="J583" s="45"/>
      <c r="K583" s="45"/>
      <c r="L583" s="45"/>
      <c r="M583" s="45"/>
    </row>
    <row r="584" ht="15.75" customHeight="1">
      <c r="A584" s="45"/>
      <c r="B584" s="45"/>
      <c r="C584" s="45"/>
      <c r="D584" s="45"/>
      <c r="E584" s="45"/>
      <c r="F584" s="45"/>
      <c r="G584" s="45"/>
      <c r="H584" s="45"/>
      <c r="I584" s="45"/>
      <c r="J584" s="45"/>
      <c r="K584" s="45"/>
      <c r="L584" s="45"/>
      <c r="M584" s="45"/>
    </row>
    <row r="585" ht="15.75" customHeight="1">
      <c r="A585" s="45"/>
      <c r="B585" s="45"/>
      <c r="C585" s="45"/>
      <c r="D585" s="45"/>
      <c r="E585" s="45"/>
      <c r="F585" s="45"/>
      <c r="G585" s="45"/>
      <c r="H585" s="45"/>
      <c r="I585" s="45"/>
      <c r="J585" s="45"/>
      <c r="K585" s="45"/>
      <c r="L585" s="45"/>
      <c r="M585" s="45"/>
    </row>
    <row r="586" ht="15.75" customHeight="1">
      <c r="A586" s="45"/>
      <c r="B586" s="45"/>
      <c r="C586" s="45"/>
      <c r="D586" s="45"/>
      <c r="E586" s="45"/>
      <c r="F586" s="45"/>
      <c r="G586" s="45"/>
      <c r="H586" s="45"/>
      <c r="I586" s="45"/>
      <c r="J586" s="45"/>
      <c r="K586" s="45"/>
      <c r="L586" s="45"/>
      <c r="M586" s="45"/>
    </row>
    <row r="587" ht="15.75" customHeight="1">
      <c r="A587" s="45"/>
      <c r="B587" s="45"/>
      <c r="C587" s="45"/>
      <c r="D587" s="45"/>
      <c r="E587" s="45"/>
      <c r="F587" s="45"/>
      <c r="G587" s="45"/>
      <c r="H587" s="45"/>
      <c r="I587" s="45"/>
      <c r="J587" s="45"/>
      <c r="K587" s="45"/>
      <c r="L587" s="45"/>
      <c r="M587" s="45"/>
    </row>
    <row r="588" ht="15.75" customHeight="1">
      <c r="A588" s="45"/>
      <c r="B588" s="45"/>
      <c r="C588" s="45"/>
      <c r="D588" s="45"/>
      <c r="E588" s="45"/>
      <c r="F588" s="45"/>
      <c r="G588" s="45"/>
      <c r="H588" s="45"/>
      <c r="I588" s="45"/>
      <c r="J588" s="45"/>
      <c r="K588" s="45"/>
      <c r="L588" s="45"/>
      <c r="M588" s="45"/>
    </row>
    <row r="589" ht="15.75" customHeight="1">
      <c r="A589" s="45"/>
      <c r="B589" s="45"/>
      <c r="C589" s="45"/>
      <c r="D589" s="45"/>
      <c r="E589" s="45"/>
      <c r="F589" s="45"/>
      <c r="G589" s="45"/>
      <c r="H589" s="45"/>
      <c r="I589" s="45"/>
      <c r="J589" s="45"/>
      <c r="K589" s="45"/>
      <c r="L589" s="45"/>
      <c r="M589" s="45"/>
    </row>
    <row r="590" ht="15.75" customHeight="1">
      <c r="A590" s="45"/>
      <c r="B590" s="45"/>
      <c r="C590" s="45"/>
      <c r="D590" s="45"/>
      <c r="E590" s="45"/>
      <c r="F590" s="45"/>
      <c r="G590" s="45"/>
      <c r="H590" s="45"/>
      <c r="I590" s="45"/>
      <c r="J590" s="45"/>
      <c r="K590" s="45"/>
      <c r="L590" s="45"/>
      <c r="M590" s="45"/>
    </row>
    <row r="591" ht="15.75" customHeight="1">
      <c r="A591" s="45"/>
      <c r="B591" s="45"/>
      <c r="C591" s="45"/>
      <c r="D591" s="45"/>
      <c r="E591" s="45"/>
      <c r="F591" s="45"/>
      <c r="G591" s="45"/>
      <c r="H591" s="45"/>
      <c r="I591" s="45"/>
      <c r="J591" s="45"/>
      <c r="K591" s="45"/>
      <c r="L591" s="45"/>
      <c r="M591" s="45"/>
    </row>
    <row r="592" ht="15.75" customHeight="1">
      <c r="A592" s="45"/>
      <c r="B592" s="45"/>
      <c r="C592" s="45"/>
      <c r="D592" s="45"/>
      <c r="E592" s="45"/>
      <c r="F592" s="45"/>
      <c r="G592" s="45"/>
      <c r="H592" s="45"/>
      <c r="I592" s="45"/>
      <c r="J592" s="45"/>
      <c r="K592" s="45"/>
      <c r="L592" s="45"/>
      <c r="M592" s="45"/>
    </row>
    <row r="593" ht="15.75" customHeight="1">
      <c r="A593" s="45"/>
      <c r="B593" s="45"/>
      <c r="C593" s="45"/>
      <c r="D593" s="45"/>
      <c r="E593" s="45"/>
      <c r="F593" s="45"/>
      <c r="G593" s="45"/>
      <c r="H593" s="45"/>
      <c r="I593" s="45"/>
      <c r="J593" s="45"/>
      <c r="K593" s="45"/>
      <c r="L593" s="45"/>
      <c r="M593" s="45"/>
    </row>
    <row r="594" ht="15.75" customHeight="1">
      <c r="A594" s="45"/>
      <c r="B594" s="45"/>
      <c r="C594" s="45"/>
      <c r="D594" s="45"/>
      <c r="E594" s="45"/>
      <c r="F594" s="45"/>
      <c r="G594" s="45"/>
      <c r="H594" s="45"/>
      <c r="I594" s="45"/>
      <c r="J594" s="45"/>
      <c r="K594" s="45"/>
      <c r="L594" s="45"/>
      <c r="M594" s="45"/>
    </row>
    <row r="595" ht="15.75" customHeight="1">
      <c r="A595" s="45"/>
      <c r="B595" s="45"/>
      <c r="C595" s="45"/>
      <c r="D595" s="45"/>
      <c r="E595" s="45"/>
      <c r="F595" s="45"/>
      <c r="G595" s="45"/>
      <c r="H595" s="45"/>
      <c r="I595" s="45"/>
      <c r="J595" s="45"/>
      <c r="K595" s="45"/>
      <c r="L595" s="45"/>
      <c r="M595" s="45"/>
    </row>
    <row r="596" ht="15.75" customHeight="1">
      <c r="A596" s="45"/>
      <c r="B596" s="45"/>
      <c r="C596" s="45"/>
      <c r="D596" s="45"/>
      <c r="E596" s="45"/>
      <c r="F596" s="45"/>
      <c r="G596" s="45"/>
      <c r="H596" s="45"/>
      <c r="I596" s="45"/>
      <c r="J596" s="45"/>
      <c r="K596" s="45"/>
      <c r="L596" s="45"/>
      <c r="M596" s="45"/>
    </row>
    <row r="597" ht="15.75" customHeight="1">
      <c r="A597" s="45"/>
      <c r="B597" s="45"/>
      <c r="C597" s="45"/>
      <c r="D597" s="45"/>
      <c r="E597" s="45"/>
      <c r="F597" s="45"/>
      <c r="G597" s="45"/>
      <c r="H597" s="45"/>
      <c r="I597" s="45"/>
      <c r="J597" s="45"/>
      <c r="K597" s="45"/>
      <c r="L597" s="45"/>
      <c r="M597" s="45"/>
    </row>
    <row r="598" ht="15.75" customHeight="1">
      <c r="A598" s="45"/>
      <c r="B598" s="45"/>
      <c r="C598" s="45"/>
      <c r="D598" s="45"/>
      <c r="E598" s="45"/>
      <c r="F598" s="45"/>
      <c r="G598" s="45"/>
      <c r="H598" s="45"/>
      <c r="I598" s="45"/>
      <c r="J598" s="45"/>
      <c r="K598" s="45"/>
      <c r="L598" s="45"/>
      <c r="M598" s="45"/>
    </row>
    <row r="599" ht="15.75" customHeight="1">
      <c r="A599" s="45"/>
      <c r="B599" s="45"/>
      <c r="C599" s="45"/>
      <c r="D599" s="45"/>
      <c r="E599" s="45"/>
      <c r="F599" s="45"/>
      <c r="G599" s="45"/>
      <c r="H599" s="45"/>
      <c r="I599" s="45"/>
      <c r="J599" s="45"/>
      <c r="K599" s="45"/>
      <c r="L599" s="45"/>
      <c r="M599" s="45"/>
    </row>
    <row r="600" ht="15.75" customHeight="1">
      <c r="A600" s="45"/>
      <c r="B600" s="45"/>
      <c r="C600" s="45"/>
      <c r="D600" s="45"/>
      <c r="E600" s="45"/>
      <c r="F600" s="45"/>
      <c r="G600" s="45"/>
      <c r="H600" s="45"/>
      <c r="I600" s="45"/>
      <c r="J600" s="45"/>
      <c r="K600" s="45"/>
      <c r="L600" s="45"/>
      <c r="M600" s="45"/>
    </row>
    <row r="601" ht="15.75" customHeight="1">
      <c r="A601" s="45"/>
      <c r="B601" s="45"/>
      <c r="C601" s="45"/>
      <c r="D601" s="45"/>
      <c r="E601" s="45"/>
      <c r="F601" s="45"/>
      <c r="G601" s="45"/>
      <c r="H601" s="45"/>
      <c r="I601" s="45"/>
      <c r="J601" s="45"/>
      <c r="K601" s="45"/>
      <c r="L601" s="45"/>
      <c r="M601" s="45"/>
    </row>
    <row r="602" ht="15.75" customHeight="1">
      <c r="A602" s="45"/>
      <c r="B602" s="45"/>
      <c r="C602" s="45"/>
      <c r="D602" s="45"/>
      <c r="E602" s="45"/>
      <c r="F602" s="45"/>
      <c r="G602" s="45"/>
      <c r="H602" s="45"/>
      <c r="I602" s="45"/>
      <c r="J602" s="45"/>
      <c r="K602" s="45"/>
      <c r="L602" s="45"/>
      <c r="M602" s="45"/>
    </row>
    <row r="603" ht="15.75" customHeight="1">
      <c r="A603" s="45"/>
      <c r="B603" s="45"/>
      <c r="C603" s="45"/>
      <c r="D603" s="45"/>
      <c r="E603" s="45"/>
      <c r="F603" s="45"/>
      <c r="G603" s="45"/>
      <c r="H603" s="45"/>
      <c r="I603" s="45"/>
      <c r="J603" s="45"/>
      <c r="K603" s="45"/>
      <c r="L603" s="45"/>
      <c r="M603" s="45"/>
    </row>
    <row r="604" ht="15.75" customHeight="1">
      <c r="A604" s="45"/>
      <c r="B604" s="45"/>
      <c r="C604" s="45"/>
      <c r="D604" s="45"/>
      <c r="E604" s="45"/>
      <c r="F604" s="45"/>
      <c r="G604" s="45"/>
      <c r="H604" s="45"/>
      <c r="I604" s="45"/>
      <c r="J604" s="45"/>
      <c r="K604" s="45"/>
      <c r="L604" s="45"/>
      <c r="M604" s="45"/>
    </row>
    <row r="605" ht="15.75" customHeight="1">
      <c r="A605" s="45"/>
      <c r="B605" s="45"/>
      <c r="C605" s="45"/>
      <c r="D605" s="45"/>
      <c r="E605" s="45"/>
      <c r="F605" s="45"/>
      <c r="G605" s="45"/>
      <c r="H605" s="45"/>
      <c r="I605" s="45"/>
      <c r="J605" s="45"/>
      <c r="K605" s="45"/>
      <c r="L605" s="45"/>
      <c r="M605" s="45"/>
    </row>
    <row r="606" ht="15.75" customHeight="1">
      <c r="A606" s="45"/>
      <c r="B606" s="45"/>
      <c r="C606" s="45"/>
      <c r="D606" s="45"/>
      <c r="E606" s="45"/>
      <c r="F606" s="45"/>
      <c r="G606" s="45"/>
      <c r="H606" s="45"/>
      <c r="I606" s="45"/>
      <c r="J606" s="45"/>
      <c r="K606" s="45"/>
      <c r="L606" s="45"/>
      <c r="M606" s="45"/>
    </row>
    <row r="607" ht="15.75" customHeight="1">
      <c r="A607" s="45"/>
      <c r="B607" s="45"/>
      <c r="C607" s="45"/>
      <c r="D607" s="45"/>
      <c r="E607" s="45"/>
      <c r="F607" s="45"/>
      <c r="G607" s="45"/>
      <c r="H607" s="45"/>
      <c r="I607" s="45"/>
      <c r="J607" s="45"/>
      <c r="K607" s="45"/>
      <c r="L607" s="45"/>
      <c r="M607" s="45"/>
    </row>
    <row r="608" ht="15.75" customHeight="1">
      <c r="A608" s="45"/>
      <c r="B608" s="45"/>
      <c r="C608" s="45"/>
      <c r="D608" s="45"/>
      <c r="E608" s="45"/>
      <c r="F608" s="45"/>
      <c r="G608" s="45"/>
      <c r="H608" s="45"/>
      <c r="I608" s="45"/>
      <c r="J608" s="45"/>
      <c r="K608" s="45"/>
      <c r="L608" s="45"/>
      <c r="M608" s="45"/>
    </row>
    <row r="609" ht="15.75" customHeight="1">
      <c r="A609" s="45"/>
      <c r="B609" s="45"/>
      <c r="C609" s="45"/>
      <c r="D609" s="45"/>
      <c r="E609" s="45"/>
      <c r="F609" s="45"/>
      <c r="G609" s="45"/>
      <c r="H609" s="45"/>
      <c r="I609" s="45"/>
      <c r="J609" s="45"/>
      <c r="K609" s="45"/>
      <c r="L609" s="45"/>
      <c r="M609" s="45"/>
    </row>
    <row r="610" ht="15.75" customHeight="1">
      <c r="A610" s="45"/>
      <c r="B610" s="45"/>
      <c r="C610" s="45"/>
      <c r="D610" s="45"/>
      <c r="E610" s="45"/>
      <c r="F610" s="45"/>
      <c r="G610" s="45"/>
      <c r="H610" s="45"/>
      <c r="I610" s="45"/>
      <c r="J610" s="45"/>
      <c r="K610" s="45"/>
      <c r="L610" s="45"/>
      <c r="M610" s="45"/>
    </row>
    <row r="611" ht="15.75" customHeight="1">
      <c r="A611" s="45"/>
      <c r="B611" s="45"/>
      <c r="C611" s="45"/>
      <c r="D611" s="45"/>
      <c r="E611" s="45"/>
      <c r="F611" s="45"/>
      <c r="G611" s="45"/>
      <c r="H611" s="45"/>
      <c r="I611" s="45"/>
      <c r="J611" s="45"/>
      <c r="K611" s="45"/>
      <c r="L611" s="45"/>
      <c r="M611" s="45"/>
    </row>
    <row r="612" ht="15.75" customHeight="1">
      <c r="A612" s="45"/>
      <c r="B612" s="45"/>
      <c r="C612" s="45"/>
      <c r="D612" s="45"/>
      <c r="E612" s="45"/>
      <c r="F612" s="45"/>
      <c r="G612" s="45"/>
      <c r="H612" s="45"/>
      <c r="I612" s="45"/>
      <c r="J612" s="45"/>
      <c r="K612" s="45"/>
      <c r="L612" s="45"/>
      <c r="M612" s="45"/>
    </row>
    <row r="613" ht="15.75" customHeight="1">
      <c r="A613" s="45"/>
      <c r="B613" s="45"/>
      <c r="C613" s="45"/>
      <c r="D613" s="45"/>
      <c r="E613" s="45"/>
      <c r="F613" s="45"/>
      <c r="G613" s="45"/>
      <c r="H613" s="45"/>
      <c r="I613" s="45"/>
      <c r="J613" s="45"/>
      <c r="K613" s="45"/>
      <c r="L613" s="45"/>
      <c r="M613" s="45"/>
    </row>
    <row r="614" ht="15.75" customHeight="1">
      <c r="A614" s="45"/>
      <c r="B614" s="45"/>
      <c r="C614" s="45"/>
      <c r="D614" s="45"/>
      <c r="E614" s="45"/>
      <c r="F614" s="45"/>
      <c r="G614" s="45"/>
      <c r="H614" s="45"/>
      <c r="I614" s="45"/>
      <c r="J614" s="45"/>
      <c r="K614" s="45"/>
      <c r="L614" s="45"/>
      <c r="M614" s="45"/>
    </row>
    <row r="615" ht="15.75" customHeight="1">
      <c r="A615" s="45"/>
      <c r="B615" s="45"/>
      <c r="C615" s="45"/>
      <c r="D615" s="45"/>
      <c r="E615" s="45"/>
      <c r="F615" s="45"/>
      <c r="G615" s="45"/>
      <c r="H615" s="45"/>
      <c r="I615" s="45"/>
      <c r="J615" s="45"/>
      <c r="K615" s="45"/>
      <c r="L615" s="45"/>
      <c r="M615" s="45"/>
    </row>
    <row r="616" ht="15.75" customHeight="1">
      <c r="A616" s="45"/>
      <c r="B616" s="45"/>
      <c r="C616" s="45"/>
      <c r="D616" s="45"/>
      <c r="E616" s="45"/>
      <c r="F616" s="45"/>
      <c r="G616" s="45"/>
      <c r="H616" s="45"/>
      <c r="I616" s="45"/>
      <c r="J616" s="45"/>
      <c r="K616" s="45"/>
      <c r="L616" s="45"/>
      <c r="M616" s="45"/>
    </row>
    <row r="617" ht="15.75" customHeight="1">
      <c r="A617" s="45"/>
      <c r="B617" s="45"/>
      <c r="C617" s="45"/>
      <c r="D617" s="45"/>
      <c r="E617" s="45"/>
      <c r="F617" s="45"/>
      <c r="G617" s="45"/>
      <c r="H617" s="45"/>
      <c r="I617" s="45"/>
      <c r="J617" s="45"/>
      <c r="K617" s="45"/>
      <c r="L617" s="45"/>
      <c r="M617" s="45"/>
    </row>
    <row r="618" ht="15.75" customHeight="1">
      <c r="A618" s="45"/>
      <c r="B618" s="45"/>
      <c r="C618" s="45"/>
      <c r="D618" s="45"/>
      <c r="E618" s="45"/>
      <c r="F618" s="45"/>
      <c r="G618" s="45"/>
      <c r="H618" s="45"/>
      <c r="I618" s="45"/>
      <c r="J618" s="45"/>
      <c r="K618" s="45"/>
      <c r="L618" s="45"/>
      <c r="M618" s="45"/>
    </row>
    <row r="619" ht="15.75" customHeight="1">
      <c r="A619" s="45"/>
      <c r="B619" s="45"/>
      <c r="C619" s="45"/>
      <c r="D619" s="45"/>
      <c r="E619" s="45"/>
      <c r="F619" s="45"/>
      <c r="G619" s="45"/>
      <c r="H619" s="45"/>
      <c r="I619" s="45"/>
      <c r="J619" s="45"/>
      <c r="K619" s="45"/>
      <c r="L619" s="45"/>
      <c r="M619" s="45"/>
    </row>
    <row r="620" ht="15.75" customHeight="1">
      <c r="A620" s="45"/>
      <c r="B620" s="45"/>
      <c r="C620" s="45"/>
      <c r="D620" s="45"/>
      <c r="E620" s="45"/>
      <c r="F620" s="45"/>
      <c r="G620" s="45"/>
      <c r="H620" s="45"/>
      <c r="I620" s="45"/>
      <c r="J620" s="45"/>
      <c r="K620" s="45"/>
      <c r="L620" s="45"/>
      <c r="M620" s="45"/>
    </row>
    <row r="621" ht="15.75" customHeight="1">
      <c r="A621" s="45"/>
      <c r="B621" s="45"/>
      <c r="C621" s="45"/>
      <c r="D621" s="45"/>
      <c r="E621" s="45"/>
      <c r="F621" s="45"/>
      <c r="G621" s="45"/>
      <c r="H621" s="45"/>
      <c r="I621" s="45"/>
      <c r="J621" s="45"/>
      <c r="K621" s="45"/>
      <c r="L621" s="45"/>
      <c r="M621" s="45"/>
    </row>
    <row r="622" ht="15.75" customHeight="1">
      <c r="A622" s="45"/>
      <c r="B622" s="45"/>
      <c r="C622" s="45"/>
      <c r="D622" s="45"/>
      <c r="E622" s="45"/>
      <c r="F622" s="45"/>
      <c r="G622" s="45"/>
      <c r="H622" s="45"/>
      <c r="I622" s="45"/>
      <c r="J622" s="45"/>
      <c r="K622" s="45"/>
      <c r="L622" s="45"/>
      <c r="M622" s="45"/>
    </row>
    <row r="623" ht="15.75" customHeight="1">
      <c r="A623" s="45"/>
      <c r="B623" s="45"/>
      <c r="C623" s="45"/>
      <c r="D623" s="45"/>
      <c r="E623" s="45"/>
      <c r="F623" s="45"/>
      <c r="G623" s="45"/>
      <c r="H623" s="45"/>
      <c r="I623" s="45"/>
      <c r="J623" s="45"/>
      <c r="K623" s="45"/>
      <c r="L623" s="45"/>
      <c r="M623" s="45"/>
    </row>
    <row r="624" ht="15.75" customHeight="1">
      <c r="A624" s="45"/>
      <c r="B624" s="45"/>
      <c r="C624" s="45"/>
      <c r="D624" s="45"/>
      <c r="E624" s="45"/>
      <c r="F624" s="45"/>
      <c r="G624" s="45"/>
      <c r="H624" s="45"/>
      <c r="I624" s="45"/>
      <c r="J624" s="45"/>
      <c r="K624" s="45"/>
      <c r="L624" s="45"/>
      <c r="M624" s="45"/>
    </row>
    <row r="625" ht="15.75" customHeight="1">
      <c r="A625" s="45"/>
      <c r="B625" s="45"/>
      <c r="C625" s="45"/>
      <c r="D625" s="45"/>
      <c r="E625" s="45"/>
      <c r="F625" s="45"/>
      <c r="G625" s="45"/>
      <c r="H625" s="45"/>
      <c r="I625" s="45"/>
      <c r="J625" s="45"/>
      <c r="K625" s="45"/>
      <c r="L625" s="45"/>
      <c r="M625" s="45"/>
    </row>
    <row r="626" ht="15.75" customHeight="1">
      <c r="A626" s="45"/>
      <c r="B626" s="45"/>
      <c r="C626" s="45"/>
      <c r="D626" s="45"/>
      <c r="E626" s="45"/>
      <c r="F626" s="45"/>
      <c r="G626" s="45"/>
      <c r="H626" s="45"/>
      <c r="I626" s="45"/>
      <c r="J626" s="45"/>
      <c r="K626" s="45"/>
      <c r="L626" s="45"/>
      <c r="M626" s="45"/>
    </row>
    <row r="627" ht="15.75" customHeight="1">
      <c r="A627" s="45"/>
      <c r="B627" s="45"/>
      <c r="C627" s="45"/>
      <c r="D627" s="45"/>
      <c r="E627" s="45"/>
      <c r="F627" s="45"/>
      <c r="G627" s="45"/>
      <c r="H627" s="45"/>
      <c r="I627" s="45"/>
      <c r="J627" s="45"/>
      <c r="K627" s="45"/>
      <c r="L627" s="45"/>
      <c r="M627" s="45"/>
    </row>
    <row r="628" ht="15.75" customHeight="1">
      <c r="A628" s="45"/>
      <c r="B628" s="45"/>
      <c r="C628" s="45"/>
      <c r="D628" s="45"/>
      <c r="E628" s="45"/>
      <c r="F628" s="45"/>
      <c r="G628" s="45"/>
      <c r="H628" s="45"/>
      <c r="I628" s="45"/>
      <c r="J628" s="45"/>
      <c r="K628" s="45"/>
      <c r="L628" s="45"/>
      <c r="M628" s="45"/>
    </row>
    <row r="629" ht="15.75" customHeight="1">
      <c r="A629" s="45"/>
      <c r="B629" s="45"/>
      <c r="C629" s="45"/>
      <c r="D629" s="45"/>
      <c r="E629" s="45"/>
      <c r="F629" s="45"/>
      <c r="G629" s="45"/>
      <c r="H629" s="45"/>
      <c r="I629" s="45"/>
      <c r="J629" s="45"/>
      <c r="K629" s="45"/>
      <c r="L629" s="45"/>
      <c r="M629" s="45"/>
    </row>
    <row r="630" ht="15.75" customHeight="1">
      <c r="A630" s="45"/>
      <c r="B630" s="45"/>
      <c r="C630" s="45"/>
      <c r="D630" s="45"/>
      <c r="E630" s="45"/>
      <c r="F630" s="45"/>
      <c r="G630" s="45"/>
      <c r="H630" s="45"/>
      <c r="I630" s="45"/>
      <c r="J630" s="45"/>
      <c r="K630" s="45"/>
      <c r="L630" s="45"/>
      <c r="M630" s="45"/>
    </row>
    <row r="631" ht="15.75" customHeight="1">
      <c r="A631" s="45"/>
      <c r="B631" s="45"/>
      <c r="C631" s="45"/>
      <c r="D631" s="45"/>
      <c r="E631" s="45"/>
      <c r="F631" s="45"/>
      <c r="G631" s="45"/>
      <c r="H631" s="45"/>
      <c r="I631" s="45"/>
      <c r="J631" s="45"/>
      <c r="K631" s="45"/>
      <c r="L631" s="45"/>
      <c r="M631" s="45"/>
    </row>
    <row r="632" ht="15.75" customHeight="1">
      <c r="A632" s="45"/>
      <c r="B632" s="45"/>
      <c r="C632" s="45"/>
      <c r="D632" s="45"/>
      <c r="E632" s="45"/>
      <c r="F632" s="45"/>
      <c r="G632" s="45"/>
      <c r="H632" s="45"/>
      <c r="I632" s="45"/>
      <c r="J632" s="45"/>
      <c r="K632" s="45"/>
      <c r="L632" s="45"/>
      <c r="M632" s="45"/>
    </row>
    <row r="633" ht="15.75" customHeight="1">
      <c r="A633" s="45"/>
      <c r="B633" s="45"/>
      <c r="C633" s="45"/>
      <c r="D633" s="45"/>
      <c r="E633" s="45"/>
      <c r="F633" s="45"/>
      <c r="G633" s="45"/>
      <c r="H633" s="45"/>
      <c r="I633" s="45"/>
      <c r="J633" s="45"/>
      <c r="K633" s="45"/>
      <c r="L633" s="45"/>
      <c r="M633" s="45"/>
    </row>
    <row r="634" ht="15.75" customHeight="1">
      <c r="A634" s="45"/>
      <c r="B634" s="45"/>
      <c r="C634" s="45"/>
      <c r="D634" s="45"/>
      <c r="E634" s="45"/>
      <c r="F634" s="45"/>
      <c r="G634" s="45"/>
      <c r="H634" s="45"/>
      <c r="I634" s="45"/>
      <c r="J634" s="45"/>
      <c r="K634" s="45"/>
      <c r="L634" s="45"/>
      <c r="M634" s="45"/>
    </row>
    <row r="635" ht="15.75" customHeight="1">
      <c r="A635" s="45"/>
      <c r="B635" s="45"/>
      <c r="C635" s="45"/>
      <c r="D635" s="45"/>
      <c r="E635" s="45"/>
      <c r="F635" s="45"/>
      <c r="G635" s="45"/>
      <c r="H635" s="45"/>
      <c r="I635" s="45"/>
      <c r="J635" s="45"/>
      <c r="K635" s="45"/>
      <c r="L635" s="45"/>
      <c r="M635" s="45"/>
    </row>
    <row r="636" ht="15.75" customHeight="1">
      <c r="A636" s="45"/>
      <c r="B636" s="45"/>
      <c r="C636" s="45"/>
      <c r="D636" s="45"/>
      <c r="E636" s="45"/>
      <c r="F636" s="45"/>
      <c r="G636" s="45"/>
      <c r="H636" s="45"/>
      <c r="I636" s="45"/>
      <c r="J636" s="45"/>
      <c r="K636" s="45"/>
      <c r="L636" s="45"/>
      <c r="M636" s="45"/>
    </row>
    <row r="637" ht="15.75" customHeight="1">
      <c r="A637" s="45"/>
      <c r="B637" s="45"/>
      <c r="C637" s="45"/>
      <c r="D637" s="45"/>
      <c r="E637" s="45"/>
      <c r="F637" s="45"/>
      <c r="G637" s="45"/>
      <c r="H637" s="45"/>
      <c r="I637" s="45"/>
      <c r="J637" s="45"/>
      <c r="K637" s="45"/>
      <c r="L637" s="45"/>
      <c r="M637" s="45"/>
    </row>
    <row r="638" ht="15.75" customHeight="1">
      <c r="A638" s="45"/>
      <c r="B638" s="45"/>
      <c r="C638" s="45"/>
      <c r="D638" s="45"/>
      <c r="E638" s="45"/>
      <c r="F638" s="45"/>
      <c r="G638" s="45"/>
      <c r="H638" s="45"/>
      <c r="I638" s="45"/>
      <c r="J638" s="45"/>
      <c r="K638" s="45"/>
      <c r="L638" s="45"/>
      <c r="M638" s="45"/>
    </row>
    <row r="639" ht="15.75" customHeight="1">
      <c r="A639" s="45"/>
      <c r="B639" s="45"/>
      <c r="C639" s="45"/>
      <c r="D639" s="45"/>
      <c r="E639" s="45"/>
      <c r="F639" s="45"/>
      <c r="G639" s="45"/>
      <c r="H639" s="45"/>
      <c r="I639" s="45"/>
      <c r="J639" s="45"/>
      <c r="K639" s="45"/>
      <c r="L639" s="45"/>
      <c r="M639" s="45"/>
    </row>
    <row r="640" ht="15.75" customHeight="1">
      <c r="A640" s="45"/>
      <c r="B640" s="45"/>
      <c r="C640" s="45"/>
      <c r="D640" s="45"/>
      <c r="E640" s="45"/>
      <c r="F640" s="45"/>
      <c r="G640" s="45"/>
      <c r="H640" s="45"/>
      <c r="I640" s="45"/>
      <c r="J640" s="45"/>
      <c r="K640" s="45"/>
      <c r="L640" s="45"/>
      <c r="M640" s="45"/>
    </row>
    <row r="641" ht="15.75" customHeight="1">
      <c r="A641" s="45"/>
      <c r="B641" s="45"/>
      <c r="C641" s="45"/>
      <c r="D641" s="45"/>
      <c r="E641" s="45"/>
      <c r="F641" s="45"/>
      <c r="G641" s="45"/>
      <c r="H641" s="45"/>
      <c r="I641" s="45"/>
      <c r="J641" s="45"/>
      <c r="K641" s="45"/>
      <c r="L641" s="45"/>
      <c r="M641" s="45"/>
    </row>
    <row r="642" ht="15.75" customHeight="1">
      <c r="A642" s="45"/>
      <c r="B642" s="45"/>
      <c r="C642" s="45"/>
      <c r="D642" s="45"/>
      <c r="E642" s="45"/>
      <c r="F642" s="45"/>
      <c r="G642" s="45"/>
      <c r="H642" s="45"/>
      <c r="I642" s="45"/>
      <c r="J642" s="45"/>
      <c r="K642" s="45"/>
      <c r="L642" s="45"/>
      <c r="M642" s="45"/>
    </row>
    <row r="643" ht="15.75" customHeight="1">
      <c r="A643" s="45"/>
      <c r="B643" s="45"/>
      <c r="C643" s="45"/>
      <c r="D643" s="45"/>
      <c r="E643" s="45"/>
      <c r="F643" s="45"/>
      <c r="G643" s="45"/>
      <c r="H643" s="45"/>
      <c r="I643" s="45"/>
      <c r="J643" s="45"/>
      <c r="K643" s="45"/>
      <c r="L643" s="45"/>
      <c r="M643" s="45"/>
    </row>
    <row r="644" ht="15.75" customHeight="1">
      <c r="A644" s="45"/>
      <c r="B644" s="45"/>
      <c r="C644" s="45"/>
      <c r="D644" s="45"/>
      <c r="E644" s="45"/>
      <c r="F644" s="45"/>
      <c r="G644" s="45"/>
      <c r="H644" s="45"/>
      <c r="I644" s="45"/>
      <c r="J644" s="45"/>
      <c r="K644" s="45"/>
      <c r="L644" s="45"/>
      <c r="M644" s="45"/>
    </row>
    <row r="645" ht="15.75" customHeight="1">
      <c r="A645" s="45"/>
      <c r="B645" s="45"/>
      <c r="C645" s="45"/>
      <c r="D645" s="45"/>
      <c r="E645" s="45"/>
      <c r="F645" s="45"/>
      <c r="G645" s="45"/>
      <c r="H645" s="45"/>
      <c r="I645" s="45"/>
      <c r="J645" s="45"/>
      <c r="K645" s="45"/>
      <c r="L645" s="45"/>
      <c r="M645" s="45"/>
    </row>
    <row r="646" ht="15.75" customHeight="1">
      <c r="A646" s="45"/>
      <c r="B646" s="45"/>
      <c r="C646" s="45"/>
      <c r="D646" s="45"/>
      <c r="E646" s="45"/>
      <c r="F646" s="45"/>
      <c r="G646" s="45"/>
      <c r="H646" s="45"/>
      <c r="I646" s="45"/>
      <c r="J646" s="45"/>
      <c r="K646" s="45"/>
      <c r="L646" s="45"/>
      <c r="M646" s="45"/>
    </row>
    <row r="647" ht="15.75" customHeight="1">
      <c r="A647" s="45"/>
      <c r="B647" s="45"/>
      <c r="C647" s="45"/>
      <c r="D647" s="45"/>
      <c r="E647" s="45"/>
      <c r="F647" s="45"/>
      <c r="G647" s="45"/>
      <c r="H647" s="45"/>
      <c r="I647" s="45"/>
      <c r="J647" s="45"/>
      <c r="K647" s="45"/>
      <c r="L647" s="45"/>
      <c r="M647" s="45"/>
    </row>
    <row r="648" ht="15.75" customHeight="1">
      <c r="A648" s="45"/>
      <c r="B648" s="45"/>
      <c r="C648" s="45"/>
      <c r="D648" s="45"/>
      <c r="E648" s="45"/>
      <c r="F648" s="45"/>
      <c r="G648" s="45"/>
      <c r="H648" s="45"/>
      <c r="I648" s="45"/>
      <c r="J648" s="45"/>
      <c r="K648" s="45"/>
      <c r="L648" s="45"/>
      <c r="M648" s="45"/>
    </row>
    <row r="649" ht="15.75" customHeight="1">
      <c r="A649" s="45"/>
      <c r="B649" s="45"/>
      <c r="C649" s="45"/>
      <c r="D649" s="45"/>
      <c r="E649" s="45"/>
      <c r="F649" s="45"/>
      <c r="G649" s="45"/>
      <c r="H649" s="45"/>
      <c r="I649" s="45"/>
      <c r="J649" s="45"/>
      <c r="K649" s="45"/>
      <c r="L649" s="45"/>
      <c r="M649" s="45"/>
    </row>
    <row r="650" ht="15.75" customHeight="1">
      <c r="A650" s="45"/>
      <c r="B650" s="45"/>
      <c r="C650" s="45"/>
      <c r="D650" s="45"/>
      <c r="E650" s="45"/>
      <c r="F650" s="45"/>
      <c r="G650" s="45"/>
      <c r="H650" s="45"/>
      <c r="I650" s="45"/>
      <c r="J650" s="45"/>
      <c r="K650" s="45"/>
      <c r="L650" s="45"/>
      <c r="M650" s="45"/>
    </row>
    <row r="651" ht="15.75" customHeight="1">
      <c r="A651" s="45"/>
      <c r="B651" s="45"/>
      <c r="C651" s="45"/>
      <c r="D651" s="45"/>
      <c r="E651" s="45"/>
      <c r="F651" s="45"/>
      <c r="G651" s="45"/>
      <c r="H651" s="45"/>
      <c r="I651" s="45"/>
      <c r="J651" s="45"/>
      <c r="K651" s="45"/>
      <c r="L651" s="45"/>
      <c r="M651" s="45"/>
    </row>
    <row r="652" ht="15.75" customHeight="1">
      <c r="A652" s="45"/>
      <c r="B652" s="45"/>
      <c r="C652" s="45"/>
      <c r="D652" s="45"/>
      <c r="E652" s="45"/>
      <c r="F652" s="45"/>
      <c r="G652" s="45"/>
      <c r="H652" s="45"/>
      <c r="I652" s="45"/>
      <c r="J652" s="45"/>
      <c r="K652" s="45"/>
      <c r="L652" s="45"/>
      <c r="M652" s="45"/>
    </row>
    <row r="653" ht="15.75" customHeight="1">
      <c r="A653" s="45"/>
      <c r="B653" s="45"/>
      <c r="C653" s="45"/>
      <c r="D653" s="45"/>
      <c r="E653" s="45"/>
      <c r="F653" s="45"/>
      <c r="G653" s="45"/>
      <c r="H653" s="45"/>
      <c r="I653" s="45"/>
      <c r="J653" s="45"/>
      <c r="K653" s="45"/>
      <c r="L653" s="45"/>
      <c r="M653" s="45"/>
    </row>
    <row r="654" ht="15.75" customHeight="1">
      <c r="A654" s="45"/>
      <c r="B654" s="45"/>
      <c r="C654" s="45"/>
      <c r="D654" s="45"/>
      <c r="E654" s="45"/>
      <c r="F654" s="45"/>
      <c r="G654" s="45"/>
      <c r="H654" s="45"/>
      <c r="I654" s="45"/>
      <c r="J654" s="45"/>
      <c r="K654" s="45"/>
      <c r="L654" s="45"/>
      <c r="M654" s="45"/>
    </row>
    <row r="655" ht="15.75" customHeight="1">
      <c r="A655" s="45"/>
      <c r="B655" s="45"/>
      <c r="C655" s="45"/>
      <c r="D655" s="45"/>
      <c r="E655" s="45"/>
      <c r="F655" s="45"/>
      <c r="G655" s="45"/>
      <c r="H655" s="45"/>
      <c r="I655" s="45"/>
      <c r="J655" s="45"/>
      <c r="K655" s="45"/>
      <c r="L655" s="45"/>
      <c r="M655" s="45"/>
    </row>
    <row r="656" ht="15.75" customHeight="1">
      <c r="A656" s="45"/>
      <c r="B656" s="45"/>
      <c r="C656" s="45"/>
      <c r="D656" s="45"/>
      <c r="E656" s="45"/>
      <c r="F656" s="45"/>
      <c r="G656" s="45"/>
      <c r="H656" s="45"/>
      <c r="I656" s="45"/>
      <c r="J656" s="45"/>
      <c r="K656" s="45"/>
      <c r="L656" s="45"/>
      <c r="M656" s="45"/>
    </row>
    <row r="657" ht="15.75" customHeight="1">
      <c r="A657" s="45"/>
      <c r="B657" s="45"/>
      <c r="C657" s="45"/>
      <c r="D657" s="45"/>
      <c r="E657" s="45"/>
      <c r="F657" s="45"/>
      <c r="G657" s="45"/>
      <c r="H657" s="45"/>
      <c r="I657" s="45"/>
      <c r="J657" s="45"/>
      <c r="K657" s="45"/>
      <c r="L657" s="45"/>
      <c r="M657" s="45"/>
    </row>
    <row r="658" ht="15.75" customHeight="1">
      <c r="A658" s="45"/>
      <c r="B658" s="45"/>
      <c r="C658" s="45"/>
      <c r="D658" s="45"/>
      <c r="E658" s="45"/>
      <c r="F658" s="45"/>
      <c r="G658" s="45"/>
      <c r="H658" s="45"/>
      <c r="I658" s="45"/>
      <c r="J658" s="45"/>
      <c r="K658" s="45"/>
      <c r="L658" s="45"/>
      <c r="M658" s="45"/>
    </row>
    <row r="659" ht="15.75" customHeight="1">
      <c r="A659" s="45"/>
      <c r="B659" s="45"/>
      <c r="C659" s="45"/>
      <c r="D659" s="45"/>
      <c r="E659" s="45"/>
      <c r="F659" s="45"/>
      <c r="G659" s="45"/>
      <c r="H659" s="45"/>
      <c r="I659" s="45"/>
      <c r="J659" s="45"/>
      <c r="K659" s="45"/>
      <c r="L659" s="45"/>
      <c r="M659" s="45"/>
    </row>
    <row r="660" ht="15.75" customHeight="1">
      <c r="A660" s="45"/>
      <c r="B660" s="45"/>
      <c r="C660" s="45"/>
      <c r="D660" s="45"/>
      <c r="E660" s="45"/>
      <c r="F660" s="45"/>
      <c r="G660" s="45"/>
      <c r="H660" s="45"/>
      <c r="I660" s="45"/>
      <c r="J660" s="45"/>
      <c r="K660" s="45"/>
      <c r="L660" s="45"/>
      <c r="M660" s="45"/>
    </row>
    <row r="661" ht="15.75" customHeight="1">
      <c r="A661" s="45"/>
      <c r="B661" s="45"/>
      <c r="C661" s="45"/>
      <c r="D661" s="45"/>
      <c r="E661" s="45"/>
      <c r="F661" s="45"/>
      <c r="G661" s="45"/>
      <c r="H661" s="45"/>
      <c r="I661" s="45"/>
      <c r="J661" s="45"/>
      <c r="K661" s="45"/>
      <c r="L661" s="45"/>
      <c r="M661" s="45"/>
    </row>
    <row r="662" ht="15.75" customHeight="1">
      <c r="A662" s="45"/>
      <c r="B662" s="45"/>
      <c r="C662" s="45"/>
      <c r="D662" s="45"/>
      <c r="E662" s="45"/>
      <c r="F662" s="45"/>
      <c r="G662" s="45"/>
      <c r="H662" s="45"/>
      <c r="I662" s="45"/>
      <c r="J662" s="45"/>
      <c r="K662" s="45"/>
      <c r="L662" s="45"/>
      <c r="M662" s="45"/>
    </row>
    <row r="663" ht="15.75" customHeight="1">
      <c r="A663" s="45"/>
      <c r="B663" s="45"/>
      <c r="C663" s="45"/>
      <c r="D663" s="45"/>
      <c r="E663" s="45"/>
      <c r="F663" s="45"/>
      <c r="G663" s="45"/>
      <c r="H663" s="45"/>
      <c r="I663" s="45"/>
      <c r="J663" s="45"/>
      <c r="K663" s="45"/>
      <c r="L663" s="45"/>
      <c r="M663" s="45"/>
    </row>
    <row r="664" ht="15.75" customHeight="1">
      <c r="A664" s="45"/>
      <c r="B664" s="45"/>
      <c r="C664" s="45"/>
      <c r="D664" s="45"/>
      <c r="E664" s="45"/>
      <c r="F664" s="45"/>
      <c r="G664" s="45"/>
      <c r="H664" s="45"/>
      <c r="I664" s="45"/>
      <c r="J664" s="45"/>
      <c r="K664" s="45"/>
      <c r="L664" s="45"/>
      <c r="M664" s="45"/>
    </row>
    <row r="665" ht="15.75" customHeight="1">
      <c r="A665" s="45"/>
      <c r="B665" s="45"/>
      <c r="C665" s="45"/>
      <c r="D665" s="45"/>
      <c r="E665" s="45"/>
      <c r="F665" s="45"/>
      <c r="G665" s="45"/>
      <c r="H665" s="45"/>
      <c r="I665" s="45"/>
      <c r="J665" s="45"/>
      <c r="K665" s="45"/>
      <c r="L665" s="45"/>
      <c r="M665" s="45"/>
    </row>
    <row r="666" ht="15.75" customHeight="1">
      <c r="A666" s="45"/>
      <c r="B666" s="45"/>
      <c r="C666" s="45"/>
      <c r="D666" s="45"/>
      <c r="E666" s="45"/>
      <c r="F666" s="45"/>
      <c r="G666" s="45"/>
      <c r="H666" s="45"/>
      <c r="I666" s="45"/>
      <c r="J666" s="45"/>
      <c r="K666" s="45"/>
      <c r="L666" s="45"/>
      <c r="M666" s="45"/>
    </row>
    <row r="667" ht="15.75" customHeight="1">
      <c r="A667" s="45"/>
      <c r="B667" s="45"/>
      <c r="C667" s="45"/>
      <c r="D667" s="45"/>
      <c r="E667" s="45"/>
      <c r="F667" s="45"/>
      <c r="G667" s="45"/>
      <c r="H667" s="45"/>
      <c r="I667" s="45"/>
      <c r="J667" s="45"/>
      <c r="K667" s="45"/>
      <c r="L667" s="45"/>
      <c r="M667" s="45"/>
    </row>
    <row r="668" ht="15.75" customHeight="1">
      <c r="A668" s="45"/>
      <c r="B668" s="45"/>
      <c r="C668" s="45"/>
      <c r="D668" s="45"/>
      <c r="E668" s="45"/>
      <c r="F668" s="45"/>
      <c r="G668" s="45"/>
      <c r="H668" s="45"/>
      <c r="I668" s="45"/>
      <c r="J668" s="45"/>
      <c r="K668" s="45"/>
      <c r="L668" s="45"/>
      <c r="M668" s="45"/>
    </row>
    <row r="669" ht="15.75" customHeight="1">
      <c r="A669" s="45"/>
      <c r="B669" s="45"/>
      <c r="C669" s="45"/>
      <c r="D669" s="45"/>
      <c r="E669" s="45"/>
      <c r="F669" s="45"/>
      <c r="G669" s="45"/>
      <c r="H669" s="45"/>
      <c r="I669" s="45"/>
      <c r="J669" s="45"/>
      <c r="K669" s="45"/>
      <c r="L669" s="45"/>
      <c r="M669" s="45"/>
    </row>
    <row r="670" ht="15.75" customHeight="1">
      <c r="A670" s="45"/>
      <c r="B670" s="45"/>
      <c r="C670" s="45"/>
      <c r="D670" s="45"/>
      <c r="E670" s="45"/>
      <c r="F670" s="45"/>
      <c r="G670" s="45"/>
      <c r="H670" s="45"/>
      <c r="I670" s="45"/>
      <c r="J670" s="45"/>
      <c r="K670" s="45"/>
      <c r="L670" s="45"/>
      <c r="M670" s="45"/>
    </row>
    <row r="671" ht="15.75" customHeight="1">
      <c r="A671" s="45"/>
      <c r="B671" s="45"/>
      <c r="C671" s="45"/>
      <c r="D671" s="45"/>
      <c r="E671" s="45"/>
      <c r="F671" s="45"/>
      <c r="G671" s="45"/>
      <c r="H671" s="45"/>
      <c r="I671" s="45"/>
      <c r="J671" s="45"/>
      <c r="K671" s="45"/>
      <c r="L671" s="45"/>
      <c r="M671" s="45"/>
    </row>
    <row r="672" ht="15.75" customHeight="1">
      <c r="A672" s="45"/>
      <c r="B672" s="45"/>
      <c r="C672" s="45"/>
      <c r="D672" s="45"/>
      <c r="E672" s="45"/>
      <c r="F672" s="45"/>
      <c r="G672" s="45"/>
      <c r="H672" s="45"/>
      <c r="I672" s="45"/>
      <c r="J672" s="45"/>
      <c r="K672" s="45"/>
      <c r="L672" s="45"/>
      <c r="M672" s="45"/>
    </row>
    <row r="673" ht="15.75" customHeight="1">
      <c r="A673" s="45"/>
      <c r="B673" s="45"/>
      <c r="C673" s="45"/>
      <c r="D673" s="45"/>
      <c r="E673" s="45"/>
      <c r="F673" s="45"/>
      <c r="G673" s="45"/>
      <c r="H673" s="45"/>
      <c r="I673" s="45"/>
      <c r="J673" s="45"/>
      <c r="K673" s="45"/>
      <c r="L673" s="45"/>
      <c r="M673" s="45"/>
    </row>
    <row r="674" ht="15.75" customHeight="1">
      <c r="A674" s="45"/>
      <c r="B674" s="45"/>
      <c r="C674" s="45"/>
      <c r="D674" s="45"/>
      <c r="E674" s="45"/>
      <c r="F674" s="45"/>
      <c r="G674" s="45"/>
      <c r="H674" s="45"/>
      <c r="I674" s="45"/>
      <c r="J674" s="45"/>
      <c r="K674" s="45"/>
      <c r="L674" s="45"/>
      <c r="M674" s="45"/>
    </row>
    <row r="675" ht="15.75" customHeight="1">
      <c r="A675" s="45"/>
      <c r="B675" s="45"/>
      <c r="C675" s="45"/>
      <c r="D675" s="45"/>
      <c r="E675" s="45"/>
      <c r="F675" s="45"/>
      <c r="G675" s="45"/>
      <c r="H675" s="45"/>
      <c r="I675" s="45"/>
      <c r="J675" s="45"/>
      <c r="K675" s="45"/>
      <c r="L675" s="45"/>
      <c r="M675" s="45"/>
    </row>
    <row r="676" ht="15.75" customHeight="1">
      <c r="A676" s="45"/>
      <c r="B676" s="45"/>
      <c r="C676" s="45"/>
      <c r="D676" s="45"/>
      <c r="E676" s="45"/>
      <c r="F676" s="45"/>
      <c r="G676" s="45"/>
      <c r="H676" s="45"/>
      <c r="I676" s="45"/>
      <c r="J676" s="45"/>
      <c r="K676" s="45"/>
      <c r="L676" s="45"/>
      <c r="M676" s="45"/>
    </row>
    <row r="677" ht="15.75" customHeight="1">
      <c r="A677" s="45"/>
      <c r="B677" s="45"/>
      <c r="C677" s="45"/>
      <c r="D677" s="45"/>
      <c r="E677" s="45"/>
      <c r="F677" s="45"/>
      <c r="G677" s="45"/>
      <c r="H677" s="45"/>
      <c r="I677" s="45"/>
      <c r="J677" s="45"/>
      <c r="K677" s="45"/>
      <c r="L677" s="45"/>
      <c r="M677" s="45"/>
    </row>
    <row r="678" ht="15.75" customHeight="1">
      <c r="A678" s="45"/>
      <c r="B678" s="45"/>
      <c r="C678" s="45"/>
      <c r="D678" s="45"/>
      <c r="E678" s="45"/>
      <c r="F678" s="45"/>
      <c r="G678" s="45"/>
      <c r="H678" s="45"/>
      <c r="I678" s="45"/>
      <c r="J678" s="45"/>
      <c r="K678" s="45"/>
      <c r="L678" s="45"/>
      <c r="M678" s="45"/>
    </row>
    <row r="679" ht="15.75" customHeight="1">
      <c r="A679" s="45"/>
      <c r="B679" s="45"/>
      <c r="C679" s="45"/>
      <c r="D679" s="45"/>
      <c r="E679" s="45"/>
      <c r="F679" s="45"/>
      <c r="G679" s="45"/>
      <c r="H679" s="45"/>
      <c r="I679" s="45"/>
      <c r="J679" s="45"/>
      <c r="K679" s="45"/>
      <c r="L679" s="45"/>
      <c r="M679" s="45"/>
    </row>
    <row r="680" ht="15.75" customHeight="1">
      <c r="A680" s="45"/>
      <c r="B680" s="45"/>
      <c r="C680" s="45"/>
      <c r="D680" s="45"/>
      <c r="E680" s="45"/>
      <c r="F680" s="45"/>
      <c r="G680" s="45"/>
      <c r="H680" s="45"/>
      <c r="I680" s="45"/>
      <c r="J680" s="45"/>
      <c r="K680" s="45"/>
      <c r="L680" s="45"/>
      <c r="M680" s="45"/>
    </row>
    <row r="681" ht="15.75" customHeight="1">
      <c r="A681" s="45"/>
      <c r="B681" s="45"/>
      <c r="C681" s="45"/>
      <c r="D681" s="45"/>
      <c r="E681" s="45"/>
      <c r="F681" s="45"/>
      <c r="G681" s="45"/>
      <c r="H681" s="45"/>
      <c r="I681" s="45"/>
      <c r="J681" s="45"/>
      <c r="K681" s="45"/>
      <c r="L681" s="45"/>
      <c r="M681" s="45"/>
    </row>
    <row r="682" ht="15.75" customHeight="1">
      <c r="A682" s="45"/>
      <c r="B682" s="45"/>
      <c r="C682" s="45"/>
      <c r="D682" s="45"/>
      <c r="E682" s="45"/>
      <c r="F682" s="45"/>
      <c r="G682" s="45"/>
      <c r="H682" s="45"/>
      <c r="I682" s="45"/>
      <c r="J682" s="45"/>
      <c r="K682" s="45"/>
      <c r="L682" s="45"/>
      <c r="M682" s="45"/>
    </row>
    <row r="683" ht="15.75" customHeight="1">
      <c r="A683" s="45"/>
      <c r="B683" s="45"/>
      <c r="C683" s="45"/>
      <c r="D683" s="45"/>
      <c r="E683" s="45"/>
      <c r="F683" s="45"/>
      <c r="G683" s="45"/>
      <c r="H683" s="45"/>
      <c r="I683" s="45"/>
      <c r="J683" s="45"/>
      <c r="K683" s="45"/>
      <c r="L683" s="45"/>
      <c r="M683" s="45"/>
    </row>
    <row r="684" ht="15.75" customHeight="1">
      <c r="A684" s="45"/>
      <c r="B684" s="45"/>
      <c r="C684" s="45"/>
      <c r="D684" s="45"/>
      <c r="E684" s="45"/>
      <c r="F684" s="45"/>
      <c r="G684" s="45"/>
      <c r="H684" s="45"/>
      <c r="I684" s="45"/>
      <c r="J684" s="45"/>
      <c r="K684" s="45"/>
      <c r="L684" s="45"/>
      <c r="M684" s="45"/>
    </row>
    <row r="685" ht="15.75" customHeight="1">
      <c r="A685" s="45"/>
      <c r="B685" s="45"/>
      <c r="C685" s="45"/>
      <c r="D685" s="45"/>
      <c r="E685" s="45"/>
      <c r="F685" s="45"/>
      <c r="G685" s="45"/>
      <c r="H685" s="45"/>
      <c r="I685" s="45"/>
      <c r="J685" s="45"/>
      <c r="K685" s="45"/>
      <c r="L685" s="45"/>
      <c r="M685" s="45"/>
    </row>
    <row r="686" ht="15.75" customHeight="1">
      <c r="A686" s="45"/>
      <c r="B686" s="45"/>
      <c r="C686" s="45"/>
      <c r="D686" s="45"/>
      <c r="E686" s="45"/>
      <c r="F686" s="45"/>
      <c r="G686" s="45"/>
      <c r="H686" s="45"/>
      <c r="I686" s="45"/>
      <c r="J686" s="45"/>
      <c r="K686" s="45"/>
      <c r="L686" s="45"/>
      <c r="M686" s="45"/>
    </row>
    <row r="687" ht="15.75" customHeight="1">
      <c r="A687" s="45"/>
      <c r="B687" s="45"/>
      <c r="C687" s="45"/>
      <c r="D687" s="45"/>
      <c r="E687" s="45"/>
      <c r="F687" s="45"/>
      <c r="G687" s="45"/>
      <c r="H687" s="45"/>
      <c r="I687" s="45"/>
      <c r="J687" s="45"/>
      <c r="K687" s="45"/>
      <c r="L687" s="45"/>
      <c r="M687" s="45"/>
    </row>
    <row r="688" ht="15.75" customHeight="1">
      <c r="A688" s="45"/>
      <c r="B688" s="45"/>
      <c r="C688" s="45"/>
      <c r="D688" s="45"/>
      <c r="E688" s="45"/>
      <c r="F688" s="45"/>
      <c r="G688" s="45"/>
      <c r="H688" s="45"/>
      <c r="I688" s="45"/>
      <c r="J688" s="45"/>
      <c r="K688" s="45"/>
      <c r="L688" s="45"/>
      <c r="M688" s="45"/>
    </row>
    <row r="689" ht="15.75" customHeight="1">
      <c r="A689" s="45"/>
      <c r="B689" s="45"/>
      <c r="C689" s="45"/>
      <c r="D689" s="45"/>
      <c r="E689" s="45"/>
      <c r="F689" s="45"/>
      <c r="G689" s="45"/>
      <c r="H689" s="45"/>
      <c r="I689" s="45"/>
      <c r="J689" s="45"/>
      <c r="K689" s="45"/>
      <c r="L689" s="45"/>
      <c r="M689" s="45"/>
    </row>
    <row r="690" ht="15.75" customHeight="1">
      <c r="A690" s="45"/>
      <c r="B690" s="45"/>
      <c r="C690" s="45"/>
      <c r="D690" s="45"/>
      <c r="E690" s="45"/>
      <c r="F690" s="45"/>
      <c r="G690" s="45"/>
      <c r="H690" s="45"/>
      <c r="I690" s="45"/>
      <c r="J690" s="45"/>
      <c r="K690" s="45"/>
      <c r="L690" s="45"/>
      <c r="M690" s="45"/>
    </row>
    <row r="691" ht="15.75" customHeight="1">
      <c r="A691" s="45"/>
      <c r="B691" s="45"/>
      <c r="C691" s="45"/>
      <c r="D691" s="45"/>
      <c r="E691" s="45"/>
      <c r="F691" s="45"/>
      <c r="G691" s="45"/>
      <c r="H691" s="45"/>
      <c r="I691" s="45"/>
      <c r="J691" s="45"/>
      <c r="K691" s="45"/>
      <c r="L691" s="45"/>
      <c r="M691" s="45"/>
    </row>
    <row r="692" ht="15.75" customHeight="1">
      <c r="A692" s="45"/>
      <c r="B692" s="45"/>
      <c r="C692" s="45"/>
      <c r="D692" s="45"/>
      <c r="E692" s="45"/>
      <c r="F692" s="45"/>
      <c r="G692" s="45"/>
      <c r="H692" s="45"/>
      <c r="I692" s="45"/>
      <c r="J692" s="45"/>
      <c r="K692" s="45"/>
      <c r="L692" s="45"/>
      <c r="M692" s="45"/>
    </row>
    <row r="693" ht="15.75" customHeight="1">
      <c r="A693" s="45"/>
      <c r="B693" s="45"/>
      <c r="C693" s="45"/>
      <c r="D693" s="45"/>
      <c r="E693" s="45"/>
      <c r="F693" s="45"/>
      <c r="G693" s="45"/>
      <c r="H693" s="45"/>
      <c r="I693" s="45"/>
      <c r="J693" s="45"/>
      <c r="K693" s="45"/>
      <c r="L693" s="45"/>
      <c r="M693" s="45"/>
    </row>
    <row r="694" ht="15.75" customHeight="1">
      <c r="A694" s="45"/>
      <c r="B694" s="45"/>
      <c r="C694" s="45"/>
      <c r="D694" s="45"/>
      <c r="E694" s="45"/>
      <c r="F694" s="45"/>
      <c r="G694" s="45"/>
      <c r="H694" s="45"/>
      <c r="I694" s="45"/>
      <c r="J694" s="45"/>
      <c r="K694" s="45"/>
      <c r="L694" s="45"/>
      <c r="M694" s="45"/>
    </row>
    <row r="695" ht="15.75" customHeight="1">
      <c r="A695" s="45"/>
      <c r="B695" s="45"/>
      <c r="C695" s="45"/>
      <c r="D695" s="45"/>
      <c r="E695" s="45"/>
      <c r="F695" s="45"/>
      <c r="G695" s="45"/>
      <c r="H695" s="45"/>
      <c r="I695" s="45"/>
      <c r="J695" s="45"/>
      <c r="K695" s="45"/>
      <c r="L695" s="45"/>
      <c r="M695" s="45"/>
    </row>
    <row r="696" ht="15.75" customHeight="1">
      <c r="A696" s="45"/>
      <c r="B696" s="45"/>
      <c r="C696" s="45"/>
      <c r="D696" s="45"/>
      <c r="E696" s="45"/>
      <c r="F696" s="45"/>
      <c r="G696" s="45"/>
      <c r="H696" s="45"/>
      <c r="I696" s="45"/>
      <c r="J696" s="45"/>
      <c r="K696" s="45"/>
      <c r="L696" s="45"/>
      <c r="M696" s="45"/>
    </row>
    <row r="697" ht="15.75" customHeight="1">
      <c r="A697" s="45"/>
      <c r="B697" s="45"/>
      <c r="C697" s="45"/>
      <c r="D697" s="45"/>
      <c r="E697" s="45"/>
      <c r="F697" s="45"/>
      <c r="G697" s="45"/>
      <c r="H697" s="45"/>
      <c r="I697" s="45"/>
      <c r="J697" s="45"/>
      <c r="K697" s="45"/>
      <c r="L697" s="45"/>
      <c r="M697" s="45"/>
    </row>
    <row r="698" ht="15.75" customHeight="1">
      <c r="A698" s="45"/>
      <c r="B698" s="45"/>
      <c r="C698" s="45"/>
      <c r="D698" s="45"/>
      <c r="E698" s="45"/>
      <c r="F698" s="45"/>
      <c r="G698" s="45"/>
      <c r="H698" s="45"/>
      <c r="I698" s="45"/>
      <c r="J698" s="45"/>
      <c r="K698" s="45"/>
      <c r="L698" s="45"/>
      <c r="M698" s="45"/>
    </row>
    <row r="699" ht="15.75" customHeight="1">
      <c r="A699" s="45"/>
      <c r="B699" s="45"/>
      <c r="C699" s="45"/>
      <c r="D699" s="45"/>
      <c r="E699" s="45"/>
      <c r="F699" s="45"/>
      <c r="G699" s="45"/>
      <c r="H699" s="45"/>
      <c r="I699" s="45"/>
      <c r="J699" s="45"/>
      <c r="K699" s="45"/>
      <c r="L699" s="45"/>
      <c r="M699" s="45"/>
    </row>
    <row r="700" ht="15.75" customHeight="1">
      <c r="A700" s="45"/>
      <c r="B700" s="45"/>
      <c r="C700" s="45"/>
      <c r="D700" s="45"/>
      <c r="E700" s="45"/>
      <c r="F700" s="45"/>
      <c r="G700" s="45"/>
      <c r="H700" s="45"/>
      <c r="I700" s="45"/>
      <c r="J700" s="45"/>
      <c r="K700" s="45"/>
      <c r="L700" s="45"/>
      <c r="M700" s="45"/>
    </row>
    <row r="701" ht="15.75" customHeight="1">
      <c r="A701" s="45"/>
      <c r="B701" s="45"/>
      <c r="C701" s="45"/>
      <c r="D701" s="45"/>
      <c r="E701" s="45"/>
      <c r="F701" s="45"/>
      <c r="G701" s="45"/>
      <c r="H701" s="45"/>
      <c r="I701" s="45"/>
      <c r="J701" s="45"/>
      <c r="K701" s="45"/>
      <c r="L701" s="45"/>
      <c r="M701" s="45"/>
    </row>
    <row r="702" ht="15.75" customHeight="1">
      <c r="A702" s="45"/>
      <c r="B702" s="45"/>
      <c r="C702" s="45"/>
      <c r="D702" s="45"/>
      <c r="E702" s="45"/>
      <c r="F702" s="45"/>
      <c r="G702" s="45"/>
      <c r="H702" s="45"/>
      <c r="I702" s="45"/>
      <c r="J702" s="45"/>
      <c r="K702" s="45"/>
      <c r="L702" s="45"/>
      <c r="M702" s="45"/>
    </row>
    <row r="703" ht="15.75" customHeight="1">
      <c r="A703" s="45"/>
      <c r="B703" s="45"/>
      <c r="C703" s="45"/>
      <c r="D703" s="45"/>
      <c r="E703" s="45"/>
      <c r="F703" s="45"/>
      <c r="G703" s="45"/>
      <c r="H703" s="45"/>
      <c r="I703" s="45"/>
      <c r="J703" s="45"/>
      <c r="K703" s="45"/>
      <c r="L703" s="45"/>
      <c r="M703" s="45"/>
    </row>
    <row r="704" ht="15.75" customHeight="1">
      <c r="A704" s="45"/>
      <c r="B704" s="45"/>
      <c r="C704" s="45"/>
      <c r="D704" s="45"/>
      <c r="E704" s="45"/>
      <c r="F704" s="45"/>
      <c r="G704" s="45"/>
      <c r="H704" s="45"/>
      <c r="I704" s="45"/>
      <c r="J704" s="45"/>
      <c r="K704" s="45"/>
      <c r="L704" s="45"/>
      <c r="M704" s="45"/>
    </row>
    <row r="705" ht="15.75" customHeight="1">
      <c r="A705" s="45"/>
      <c r="B705" s="45"/>
      <c r="C705" s="45"/>
      <c r="D705" s="45"/>
      <c r="E705" s="45"/>
      <c r="F705" s="45"/>
      <c r="G705" s="45"/>
      <c r="H705" s="45"/>
      <c r="I705" s="45"/>
      <c r="J705" s="45"/>
      <c r="K705" s="45"/>
      <c r="L705" s="45"/>
      <c r="M705" s="45"/>
    </row>
    <row r="706" ht="15.75" customHeight="1">
      <c r="A706" s="45"/>
      <c r="B706" s="45"/>
      <c r="C706" s="45"/>
      <c r="D706" s="45"/>
      <c r="E706" s="45"/>
      <c r="F706" s="45"/>
      <c r="G706" s="45"/>
      <c r="H706" s="45"/>
      <c r="I706" s="45"/>
      <c r="J706" s="45"/>
      <c r="K706" s="45"/>
      <c r="L706" s="45"/>
      <c r="M706" s="45"/>
    </row>
    <row r="707" ht="15.75" customHeight="1">
      <c r="A707" s="45"/>
      <c r="B707" s="45"/>
      <c r="C707" s="45"/>
      <c r="D707" s="45"/>
      <c r="E707" s="45"/>
      <c r="F707" s="45"/>
      <c r="G707" s="45"/>
      <c r="H707" s="45"/>
      <c r="I707" s="45"/>
      <c r="J707" s="45"/>
      <c r="K707" s="45"/>
      <c r="L707" s="45"/>
      <c r="M707" s="45"/>
    </row>
    <row r="708" ht="15.75" customHeight="1">
      <c r="A708" s="45"/>
      <c r="B708" s="45"/>
      <c r="C708" s="45"/>
      <c r="D708" s="45"/>
      <c r="E708" s="45"/>
      <c r="F708" s="45"/>
      <c r="G708" s="45"/>
      <c r="H708" s="45"/>
      <c r="I708" s="45"/>
      <c r="J708" s="45"/>
      <c r="K708" s="45"/>
      <c r="L708" s="45"/>
      <c r="M708" s="45"/>
    </row>
    <row r="709" ht="15.75" customHeight="1">
      <c r="A709" s="45"/>
      <c r="B709" s="45"/>
      <c r="C709" s="45"/>
      <c r="D709" s="45"/>
      <c r="E709" s="45"/>
      <c r="F709" s="45"/>
      <c r="G709" s="45"/>
      <c r="H709" s="45"/>
      <c r="I709" s="45"/>
      <c r="J709" s="45"/>
      <c r="K709" s="45"/>
      <c r="L709" s="45"/>
      <c r="M709" s="45"/>
    </row>
    <row r="710" ht="15.75" customHeight="1">
      <c r="A710" s="45"/>
      <c r="B710" s="45"/>
      <c r="C710" s="45"/>
      <c r="D710" s="45"/>
      <c r="E710" s="45"/>
      <c r="F710" s="45"/>
      <c r="G710" s="45"/>
      <c r="H710" s="45"/>
      <c r="I710" s="45"/>
      <c r="J710" s="45"/>
      <c r="K710" s="45"/>
      <c r="L710" s="45"/>
      <c r="M710" s="45"/>
    </row>
    <row r="711" ht="15.75" customHeight="1">
      <c r="A711" s="45"/>
      <c r="B711" s="45"/>
      <c r="C711" s="45"/>
      <c r="D711" s="45"/>
      <c r="E711" s="45"/>
      <c r="F711" s="45"/>
      <c r="G711" s="45"/>
      <c r="H711" s="45"/>
      <c r="I711" s="45"/>
      <c r="J711" s="45"/>
      <c r="K711" s="45"/>
      <c r="L711" s="45"/>
      <c r="M711" s="45"/>
    </row>
    <row r="712" ht="15.75" customHeight="1">
      <c r="A712" s="45"/>
      <c r="B712" s="45"/>
      <c r="C712" s="45"/>
      <c r="D712" s="45"/>
      <c r="E712" s="45"/>
      <c r="F712" s="45"/>
      <c r="G712" s="45"/>
      <c r="H712" s="45"/>
      <c r="I712" s="45"/>
      <c r="J712" s="45"/>
      <c r="K712" s="45"/>
      <c r="L712" s="45"/>
      <c r="M712" s="45"/>
    </row>
    <row r="713" ht="15.75" customHeight="1">
      <c r="A713" s="45"/>
      <c r="B713" s="45"/>
      <c r="C713" s="45"/>
      <c r="D713" s="45"/>
      <c r="E713" s="45"/>
      <c r="F713" s="45"/>
      <c r="G713" s="45"/>
      <c r="H713" s="45"/>
      <c r="I713" s="45"/>
      <c r="J713" s="45"/>
      <c r="K713" s="45"/>
      <c r="L713" s="45"/>
      <c r="M713" s="45"/>
    </row>
    <row r="714" ht="15.75" customHeight="1">
      <c r="A714" s="45"/>
      <c r="B714" s="45"/>
      <c r="C714" s="45"/>
      <c r="D714" s="45"/>
      <c r="E714" s="45"/>
      <c r="F714" s="45"/>
      <c r="G714" s="45"/>
      <c r="H714" s="45"/>
      <c r="I714" s="45"/>
      <c r="J714" s="45"/>
      <c r="K714" s="45"/>
      <c r="L714" s="45"/>
      <c r="M714" s="45"/>
    </row>
    <row r="715" ht="15.75" customHeight="1">
      <c r="A715" s="45"/>
      <c r="B715" s="45"/>
      <c r="C715" s="45"/>
      <c r="D715" s="45"/>
      <c r="E715" s="45"/>
      <c r="F715" s="45"/>
      <c r="G715" s="45"/>
      <c r="H715" s="45"/>
      <c r="I715" s="45"/>
      <c r="J715" s="45"/>
      <c r="K715" s="45"/>
      <c r="L715" s="45"/>
      <c r="M715" s="45"/>
    </row>
    <row r="716" ht="15.75" customHeight="1">
      <c r="A716" s="45"/>
      <c r="B716" s="45"/>
      <c r="C716" s="45"/>
      <c r="D716" s="45"/>
      <c r="E716" s="45"/>
      <c r="F716" s="45"/>
      <c r="G716" s="45"/>
      <c r="H716" s="45"/>
      <c r="I716" s="45"/>
      <c r="J716" s="45"/>
      <c r="K716" s="45"/>
      <c r="L716" s="45"/>
      <c r="M716" s="45"/>
    </row>
    <row r="717" ht="15.75" customHeight="1">
      <c r="A717" s="45"/>
      <c r="B717" s="45"/>
      <c r="C717" s="45"/>
      <c r="D717" s="45"/>
      <c r="E717" s="45"/>
      <c r="F717" s="45"/>
      <c r="G717" s="45"/>
      <c r="H717" s="45"/>
      <c r="I717" s="45"/>
      <c r="J717" s="45"/>
      <c r="K717" s="45"/>
      <c r="L717" s="45"/>
      <c r="M717" s="45"/>
    </row>
    <row r="718" ht="15.75" customHeight="1">
      <c r="A718" s="45"/>
      <c r="B718" s="45"/>
      <c r="C718" s="45"/>
      <c r="D718" s="45"/>
      <c r="E718" s="45"/>
      <c r="F718" s="45"/>
      <c r="G718" s="45"/>
      <c r="H718" s="45"/>
      <c r="I718" s="45"/>
      <c r="J718" s="45"/>
      <c r="K718" s="45"/>
      <c r="L718" s="45"/>
      <c r="M718" s="45"/>
    </row>
    <row r="719" ht="15.75" customHeight="1">
      <c r="A719" s="45"/>
      <c r="B719" s="45"/>
      <c r="C719" s="45"/>
      <c r="D719" s="45"/>
      <c r="E719" s="45"/>
      <c r="F719" s="45"/>
      <c r="G719" s="45"/>
      <c r="H719" s="45"/>
      <c r="I719" s="45"/>
      <c r="J719" s="45"/>
      <c r="K719" s="45"/>
      <c r="L719" s="45"/>
      <c r="M719" s="45"/>
    </row>
    <row r="720" ht="15.75" customHeight="1">
      <c r="A720" s="45"/>
      <c r="B720" s="45"/>
      <c r="C720" s="45"/>
      <c r="D720" s="45"/>
      <c r="E720" s="45"/>
      <c r="F720" s="45"/>
      <c r="G720" s="45"/>
      <c r="H720" s="45"/>
      <c r="I720" s="45"/>
      <c r="J720" s="45"/>
      <c r="K720" s="45"/>
      <c r="L720" s="45"/>
      <c r="M720" s="45"/>
    </row>
    <row r="721" ht="15.75" customHeight="1">
      <c r="A721" s="45"/>
      <c r="B721" s="45"/>
      <c r="C721" s="45"/>
      <c r="D721" s="45"/>
      <c r="E721" s="45"/>
      <c r="F721" s="45"/>
      <c r="G721" s="45"/>
      <c r="H721" s="45"/>
      <c r="I721" s="45"/>
      <c r="J721" s="45"/>
      <c r="K721" s="45"/>
      <c r="L721" s="45"/>
      <c r="M721" s="45"/>
    </row>
    <row r="722" ht="15.75" customHeight="1">
      <c r="A722" s="45"/>
      <c r="B722" s="45"/>
      <c r="C722" s="45"/>
      <c r="D722" s="45"/>
      <c r="E722" s="45"/>
      <c r="F722" s="45"/>
      <c r="G722" s="45"/>
      <c r="H722" s="45"/>
      <c r="I722" s="45"/>
      <c r="J722" s="45"/>
      <c r="K722" s="45"/>
      <c r="L722" s="45"/>
      <c r="M722" s="45"/>
    </row>
    <row r="723" ht="15.75" customHeight="1">
      <c r="A723" s="45"/>
      <c r="B723" s="45"/>
      <c r="C723" s="45"/>
      <c r="D723" s="45"/>
      <c r="E723" s="45"/>
      <c r="F723" s="45"/>
      <c r="G723" s="45"/>
      <c r="H723" s="45"/>
      <c r="I723" s="45"/>
      <c r="J723" s="45"/>
      <c r="K723" s="45"/>
      <c r="L723" s="45"/>
      <c r="M723" s="45"/>
    </row>
    <row r="724" ht="15.75" customHeight="1">
      <c r="A724" s="45"/>
      <c r="B724" s="45"/>
      <c r="C724" s="45"/>
      <c r="D724" s="45"/>
      <c r="E724" s="45"/>
      <c r="F724" s="45"/>
      <c r="G724" s="45"/>
      <c r="H724" s="45"/>
      <c r="I724" s="45"/>
      <c r="J724" s="45"/>
      <c r="K724" s="45"/>
      <c r="L724" s="45"/>
      <c r="M724" s="45"/>
    </row>
    <row r="725" ht="15.75" customHeight="1">
      <c r="A725" s="45"/>
      <c r="B725" s="45"/>
      <c r="C725" s="45"/>
      <c r="D725" s="45"/>
      <c r="E725" s="45"/>
      <c r="F725" s="45"/>
      <c r="G725" s="45"/>
      <c r="H725" s="45"/>
      <c r="I725" s="45"/>
      <c r="J725" s="45"/>
      <c r="K725" s="45"/>
      <c r="L725" s="45"/>
      <c r="M725" s="45"/>
    </row>
    <row r="726" ht="15.75" customHeight="1">
      <c r="A726" s="45"/>
      <c r="B726" s="45"/>
      <c r="C726" s="45"/>
      <c r="D726" s="45"/>
      <c r="E726" s="45"/>
      <c r="F726" s="45"/>
      <c r="G726" s="45"/>
      <c r="H726" s="45"/>
      <c r="I726" s="45"/>
      <c r="J726" s="45"/>
      <c r="K726" s="45"/>
      <c r="L726" s="45"/>
      <c r="M726" s="45"/>
    </row>
    <row r="727" ht="15.75" customHeight="1">
      <c r="A727" s="45"/>
      <c r="B727" s="45"/>
      <c r="C727" s="45"/>
      <c r="D727" s="45"/>
      <c r="E727" s="45"/>
      <c r="F727" s="45"/>
      <c r="G727" s="45"/>
      <c r="H727" s="45"/>
      <c r="I727" s="45"/>
      <c r="J727" s="45"/>
      <c r="K727" s="45"/>
      <c r="L727" s="45"/>
      <c r="M727" s="45"/>
    </row>
    <row r="728" ht="15.75" customHeight="1">
      <c r="A728" s="45"/>
      <c r="B728" s="45"/>
      <c r="C728" s="45"/>
      <c r="D728" s="45"/>
      <c r="E728" s="45"/>
      <c r="F728" s="45"/>
      <c r="G728" s="45"/>
      <c r="H728" s="45"/>
      <c r="I728" s="45"/>
      <c r="J728" s="45"/>
      <c r="K728" s="45"/>
      <c r="L728" s="45"/>
      <c r="M728" s="45"/>
    </row>
    <row r="729" ht="15.75" customHeight="1">
      <c r="A729" s="45"/>
      <c r="B729" s="45"/>
      <c r="C729" s="45"/>
      <c r="D729" s="45"/>
      <c r="E729" s="45"/>
      <c r="F729" s="45"/>
      <c r="G729" s="45"/>
      <c r="H729" s="45"/>
      <c r="I729" s="45"/>
      <c r="J729" s="45"/>
      <c r="K729" s="45"/>
      <c r="L729" s="45"/>
      <c r="M729" s="45"/>
    </row>
    <row r="730" ht="15.75" customHeight="1">
      <c r="A730" s="45"/>
      <c r="B730" s="45"/>
      <c r="C730" s="45"/>
      <c r="D730" s="45"/>
      <c r="E730" s="45"/>
      <c r="F730" s="45"/>
      <c r="G730" s="45"/>
      <c r="H730" s="45"/>
      <c r="I730" s="45"/>
      <c r="J730" s="45"/>
      <c r="K730" s="45"/>
      <c r="L730" s="45"/>
      <c r="M730" s="45"/>
    </row>
    <row r="731" ht="15.75" customHeight="1">
      <c r="A731" s="45"/>
      <c r="B731" s="45"/>
      <c r="C731" s="45"/>
      <c r="D731" s="45"/>
      <c r="E731" s="45"/>
      <c r="F731" s="45"/>
      <c r="G731" s="45"/>
      <c r="H731" s="45"/>
      <c r="I731" s="45"/>
      <c r="J731" s="45"/>
      <c r="K731" s="45"/>
      <c r="L731" s="45"/>
      <c r="M731" s="45"/>
    </row>
    <row r="732" ht="15.75" customHeight="1">
      <c r="A732" s="45"/>
      <c r="B732" s="45"/>
      <c r="C732" s="45"/>
      <c r="D732" s="45"/>
      <c r="E732" s="45"/>
      <c r="F732" s="45"/>
      <c r="G732" s="45"/>
      <c r="H732" s="45"/>
      <c r="I732" s="45"/>
      <c r="J732" s="45"/>
      <c r="K732" s="45"/>
      <c r="L732" s="45"/>
      <c r="M732" s="45"/>
    </row>
    <row r="733" ht="15.75" customHeight="1">
      <c r="A733" s="45"/>
      <c r="B733" s="45"/>
      <c r="C733" s="45"/>
      <c r="D733" s="45"/>
      <c r="E733" s="45"/>
      <c r="F733" s="45"/>
      <c r="G733" s="45"/>
      <c r="H733" s="45"/>
      <c r="I733" s="45"/>
      <c r="J733" s="45"/>
      <c r="K733" s="45"/>
      <c r="L733" s="45"/>
      <c r="M733" s="45"/>
    </row>
    <row r="734" ht="15.75" customHeight="1">
      <c r="A734" s="45"/>
      <c r="B734" s="45"/>
      <c r="C734" s="45"/>
      <c r="D734" s="45"/>
      <c r="E734" s="45"/>
      <c r="F734" s="45"/>
      <c r="G734" s="45"/>
      <c r="H734" s="45"/>
      <c r="I734" s="45"/>
      <c r="J734" s="45"/>
      <c r="K734" s="45"/>
      <c r="L734" s="45"/>
      <c r="M734" s="45"/>
    </row>
    <row r="735" ht="15.75" customHeight="1">
      <c r="A735" s="45"/>
      <c r="B735" s="45"/>
      <c r="C735" s="45"/>
      <c r="D735" s="45"/>
      <c r="E735" s="45"/>
      <c r="F735" s="45"/>
      <c r="G735" s="45"/>
      <c r="H735" s="45"/>
      <c r="I735" s="45"/>
      <c r="J735" s="45"/>
      <c r="K735" s="45"/>
      <c r="L735" s="45"/>
      <c r="M735" s="45"/>
    </row>
    <row r="736" ht="15.75" customHeight="1">
      <c r="A736" s="45"/>
      <c r="B736" s="45"/>
      <c r="C736" s="45"/>
      <c r="D736" s="45"/>
      <c r="E736" s="45"/>
      <c r="F736" s="45"/>
      <c r="G736" s="45"/>
      <c r="H736" s="45"/>
      <c r="I736" s="45"/>
      <c r="J736" s="45"/>
      <c r="K736" s="45"/>
      <c r="L736" s="45"/>
      <c r="M736" s="45"/>
    </row>
    <row r="737" ht="15.75" customHeight="1">
      <c r="A737" s="45"/>
      <c r="B737" s="45"/>
      <c r="C737" s="45"/>
      <c r="D737" s="45"/>
      <c r="E737" s="45"/>
      <c r="F737" s="45"/>
      <c r="G737" s="45"/>
      <c r="H737" s="45"/>
      <c r="I737" s="45"/>
      <c r="J737" s="45"/>
      <c r="K737" s="45"/>
      <c r="L737" s="45"/>
      <c r="M737" s="45"/>
    </row>
    <row r="738" ht="15.75" customHeight="1">
      <c r="A738" s="45"/>
      <c r="B738" s="45"/>
      <c r="C738" s="45"/>
      <c r="D738" s="45"/>
      <c r="E738" s="45"/>
      <c r="F738" s="45"/>
      <c r="G738" s="45"/>
      <c r="H738" s="45"/>
      <c r="I738" s="45"/>
      <c r="J738" s="45"/>
      <c r="K738" s="45"/>
      <c r="L738" s="45"/>
      <c r="M738" s="45"/>
    </row>
    <row r="739" ht="15.75" customHeight="1">
      <c r="A739" s="45"/>
      <c r="B739" s="45"/>
      <c r="C739" s="45"/>
      <c r="D739" s="45"/>
      <c r="E739" s="45"/>
      <c r="F739" s="45"/>
      <c r="G739" s="45"/>
      <c r="H739" s="45"/>
      <c r="I739" s="45"/>
      <c r="J739" s="45"/>
      <c r="K739" s="45"/>
      <c r="L739" s="45"/>
      <c r="M739" s="45"/>
    </row>
    <row r="740" ht="15.75" customHeight="1">
      <c r="A740" s="45"/>
      <c r="B740" s="45"/>
      <c r="C740" s="45"/>
      <c r="D740" s="45"/>
      <c r="E740" s="45"/>
      <c r="F740" s="45"/>
      <c r="G740" s="45"/>
      <c r="H740" s="45"/>
      <c r="I740" s="45"/>
      <c r="J740" s="45"/>
      <c r="K740" s="45"/>
      <c r="L740" s="45"/>
      <c r="M740" s="45"/>
    </row>
    <row r="741" ht="15.75" customHeight="1">
      <c r="A741" s="45"/>
      <c r="B741" s="45"/>
      <c r="C741" s="45"/>
      <c r="D741" s="45"/>
      <c r="E741" s="45"/>
      <c r="F741" s="45"/>
      <c r="G741" s="45"/>
      <c r="H741" s="45"/>
      <c r="I741" s="45"/>
      <c r="J741" s="45"/>
      <c r="K741" s="45"/>
      <c r="L741" s="45"/>
      <c r="M741" s="45"/>
    </row>
    <row r="742" ht="15.75" customHeight="1">
      <c r="A742" s="45"/>
      <c r="B742" s="45"/>
      <c r="C742" s="45"/>
      <c r="D742" s="45"/>
      <c r="E742" s="45"/>
      <c r="F742" s="45"/>
      <c r="G742" s="45"/>
      <c r="H742" s="45"/>
      <c r="I742" s="45"/>
      <c r="J742" s="45"/>
      <c r="K742" s="45"/>
      <c r="L742" s="45"/>
      <c r="M742" s="45"/>
    </row>
    <row r="743" ht="15.75" customHeight="1">
      <c r="A743" s="45"/>
      <c r="B743" s="45"/>
      <c r="C743" s="45"/>
      <c r="D743" s="45"/>
      <c r="E743" s="45"/>
      <c r="F743" s="45"/>
      <c r="G743" s="45"/>
      <c r="H743" s="45"/>
      <c r="I743" s="45"/>
      <c r="J743" s="45"/>
      <c r="K743" s="45"/>
      <c r="L743" s="45"/>
      <c r="M743" s="45"/>
    </row>
    <row r="744" ht="15.75" customHeight="1">
      <c r="A744" s="45"/>
      <c r="B744" s="45"/>
      <c r="C744" s="45"/>
      <c r="D744" s="45"/>
      <c r="E744" s="45"/>
      <c r="F744" s="45"/>
      <c r="G744" s="45"/>
      <c r="H744" s="45"/>
      <c r="I744" s="45"/>
      <c r="J744" s="45"/>
      <c r="K744" s="45"/>
      <c r="L744" s="45"/>
      <c r="M744" s="45"/>
    </row>
    <row r="745" ht="15.75" customHeight="1">
      <c r="A745" s="45"/>
      <c r="B745" s="45"/>
      <c r="C745" s="45"/>
      <c r="D745" s="45"/>
      <c r="E745" s="45"/>
      <c r="F745" s="45"/>
      <c r="G745" s="45"/>
      <c r="H745" s="45"/>
      <c r="I745" s="45"/>
      <c r="J745" s="45"/>
      <c r="K745" s="45"/>
      <c r="L745" s="45"/>
      <c r="M745" s="45"/>
    </row>
    <row r="746" ht="15.75" customHeight="1">
      <c r="A746" s="45"/>
      <c r="B746" s="45"/>
      <c r="C746" s="45"/>
      <c r="D746" s="45"/>
      <c r="E746" s="45"/>
      <c r="F746" s="45"/>
      <c r="G746" s="45"/>
      <c r="H746" s="45"/>
      <c r="I746" s="45"/>
      <c r="J746" s="45"/>
      <c r="K746" s="45"/>
      <c r="L746" s="45"/>
      <c r="M746" s="45"/>
    </row>
    <row r="747" ht="15.75" customHeight="1">
      <c r="A747" s="45"/>
      <c r="B747" s="45"/>
      <c r="C747" s="45"/>
      <c r="D747" s="45"/>
      <c r="E747" s="45"/>
      <c r="F747" s="45"/>
      <c r="G747" s="45"/>
      <c r="H747" s="45"/>
      <c r="I747" s="45"/>
      <c r="J747" s="45"/>
      <c r="K747" s="45"/>
      <c r="L747" s="45"/>
      <c r="M747" s="45"/>
    </row>
    <row r="748" ht="15.75" customHeight="1">
      <c r="A748" s="45"/>
      <c r="B748" s="45"/>
      <c r="C748" s="45"/>
      <c r="D748" s="45"/>
      <c r="E748" s="45"/>
      <c r="F748" s="45"/>
      <c r="G748" s="45"/>
      <c r="H748" s="45"/>
      <c r="I748" s="45"/>
      <c r="J748" s="45"/>
      <c r="K748" s="45"/>
      <c r="L748" s="45"/>
      <c r="M748" s="45"/>
    </row>
    <row r="749" ht="15.75" customHeight="1">
      <c r="A749" s="45"/>
      <c r="B749" s="45"/>
      <c r="C749" s="45"/>
      <c r="D749" s="45"/>
      <c r="E749" s="45"/>
      <c r="F749" s="45"/>
      <c r="G749" s="45"/>
      <c r="H749" s="45"/>
      <c r="I749" s="45"/>
      <c r="J749" s="45"/>
      <c r="K749" s="45"/>
      <c r="L749" s="45"/>
      <c r="M749" s="45"/>
    </row>
    <row r="750" ht="15.75" customHeight="1">
      <c r="A750" s="45"/>
      <c r="B750" s="45"/>
      <c r="C750" s="45"/>
      <c r="D750" s="45"/>
      <c r="E750" s="45"/>
      <c r="F750" s="45"/>
      <c r="G750" s="45"/>
      <c r="H750" s="45"/>
      <c r="I750" s="45"/>
      <c r="J750" s="45"/>
      <c r="K750" s="45"/>
      <c r="L750" s="45"/>
      <c r="M750" s="45"/>
    </row>
    <row r="751" ht="15.75" customHeight="1">
      <c r="A751" s="45"/>
      <c r="B751" s="45"/>
      <c r="C751" s="45"/>
      <c r="D751" s="45"/>
      <c r="E751" s="45"/>
      <c r="F751" s="45"/>
      <c r="G751" s="45"/>
      <c r="H751" s="45"/>
      <c r="I751" s="45"/>
      <c r="J751" s="45"/>
      <c r="K751" s="45"/>
      <c r="L751" s="45"/>
      <c r="M751" s="45"/>
    </row>
    <row r="752" ht="15.75" customHeight="1">
      <c r="A752" s="45"/>
      <c r="B752" s="45"/>
      <c r="C752" s="45"/>
      <c r="D752" s="45"/>
      <c r="E752" s="45"/>
      <c r="F752" s="45"/>
      <c r="G752" s="45"/>
      <c r="H752" s="45"/>
      <c r="I752" s="45"/>
      <c r="J752" s="45"/>
      <c r="K752" s="45"/>
      <c r="L752" s="45"/>
      <c r="M752" s="45"/>
    </row>
    <row r="753" ht="15.75" customHeight="1">
      <c r="A753" s="45"/>
      <c r="B753" s="45"/>
      <c r="C753" s="45"/>
      <c r="D753" s="45"/>
      <c r="E753" s="45"/>
      <c r="F753" s="45"/>
      <c r="G753" s="45"/>
      <c r="H753" s="45"/>
      <c r="I753" s="45"/>
      <c r="J753" s="45"/>
      <c r="K753" s="45"/>
      <c r="L753" s="45"/>
      <c r="M753" s="45"/>
    </row>
    <row r="754" ht="15.75" customHeight="1">
      <c r="A754" s="45"/>
      <c r="B754" s="45"/>
      <c r="C754" s="45"/>
      <c r="D754" s="45"/>
      <c r="E754" s="45"/>
      <c r="F754" s="45"/>
      <c r="G754" s="45"/>
      <c r="H754" s="45"/>
      <c r="I754" s="45"/>
      <c r="J754" s="45"/>
      <c r="K754" s="45"/>
      <c r="L754" s="45"/>
      <c r="M754" s="45"/>
    </row>
    <row r="755" ht="15.75" customHeight="1">
      <c r="A755" s="45"/>
      <c r="B755" s="45"/>
      <c r="C755" s="45"/>
      <c r="D755" s="45"/>
      <c r="E755" s="45"/>
      <c r="F755" s="45"/>
      <c r="G755" s="45"/>
      <c r="H755" s="45"/>
      <c r="I755" s="45"/>
      <c r="J755" s="45"/>
      <c r="K755" s="45"/>
      <c r="L755" s="45"/>
      <c r="M755" s="45"/>
    </row>
    <row r="756" ht="15.75" customHeight="1">
      <c r="A756" s="45"/>
      <c r="B756" s="45"/>
      <c r="C756" s="45"/>
      <c r="D756" s="45"/>
      <c r="E756" s="45"/>
      <c r="F756" s="45"/>
      <c r="G756" s="45"/>
      <c r="H756" s="45"/>
      <c r="I756" s="45"/>
      <c r="J756" s="45"/>
      <c r="K756" s="45"/>
      <c r="L756" s="45"/>
      <c r="M756" s="45"/>
    </row>
    <row r="757" ht="15.75" customHeight="1">
      <c r="A757" s="45"/>
      <c r="B757" s="45"/>
      <c r="C757" s="45"/>
      <c r="D757" s="45"/>
      <c r="E757" s="45"/>
      <c r="F757" s="45"/>
      <c r="G757" s="45"/>
      <c r="H757" s="45"/>
      <c r="I757" s="45"/>
      <c r="J757" s="45"/>
      <c r="K757" s="45"/>
      <c r="L757" s="45"/>
      <c r="M757" s="45"/>
    </row>
    <row r="758" ht="15.75" customHeight="1">
      <c r="A758" s="45"/>
      <c r="B758" s="45"/>
      <c r="C758" s="45"/>
      <c r="D758" s="45"/>
      <c r="E758" s="45"/>
      <c r="F758" s="45"/>
      <c r="G758" s="45"/>
      <c r="H758" s="45"/>
      <c r="I758" s="45"/>
      <c r="J758" s="45"/>
      <c r="K758" s="45"/>
      <c r="L758" s="45"/>
      <c r="M758" s="45"/>
    </row>
    <row r="759" ht="15.75" customHeight="1">
      <c r="A759" s="45"/>
      <c r="B759" s="45"/>
      <c r="C759" s="45"/>
      <c r="D759" s="45"/>
      <c r="E759" s="45"/>
      <c r="F759" s="45"/>
      <c r="G759" s="45"/>
      <c r="H759" s="45"/>
      <c r="I759" s="45"/>
      <c r="J759" s="45"/>
      <c r="K759" s="45"/>
      <c r="L759" s="45"/>
      <c r="M759" s="45"/>
    </row>
    <row r="760" ht="15.75" customHeight="1">
      <c r="A760" s="45"/>
      <c r="B760" s="45"/>
      <c r="C760" s="45"/>
      <c r="D760" s="45"/>
      <c r="E760" s="45"/>
      <c r="F760" s="45"/>
      <c r="G760" s="45"/>
      <c r="H760" s="45"/>
      <c r="I760" s="45"/>
      <c r="J760" s="45"/>
      <c r="K760" s="45"/>
      <c r="L760" s="45"/>
      <c r="M760" s="45"/>
    </row>
    <row r="761" ht="15.75" customHeight="1">
      <c r="A761" s="45"/>
      <c r="B761" s="45"/>
      <c r="C761" s="45"/>
      <c r="D761" s="45"/>
      <c r="E761" s="45"/>
      <c r="F761" s="45"/>
      <c r="G761" s="45"/>
      <c r="H761" s="45"/>
      <c r="I761" s="45"/>
      <c r="J761" s="45"/>
      <c r="K761" s="45"/>
      <c r="L761" s="45"/>
      <c r="M761" s="45"/>
    </row>
    <row r="762" ht="15.75" customHeight="1">
      <c r="A762" s="45"/>
      <c r="B762" s="45"/>
      <c r="C762" s="45"/>
      <c r="D762" s="45"/>
      <c r="E762" s="45"/>
      <c r="F762" s="45"/>
      <c r="G762" s="45"/>
      <c r="H762" s="45"/>
      <c r="I762" s="45"/>
      <c r="J762" s="45"/>
      <c r="K762" s="45"/>
      <c r="L762" s="45"/>
      <c r="M762" s="45"/>
    </row>
    <row r="763" ht="15.75" customHeight="1">
      <c r="A763" s="45"/>
      <c r="B763" s="45"/>
      <c r="C763" s="45"/>
      <c r="D763" s="45"/>
      <c r="E763" s="45"/>
      <c r="F763" s="45"/>
      <c r="G763" s="45"/>
      <c r="H763" s="45"/>
      <c r="I763" s="45"/>
      <c r="J763" s="45"/>
      <c r="K763" s="45"/>
      <c r="L763" s="45"/>
      <c r="M763" s="45"/>
    </row>
    <row r="764" ht="15.75" customHeight="1">
      <c r="A764" s="45"/>
      <c r="B764" s="45"/>
      <c r="C764" s="45"/>
      <c r="D764" s="45"/>
      <c r="E764" s="45"/>
      <c r="F764" s="45"/>
      <c r="G764" s="45"/>
      <c r="H764" s="45"/>
      <c r="I764" s="45"/>
      <c r="J764" s="45"/>
      <c r="K764" s="45"/>
      <c r="L764" s="45"/>
      <c r="M764" s="45"/>
    </row>
    <row r="765" ht="15.75" customHeight="1">
      <c r="A765" s="45"/>
      <c r="B765" s="45"/>
      <c r="C765" s="45"/>
      <c r="D765" s="45"/>
      <c r="E765" s="45"/>
      <c r="F765" s="45"/>
      <c r="G765" s="45"/>
      <c r="H765" s="45"/>
      <c r="I765" s="45"/>
      <c r="J765" s="45"/>
      <c r="K765" s="45"/>
      <c r="L765" s="45"/>
      <c r="M765" s="45"/>
    </row>
    <row r="766" ht="15.75" customHeight="1">
      <c r="A766" s="45"/>
      <c r="B766" s="45"/>
      <c r="C766" s="45"/>
      <c r="D766" s="45"/>
      <c r="E766" s="45"/>
      <c r="F766" s="45"/>
      <c r="G766" s="45"/>
      <c r="H766" s="45"/>
      <c r="I766" s="45"/>
      <c r="J766" s="45"/>
      <c r="K766" s="45"/>
      <c r="L766" s="45"/>
      <c r="M766" s="45"/>
    </row>
    <row r="767" ht="15.75" customHeight="1">
      <c r="A767" s="45"/>
      <c r="B767" s="45"/>
      <c r="C767" s="45"/>
      <c r="D767" s="45"/>
      <c r="E767" s="45"/>
      <c r="F767" s="45"/>
      <c r="G767" s="45"/>
      <c r="H767" s="45"/>
      <c r="I767" s="45"/>
      <c r="J767" s="45"/>
      <c r="K767" s="45"/>
      <c r="L767" s="45"/>
      <c r="M767" s="45"/>
    </row>
    <row r="768" ht="15.75" customHeight="1">
      <c r="A768" s="45"/>
      <c r="B768" s="45"/>
      <c r="C768" s="45"/>
      <c r="D768" s="45"/>
      <c r="E768" s="45"/>
      <c r="F768" s="45"/>
      <c r="G768" s="45"/>
      <c r="H768" s="45"/>
      <c r="I768" s="45"/>
      <c r="J768" s="45"/>
      <c r="K768" s="45"/>
      <c r="L768" s="45"/>
      <c r="M768" s="45"/>
    </row>
    <row r="769" ht="15.75" customHeight="1">
      <c r="A769" s="45"/>
      <c r="B769" s="45"/>
      <c r="C769" s="45"/>
      <c r="D769" s="45"/>
      <c r="E769" s="45"/>
      <c r="F769" s="45"/>
      <c r="G769" s="45"/>
      <c r="H769" s="45"/>
      <c r="I769" s="45"/>
      <c r="J769" s="45"/>
      <c r="K769" s="45"/>
      <c r="L769" s="45"/>
      <c r="M769" s="45"/>
    </row>
    <row r="770" ht="15.75" customHeight="1">
      <c r="A770" s="45"/>
      <c r="B770" s="45"/>
      <c r="C770" s="45"/>
      <c r="D770" s="45"/>
      <c r="E770" s="45"/>
      <c r="F770" s="45"/>
      <c r="G770" s="45"/>
      <c r="H770" s="45"/>
      <c r="I770" s="45"/>
      <c r="J770" s="45"/>
      <c r="K770" s="45"/>
      <c r="L770" s="45"/>
      <c r="M770" s="45"/>
    </row>
    <row r="771" ht="15.75" customHeight="1">
      <c r="A771" s="45"/>
      <c r="B771" s="45"/>
      <c r="C771" s="45"/>
      <c r="D771" s="45"/>
      <c r="E771" s="45"/>
      <c r="F771" s="45"/>
      <c r="G771" s="45"/>
      <c r="H771" s="45"/>
      <c r="I771" s="45"/>
      <c r="J771" s="45"/>
      <c r="K771" s="45"/>
      <c r="L771" s="45"/>
      <c r="M771" s="45"/>
    </row>
    <row r="772" ht="15.75" customHeight="1">
      <c r="A772" s="45"/>
      <c r="B772" s="45"/>
      <c r="C772" s="45"/>
      <c r="D772" s="45"/>
      <c r="E772" s="45"/>
      <c r="F772" s="45"/>
      <c r="G772" s="45"/>
      <c r="H772" s="45"/>
      <c r="I772" s="45"/>
      <c r="J772" s="45"/>
      <c r="K772" s="45"/>
      <c r="L772" s="45"/>
      <c r="M772" s="45"/>
    </row>
    <row r="773" ht="15.75" customHeight="1">
      <c r="A773" s="45"/>
      <c r="B773" s="45"/>
      <c r="C773" s="45"/>
      <c r="D773" s="45"/>
      <c r="E773" s="45"/>
      <c r="F773" s="45"/>
      <c r="G773" s="45"/>
      <c r="H773" s="45"/>
      <c r="I773" s="45"/>
      <c r="J773" s="45"/>
      <c r="K773" s="45"/>
      <c r="L773" s="45"/>
      <c r="M773" s="45"/>
    </row>
    <row r="774" ht="15.75" customHeight="1">
      <c r="A774" s="45"/>
      <c r="B774" s="45"/>
      <c r="C774" s="45"/>
      <c r="D774" s="45"/>
      <c r="E774" s="45"/>
      <c r="F774" s="45"/>
      <c r="G774" s="45"/>
      <c r="H774" s="45"/>
      <c r="I774" s="45"/>
      <c r="J774" s="45"/>
      <c r="K774" s="45"/>
      <c r="L774" s="45"/>
      <c r="M774" s="45"/>
    </row>
    <row r="775" ht="15.75" customHeight="1">
      <c r="A775" s="45"/>
      <c r="B775" s="45"/>
      <c r="C775" s="45"/>
      <c r="D775" s="45"/>
      <c r="E775" s="45"/>
      <c r="F775" s="45"/>
      <c r="G775" s="45"/>
      <c r="H775" s="45"/>
      <c r="I775" s="45"/>
      <c r="J775" s="45"/>
      <c r="K775" s="45"/>
      <c r="L775" s="45"/>
      <c r="M775" s="45"/>
    </row>
    <row r="776" ht="15.75" customHeight="1">
      <c r="A776" s="45"/>
      <c r="B776" s="45"/>
      <c r="C776" s="45"/>
      <c r="D776" s="45"/>
      <c r="E776" s="45"/>
      <c r="F776" s="45"/>
      <c r="G776" s="45"/>
      <c r="H776" s="45"/>
      <c r="I776" s="45"/>
      <c r="J776" s="45"/>
      <c r="K776" s="45"/>
      <c r="L776" s="45"/>
      <c r="M776" s="45"/>
    </row>
    <row r="777" ht="15.75" customHeight="1">
      <c r="A777" s="45"/>
      <c r="B777" s="45"/>
      <c r="C777" s="45"/>
      <c r="D777" s="45"/>
      <c r="E777" s="45"/>
      <c r="F777" s="45"/>
      <c r="G777" s="45"/>
      <c r="H777" s="45"/>
      <c r="I777" s="45"/>
      <c r="J777" s="45"/>
      <c r="K777" s="45"/>
      <c r="L777" s="45"/>
      <c r="M777" s="45"/>
    </row>
    <row r="778" ht="15.75" customHeight="1">
      <c r="A778" s="45"/>
      <c r="B778" s="45"/>
      <c r="C778" s="45"/>
      <c r="D778" s="45"/>
      <c r="E778" s="45"/>
      <c r="F778" s="45"/>
      <c r="G778" s="45"/>
      <c r="H778" s="45"/>
      <c r="I778" s="45"/>
      <c r="J778" s="45"/>
      <c r="K778" s="45"/>
      <c r="L778" s="45"/>
      <c r="M778" s="45"/>
    </row>
    <row r="779" ht="15.75" customHeight="1">
      <c r="A779" s="45"/>
      <c r="B779" s="45"/>
      <c r="C779" s="45"/>
      <c r="D779" s="45"/>
      <c r="E779" s="45"/>
      <c r="F779" s="45"/>
      <c r="G779" s="45"/>
      <c r="H779" s="45"/>
      <c r="I779" s="45"/>
      <c r="J779" s="45"/>
      <c r="K779" s="45"/>
      <c r="L779" s="45"/>
      <c r="M779" s="45"/>
    </row>
    <row r="780" ht="15.75" customHeight="1">
      <c r="A780" s="45"/>
      <c r="B780" s="45"/>
      <c r="C780" s="45"/>
      <c r="D780" s="45"/>
      <c r="E780" s="45"/>
      <c r="F780" s="45"/>
      <c r="G780" s="45"/>
      <c r="H780" s="45"/>
      <c r="I780" s="45"/>
      <c r="J780" s="45"/>
      <c r="K780" s="45"/>
      <c r="L780" s="45"/>
      <c r="M780" s="45"/>
    </row>
    <row r="781" ht="15.75" customHeight="1">
      <c r="A781" s="45"/>
      <c r="B781" s="45"/>
      <c r="C781" s="45"/>
      <c r="D781" s="45"/>
      <c r="E781" s="45"/>
      <c r="F781" s="45"/>
      <c r="G781" s="45"/>
      <c r="H781" s="45"/>
      <c r="I781" s="45"/>
      <c r="J781" s="45"/>
      <c r="K781" s="45"/>
      <c r="L781" s="45"/>
      <c r="M781" s="45"/>
    </row>
    <row r="782" ht="15.75" customHeight="1">
      <c r="A782" s="45"/>
      <c r="B782" s="45"/>
      <c r="C782" s="45"/>
      <c r="D782" s="45"/>
      <c r="E782" s="45"/>
      <c r="F782" s="45"/>
      <c r="G782" s="45"/>
      <c r="H782" s="45"/>
      <c r="I782" s="45"/>
      <c r="J782" s="45"/>
      <c r="K782" s="45"/>
      <c r="L782" s="45"/>
      <c r="M782" s="45"/>
    </row>
    <row r="783" ht="15.75" customHeight="1">
      <c r="A783" s="45"/>
      <c r="B783" s="45"/>
      <c r="C783" s="45"/>
      <c r="D783" s="45"/>
      <c r="E783" s="45"/>
      <c r="F783" s="45"/>
      <c r="G783" s="45"/>
      <c r="H783" s="45"/>
      <c r="I783" s="45"/>
      <c r="J783" s="45"/>
      <c r="K783" s="45"/>
      <c r="L783" s="45"/>
      <c r="M783" s="45"/>
    </row>
    <row r="784" ht="15.75" customHeight="1">
      <c r="A784" s="45"/>
      <c r="B784" s="45"/>
      <c r="C784" s="45"/>
      <c r="D784" s="45"/>
      <c r="E784" s="45"/>
      <c r="F784" s="45"/>
      <c r="G784" s="45"/>
      <c r="H784" s="45"/>
      <c r="I784" s="45"/>
      <c r="J784" s="45"/>
      <c r="K784" s="45"/>
      <c r="L784" s="45"/>
      <c r="M784" s="45"/>
    </row>
    <row r="785" ht="15.75" customHeight="1">
      <c r="A785" s="45"/>
      <c r="B785" s="45"/>
      <c r="C785" s="45"/>
      <c r="D785" s="45"/>
      <c r="E785" s="45"/>
      <c r="F785" s="45"/>
      <c r="G785" s="45"/>
      <c r="H785" s="45"/>
      <c r="I785" s="45"/>
      <c r="J785" s="45"/>
      <c r="K785" s="45"/>
      <c r="L785" s="45"/>
      <c r="M785" s="45"/>
    </row>
    <row r="786" ht="15.75" customHeight="1">
      <c r="A786" s="45"/>
      <c r="B786" s="45"/>
      <c r="C786" s="45"/>
      <c r="D786" s="45"/>
      <c r="E786" s="45"/>
      <c r="F786" s="45"/>
      <c r="G786" s="45"/>
      <c r="H786" s="45"/>
      <c r="I786" s="45"/>
      <c r="J786" s="45"/>
      <c r="K786" s="45"/>
      <c r="L786" s="45"/>
      <c r="M786" s="45"/>
    </row>
    <row r="787" ht="15.75" customHeight="1">
      <c r="A787" s="45"/>
      <c r="B787" s="45"/>
      <c r="C787" s="45"/>
      <c r="D787" s="45"/>
      <c r="E787" s="45"/>
      <c r="F787" s="45"/>
      <c r="G787" s="45"/>
      <c r="H787" s="45"/>
      <c r="I787" s="45"/>
      <c r="J787" s="45"/>
      <c r="K787" s="45"/>
      <c r="L787" s="45"/>
      <c r="M787" s="45"/>
    </row>
    <row r="788" ht="15.75" customHeight="1">
      <c r="A788" s="45"/>
      <c r="B788" s="45"/>
      <c r="C788" s="45"/>
      <c r="D788" s="45"/>
      <c r="E788" s="45"/>
      <c r="F788" s="45"/>
      <c r="G788" s="45"/>
      <c r="H788" s="45"/>
      <c r="I788" s="45"/>
      <c r="J788" s="45"/>
      <c r="K788" s="45"/>
      <c r="L788" s="45"/>
      <c r="M788" s="45"/>
    </row>
    <row r="789" ht="15.75" customHeight="1">
      <c r="A789" s="45"/>
      <c r="B789" s="45"/>
      <c r="C789" s="45"/>
      <c r="D789" s="45"/>
      <c r="E789" s="45"/>
      <c r="F789" s="45"/>
      <c r="G789" s="45"/>
      <c r="H789" s="45"/>
      <c r="I789" s="45"/>
      <c r="J789" s="45"/>
      <c r="K789" s="45"/>
      <c r="L789" s="45"/>
      <c r="M789" s="45"/>
    </row>
    <row r="790" ht="15.75" customHeight="1">
      <c r="A790" s="45"/>
      <c r="B790" s="45"/>
      <c r="C790" s="45"/>
      <c r="D790" s="45"/>
      <c r="E790" s="45"/>
      <c r="F790" s="45"/>
      <c r="G790" s="45"/>
      <c r="H790" s="45"/>
      <c r="I790" s="45"/>
      <c r="J790" s="45"/>
      <c r="K790" s="45"/>
      <c r="L790" s="45"/>
      <c r="M790" s="45"/>
    </row>
    <row r="791" ht="15.75" customHeight="1">
      <c r="A791" s="45"/>
      <c r="B791" s="45"/>
      <c r="C791" s="45"/>
      <c r="D791" s="45"/>
      <c r="E791" s="45"/>
      <c r="F791" s="45"/>
      <c r="G791" s="45"/>
      <c r="H791" s="45"/>
      <c r="I791" s="45"/>
      <c r="J791" s="45"/>
      <c r="K791" s="45"/>
      <c r="L791" s="45"/>
      <c r="M791" s="45"/>
    </row>
    <row r="792" ht="15.75" customHeight="1">
      <c r="A792" s="45"/>
      <c r="B792" s="45"/>
      <c r="C792" s="45"/>
      <c r="D792" s="45"/>
      <c r="E792" s="45"/>
      <c r="F792" s="45"/>
      <c r="G792" s="45"/>
      <c r="H792" s="45"/>
      <c r="I792" s="45"/>
      <c r="J792" s="45"/>
      <c r="K792" s="45"/>
      <c r="L792" s="45"/>
      <c r="M792" s="45"/>
    </row>
    <row r="793" ht="15.75" customHeight="1">
      <c r="A793" s="45"/>
      <c r="B793" s="45"/>
      <c r="C793" s="45"/>
      <c r="D793" s="45"/>
      <c r="E793" s="45"/>
      <c r="F793" s="45"/>
      <c r="G793" s="45"/>
      <c r="H793" s="45"/>
      <c r="I793" s="45"/>
      <c r="J793" s="45"/>
      <c r="K793" s="45"/>
      <c r="L793" s="45"/>
      <c r="M793" s="45"/>
    </row>
    <row r="794" ht="15.75" customHeight="1">
      <c r="A794" s="45"/>
      <c r="B794" s="45"/>
      <c r="C794" s="45"/>
      <c r="D794" s="45"/>
      <c r="E794" s="45"/>
      <c r="F794" s="45"/>
      <c r="G794" s="45"/>
      <c r="H794" s="45"/>
      <c r="I794" s="45"/>
      <c r="J794" s="45"/>
      <c r="K794" s="45"/>
      <c r="L794" s="45"/>
      <c r="M794" s="45"/>
    </row>
    <row r="795" ht="15.75" customHeight="1">
      <c r="A795" s="45"/>
      <c r="B795" s="45"/>
      <c r="C795" s="45"/>
      <c r="D795" s="45"/>
      <c r="E795" s="45"/>
      <c r="F795" s="45"/>
      <c r="G795" s="45"/>
      <c r="H795" s="45"/>
      <c r="I795" s="45"/>
      <c r="J795" s="45"/>
      <c r="K795" s="45"/>
      <c r="L795" s="45"/>
      <c r="M795" s="45"/>
    </row>
    <row r="796" ht="15.75" customHeight="1">
      <c r="A796" s="45"/>
      <c r="B796" s="45"/>
      <c r="C796" s="45"/>
      <c r="D796" s="45"/>
      <c r="E796" s="45"/>
      <c r="F796" s="45"/>
      <c r="G796" s="45"/>
      <c r="H796" s="45"/>
      <c r="I796" s="45"/>
      <c r="J796" s="45"/>
      <c r="K796" s="45"/>
      <c r="L796" s="45"/>
      <c r="M796" s="45"/>
    </row>
    <row r="797" ht="15.75" customHeight="1">
      <c r="A797" s="45"/>
      <c r="B797" s="45"/>
      <c r="C797" s="45"/>
      <c r="D797" s="45"/>
      <c r="E797" s="45"/>
      <c r="F797" s="45"/>
      <c r="G797" s="45"/>
      <c r="H797" s="45"/>
      <c r="I797" s="45"/>
      <c r="J797" s="45"/>
      <c r="K797" s="45"/>
      <c r="L797" s="45"/>
      <c r="M797" s="45"/>
    </row>
    <row r="798" ht="15.75" customHeight="1">
      <c r="A798" s="45"/>
      <c r="B798" s="45"/>
      <c r="C798" s="45"/>
      <c r="D798" s="45"/>
      <c r="E798" s="45"/>
      <c r="F798" s="45"/>
      <c r="G798" s="45"/>
      <c r="H798" s="45"/>
      <c r="I798" s="45"/>
      <c r="J798" s="45"/>
      <c r="K798" s="45"/>
      <c r="L798" s="45"/>
      <c r="M798" s="45"/>
    </row>
    <row r="799" ht="15.75" customHeight="1">
      <c r="A799" s="45"/>
      <c r="B799" s="45"/>
      <c r="C799" s="45"/>
      <c r="D799" s="45"/>
      <c r="E799" s="45"/>
      <c r="F799" s="45"/>
      <c r="G799" s="45"/>
      <c r="H799" s="45"/>
      <c r="I799" s="45"/>
      <c r="J799" s="45"/>
      <c r="K799" s="45"/>
      <c r="L799" s="45"/>
      <c r="M799" s="45"/>
    </row>
    <row r="800" ht="15.75" customHeight="1">
      <c r="A800" s="45"/>
      <c r="B800" s="45"/>
      <c r="C800" s="45"/>
      <c r="D800" s="45"/>
      <c r="E800" s="45"/>
      <c r="F800" s="45"/>
      <c r="G800" s="45"/>
      <c r="H800" s="45"/>
      <c r="I800" s="45"/>
      <c r="J800" s="45"/>
      <c r="K800" s="45"/>
      <c r="L800" s="45"/>
      <c r="M800" s="45"/>
    </row>
    <row r="801" ht="15.75" customHeight="1">
      <c r="A801" s="45"/>
      <c r="B801" s="45"/>
      <c r="C801" s="45"/>
      <c r="D801" s="45"/>
      <c r="E801" s="45"/>
      <c r="F801" s="45"/>
      <c r="G801" s="45"/>
      <c r="H801" s="45"/>
      <c r="I801" s="45"/>
      <c r="J801" s="45"/>
      <c r="K801" s="45"/>
      <c r="L801" s="45"/>
      <c r="M801" s="45"/>
    </row>
    <row r="802" ht="15.75" customHeight="1">
      <c r="A802" s="45"/>
      <c r="B802" s="45"/>
      <c r="C802" s="45"/>
      <c r="D802" s="45"/>
      <c r="E802" s="45"/>
      <c r="F802" s="45"/>
      <c r="G802" s="45"/>
      <c r="H802" s="45"/>
      <c r="I802" s="45"/>
      <c r="J802" s="45"/>
      <c r="K802" s="45"/>
      <c r="L802" s="45"/>
      <c r="M802" s="45"/>
    </row>
    <row r="803" ht="15.75" customHeight="1">
      <c r="A803" s="45"/>
      <c r="B803" s="45"/>
      <c r="C803" s="45"/>
      <c r="D803" s="45"/>
      <c r="E803" s="45"/>
      <c r="F803" s="45"/>
      <c r="G803" s="45"/>
      <c r="H803" s="45"/>
      <c r="I803" s="45"/>
      <c r="J803" s="45"/>
      <c r="K803" s="45"/>
      <c r="L803" s="45"/>
      <c r="M803" s="45"/>
    </row>
    <row r="804" ht="15.75" customHeight="1">
      <c r="A804" s="45"/>
      <c r="B804" s="45"/>
      <c r="C804" s="45"/>
      <c r="D804" s="45"/>
      <c r="E804" s="45"/>
      <c r="F804" s="45"/>
      <c r="G804" s="45"/>
      <c r="H804" s="45"/>
      <c r="I804" s="45"/>
      <c r="J804" s="45"/>
      <c r="K804" s="45"/>
      <c r="L804" s="45"/>
      <c r="M804" s="45"/>
    </row>
    <row r="805" ht="15.75" customHeight="1">
      <c r="A805" s="45"/>
      <c r="B805" s="45"/>
      <c r="C805" s="45"/>
      <c r="D805" s="45"/>
      <c r="E805" s="45"/>
      <c r="F805" s="45"/>
      <c r="G805" s="45"/>
      <c r="H805" s="45"/>
      <c r="I805" s="45"/>
      <c r="J805" s="45"/>
      <c r="K805" s="45"/>
      <c r="L805" s="45"/>
      <c r="M805" s="45"/>
    </row>
    <row r="806" ht="15.75" customHeight="1">
      <c r="A806" s="45"/>
      <c r="B806" s="45"/>
      <c r="C806" s="45"/>
      <c r="D806" s="45"/>
      <c r="E806" s="45"/>
      <c r="F806" s="45"/>
      <c r="G806" s="45"/>
      <c r="H806" s="45"/>
      <c r="I806" s="45"/>
      <c r="J806" s="45"/>
      <c r="K806" s="45"/>
      <c r="L806" s="45"/>
      <c r="M806" s="45"/>
    </row>
    <row r="807" ht="15.75" customHeight="1">
      <c r="A807" s="45"/>
      <c r="B807" s="45"/>
      <c r="C807" s="45"/>
      <c r="D807" s="45"/>
      <c r="E807" s="45"/>
      <c r="F807" s="45"/>
      <c r="G807" s="45"/>
      <c r="H807" s="45"/>
      <c r="I807" s="45"/>
      <c r="J807" s="45"/>
      <c r="K807" s="45"/>
      <c r="L807" s="45"/>
      <c r="M807" s="45"/>
    </row>
    <row r="808" ht="15.75" customHeight="1">
      <c r="A808" s="45"/>
      <c r="B808" s="45"/>
      <c r="C808" s="45"/>
      <c r="D808" s="45"/>
      <c r="E808" s="45"/>
      <c r="F808" s="45"/>
      <c r="G808" s="45"/>
      <c r="H808" s="45"/>
      <c r="I808" s="45"/>
      <c r="J808" s="45"/>
      <c r="K808" s="45"/>
      <c r="L808" s="45"/>
      <c r="M808" s="45"/>
    </row>
    <row r="809" ht="15.75" customHeight="1">
      <c r="A809" s="45"/>
      <c r="B809" s="45"/>
      <c r="C809" s="45"/>
      <c r="D809" s="45"/>
      <c r="E809" s="45"/>
      <c r="F809" s="45"/>
      <c r="G809" s="45"/>
      <c r="H809" s="45"/>
      <c r="I809" s="45"/>
      <c r="J809" s="45"/>
      <c r="K809" s="45"/>
      <c r="L809" s="45"/>
      <c r="M809" s="45"/>
    </row>
    <row r="810" ht="15.75" customHeight="1">
      <c r="A810" s="45"/>
      <c r="B810" s="45"/>
      <c r="C810" s="45"/>
      <c r="D810" s="45"/>
      <c r="E810" s="45"/>
      <c r="F810" s="45"/>
      <c r="G810" s="45"/>
      <c r="H810" s="45"/>
      <c r="I810" s="45"/>
      <c r="J810" s="45"/>
      <c r="K810" s="45"/>
      <c r="L810" s="45"/>
      <c r="M810" s="45"/>
    </row>
    <row r="811" ht="15.75" customHeight="1">
      <c r="A811" s="45"/>
      <c r="B811" s="45"/>
      <c r="C811" s="45"/>
      <c r="D811" s="45"/>
      <c r="E811" s="45"/>
      <c r="F811" s="45"/>
      <c r="G811" s="45"/>
      <c r="H811" s="45"/>
      <c r="I811" s="45"/>
      <c r="J811" s="45"/>
      <c r="K811" s="45"/>
      <c r="L811" s="45"/>
      <c r="M811" s="45"/>
    </row>
    <row r="812" ht="15.75" customHeight="1">
      <c r="A812" s="45"/>
      <c r="B812" s="45"/>
      <c r="C812" s="45"/>
      <c r="D812" s="45"/>
      <c r="E812" s="45"/>
      <c r="F812" s="45"/>
      <c r="G812" s="45"/>
      <c r="H812" s="45"/>
      <c r="I812" s="45"/>
      <c r="J812" s="45"/>
      <c r="K812" s="45"/>
      <c r="L812" s="45"/>
      <c r="M812" s="45"/>
    </row>
    <row r="813" ht="15.75" customHeight="1">
      <c r="A813" s="45"/>
      <c r="B813" s="45"/>
      <c r="C813" s="45"/>
      <c r="D813" s="45"/>
      <c r="E813" s="45"/>
      <c r="F813" s="45"/>
      <c r="G813" s="45"/>
      <c r="H813" s="45"/>
      <c r="I813" s="45"/>
      <c r="J813" s="45"/>
      <c r="K813" s="45"/>
      <c r="L813" s="45"/>
      <c r="M813" s="45"/>
    </row>
    <row r="814" ht="15.75" customHeight="1">
      <c r="A814" s="45"/>
      <c r="B814" s="45"/>
      <c r="C814" s="45"/>
      <c r="D814" s="45"/>
      <c r="E814" s="45"/>
      <c r="F814" s="45"/>
      <c r="G814" s="45"/>
      <c r="H814" s="45"/>
      <c r="I814" s="45"/>
      <c r="J814" s="45"/>
      <c r="K814" s="45"/>
      <c r="L814" s="45"/>
      <c r="M814" s="45"/>
    </row>
    <row r="815" ht="15.75" customHeight="1">
      <c r="A815" s="45"/>
      <c r="B815" s="45"/>
      <c r="C815" s="45"/>
      <c r="D815" s="45"/>
      <c r="E815" s="45"/>
      <c r="F815" s="45"/>
      <c r="G815" s="45"/>
      <c r="H815" s="45"/>
      <c r="I815" s="45"/>
      <c r="J815" s="45"/>
      <c r="K815" s="45"/>
      <c r="L815" s="45"/>
      <c r="M815" s="45"/>
    </row>
    <row r="816" ht="15.75" customHeight="1">
      <c r="A816" s="45"/>
      <c r="B816" s="45"/>
      <c r="C816" s="45"/>
      <c r="D816" s="45"/>
      <c r="E816" s="45"/>
      <c r="F816" s="45"/>
      <c r="G816" s="45"/>
      <c r="H816" s="45"/>
      <c r="I816" s="45"/>
      <c r="J816" s="45"/>
      <c r="K816" s="45"/>
      <c r="L816" s="45"/>
      <c r="M816" s="45"/>
    </row>
    <row r="817" ht="15.75" customHeight="1">
      <c r="A817" s="45"/>
      <c r="B817" s="45"/>
      <c r="C817" s="45"/>
      <c r="D817" s="45"/>
      <c r="E817" s="45"/>
      <c r="F817" s="45"/>
      <c r="G817" s="45"/>
      <c r="H817" s="45"/>
      <c r="I817" s="45"/>
      <c r="J817" s="45"/>
      <c r="K817" s="45"/>
      <c r="L817" s="45"/>
      <c r="M817" s="45"/>
    </row>
    <row r="818" ht="15.75" customHeight="1">
      <c r="A818" s="45"/>
      <c r="B818" s="45"/>
      <c r="C818" s="45"/>
      <c r="D818" s="45"/>
      <c r="E818" s="45"/>
      <c r="F818" s="45"/>
      <c r="G818" s="45"/>
      <c r="H818" s="45"/>
      <c r="I818" s="45"/>
      <c r="J818" s="45"/>
      <c r="K818" s="45"/>
      <c r="L818" s="45"/>
      <c r="M818" s="45"/>
    </row>
    <row r="819" ht="15.75" customHeight="1">
      <c r="A819" s="45"/>
      <c r="B819" s="45"/>
      <c r="C819" s="45"/>
      <c r="D819" s="45"/>
      <c r="E819" s="45"/>
      <c r="F819" s="45"/>
      <c r="G819" s="45"/>
      <c r="H819" s="45"/>
      <c r="I819" s="45"/>
      <c r="J819" s="45"/>
      <c r="K819" s="45"/>
      <c r="L819" s="45"/>
      <c r="M819" s="45"/>
    </row>
    <row r="820" ht="15.75" customHeight="1">
      <c r="A820" s="45"/>
      <c r="B820" s="45"/>
      <c r="C820" s="45"/>
      <c r="D820" s="45"/>
      <c r="E820" s="45"/>
      <c r="F820" s="45"/>
      <c r="G820" s="45"/>
      <c r="H820" s="45"/>
      <c r="I820" s="45"/>
      <c r="J820" s="45"/>
      <c r="K820" s="45"/>
      <c r="L820" s="45"/>
      <c r="M820" s="45"/>
    </row>
    <row r="821" ht="15.75" customHeight="1">
      <c r="A821" s="45"/>
      <c r="B821" s="45"/>
      <c r="C821" s="45"/>
      <c r="D821" s="45"/>
      <c r="E821" s="45"/>
      <c r="F821" s="45"/>
      <c r="G821" s="45"/>
      <c r="H821" s="45"/>
      <c r="I821" s="45"/>
      <c r="J821" s="45"/>
      <c r="K821" s="45"/>
      <c r="L821" s="45"/>
      <c r="M821" s="45"/>
    </row>
    <row r="822" ht="15.75" customHeight="1">
      <c r="A822" s="45"/>
      <c r="B822" s="45"/>
      <c r="C822" s="45"/>
      <c r="D822" s="45"/>
      <c r="E822" s="45"/>
      <c r="F822" s="45"/>
      <c r="G822" s="45"/>
      <c r="H822" s="45"/>
      <c r="I822" s="45"/>
      <c r="J822" s="45"/>
      <c r="K822" s="45"/>
      <c r="L822" s="45"/>
      <c r="M822" s="45"/>
    </row>
    <row r="823" ht="15.75" customHeight="1">
      <c r="A823" s="45"/>
      <c r="B823" s="45"/>
      <c r="C823" s="45"/>
      <c r="D823" s="45"/>
      <c r="E823" s="45"/>
      <c r="F823" s="45"/>
      <c r="G823" s="45"/>
      <c r="H823" s="45"/>
      <c r="I823" s="45"/>
      <c r="J823" s="45"/>
      <c r="K823" s="45"/>
      <c r="L823" s="45"/>
      <c r="M823" s="45"/>
    </row>
    <row r="824" ht="15.75" customHeight="1">
      <c r="A824" s="45"/>
      <c r="B824" s="45"/>
      <c r="C824" s="45"/>
      <c r="D824" s="45"/>
      <c r="E824" s="45"/>
      <c r="F824" s="45"/>
      <c r="G824" s="45"/>
      <c r="H824" s="45"/>
      <c r="I824" s="45"/>
      <c r="J824" s="45"/>
      <c r="K824" s="45"/>
      <c r="L824" s="45"/>
      <c r="M824" s="45"/>
    </row>
    <row r="825" ht="15.75" customHeight="1">
      <c r="A825" s="45"/>
      <c r="B825" s="45"/>
      <c r="C825" s="45"/>
      <c r="D825" s="45"/>
      <c r="E825" s="45"/>
      <c r="F825" s="45"/>
      <c r="G825" s="45"/>
      <c r="H825" s="45"/>
      <c r="I825" s="45"/>
      <c r="J825" s="45"/>
      <c r="K825" s="45"/>
      <c r="L825" s="45"/>
      <c r="M825" s="45"/>
    </row>
    <row r="826" ht="15.75" customHeight="1">
      <c r="A826" s="45"/>
      <c r="B826" s="45"/>
      <c r="C826" s="45"/>
      <c r="D826" s="45"/>
      <c r="E826" s="45"/>
      <c r="F826" s="45"/>
      <c r="G826" s="45"/>
      <c r="H826" s="45"/>
      <c r="I826" s="45"/>
      <c r="J826" s="45"/>
      <c r="K826" s="45"/>
      <c r="L826" s="45"/>
      <c r="M826" s="45"/>
    </row>
    <row r="827" ht="15.75" customHeight="1">
      <c r="A827" s="45"/>
      <c r="B827" s="45"/>
      <c r="C827" s="45"/>
      <c r="D827" s="45"/>
      <c r="E827" s="45"/>
      <c r="F827" s="45"/>
      <c r="G827" s="45"/>
      <c r="H827" s="45"/>
      <c r="I827" s="45"/>
      <c r="J827" s="45"/>
      <c r="K827" s="45"/>
      <c r="L827" s="45"/>
      <c r="M827" s="45"/>
    </row>
    <row r="828" ht="15.75" customHeight="1">
      <c r="A828" s="45"/>
      <c r="B828" s="45"/>
      <c r="C828" s="45"/>
      <c r="D828" s="45"/>
      <c r="E828" s="45"/>
      <c r="F828" s="45"/>
      <c r="G828" s="45"/>
      <c r="H828" s="45"/>
      <c r="I828" s="45"/>
      <c r="J828" s="45"/>
      <c r="K828" s="45"/>
      <c r="L828" s="45"/>
      <c r="M828" s="45"/>
    </row>
    <row r="829" ht="15.75" customHeight="1">
      <c r="A829" s="45"/>
      <c r="B829" s="45"/>
      <c r="C829" s="45"/>
      <c r="D829" s="45"/>
      <c r="E829" s="45"/>
      <c r="F829" s="45"/>
      <c r="G829" s="45"/>
      <c r="H829" s="45"/>
      <c r="I829" s="45"/>
      <c r="J829" s="45"/>
      <c r="K829" s="45"/>
      <c r="L829" s="45"/>
      <c r="M829" s="45"/>
    </row>
    <row r="830" ht="15.75" customHeight="1">
      <c r="A830" s="45"/>
      <c r="B830" s="45"/>
      <c r="C830" s="45"/>
      <c r="D830" s="45"/>
      <c r="E830" s="45"/>
      <c r="F830" s="45"/>
      <c r="G830" s="45"/>
      <c r="H830" s="45"/>
      <c r="I830" s="45"/>
      <c r="J830" s="45"/>
      <c r="K830" s="45"/>
      <c r="L830" s="45"/>
      <c r="M830" s="45"/>
    </row>
    <row r="831" ht="15.75" customHeight="1">
      <c r="A831" s="45"/>
      <c r="B831" s="45"/>
      <c r="C831" s="45"/>
      <c r="D831" s="45"/>
      <c r="E831" s="45"/>
      <c r="F831" s="45"/>
      <c r="G831" s="45"/>
      <c r="H831" s="45"/>
      <c r="I831" s="45"/>
      <c r="J831" s="45"/>
      <c r="K831" s="45"/>
      <c r="L831" s="45"/>
      <c r="M831" s="45"/>
    </row>
    <row r="832" ht="15.75" customHeight="1">
      <c r="A832" s="45"/>
      <c r="B832" s="45"/>
      <c r="C832" s="45"/>
      <c r="D832" s="45"/>
      <c r="E832" s="45"/>
      <c r="F832" s="45"/>
      <c r="G832" s="45"/>
      <c r="H832" s="45"/>
      <c r="I832" s="45"/>
      <c r="J832" s="45"/>
      <c r="K832" s="45"/>
      <c r="L832" s="45"/>
      <c r="M832" s="45"/>
    </row>
    <row r="833" ht="15.75" customHeight="1">
      <c r="A833" s="45"/>
      <c r="B833" s="45"/>
      <c r="C833" s="45"/>
      <c r="D833" s="45"/>
      <c r="E833" s="45"/>
      <c r="F833" s="45"/>
      <c r="G833" s="45"/>
      <c r="H833" s="45"/>
      <c r="I833" s="45"/>
      <c r="J833" s="45"/>
      <c r="K833" s="45"/>
      <c r="L833" s="45"/>
      <c r="M833" s="45"/>
    </row>
    <row r="834" ht="15.75" customHeight="1">
      <c r="A834" s="45"/>
      <c r="B834" s="45"/>
      <c r="C834" s="45"/>
      <c r="D834" s="45"/>
      <c r="E834" s="45"/>
      <c r="F834" s="45"/>
      <c r="G834" s="45"/>
      <c r="H834" s="45"/>
      <c r="I834" s="45"/>
      <c r="J834" s="45"/>
      <c r="K834" s="45"/>
      <c r="L834" s="45"/>
      <c r="M834" s="45"/>
    </row>
    <row r="835" ht="15.75" customHeight="1">
      <c r="A835" s="45"/>
      <c r="B835" s="45"/>
      <c r="C835" s="45"/>
      <c r="D835" s="45"/>
      <c r="E835" s="45"/>
      <c r="F835" s="45"/>
      <c r="G835" s="45"/>
      <c r="H835" s="45"/>
      <c r="I835" s="45"/>
      <c r="J835" s="45"/>
      <c r="K835" s="45"/>
      <c r="L835" s="45"/>
      <c r="M835" s="45"/>
    </row>
    <row r="836" ht="15.75" customHeight="1">
      <c r="A836" s="45"/>
      <c r="B836" s="45"/>
      <c r="C836" s="45"/>
      <c r="D836" s="45"/>
      <c r="E836" s="45"/>
      <c r="F836" s="45"/>
      <c r="G836" s="45"/>
      <c r="H836" s="45"/>
      <c r="I836" s="45"/>
      <c r="J836" s="45"/>
      <c r="K836" s="45"/>
      <c r="L836" s="45"/>
      <c r="M836" s="45"/>
    </row>
    <row r="837" ht="15.75" customHeight="1">
      <c r="A837" s="45"/>
      <c r="B837" s="45"/>
      <c r="C837" s="45"/>
      <c r="D837" s="45"/>
      <c r="E837" s="45"/>
      <c r="F837" s="45"/>
      <c r="G837" s="45"/>
      <c r="H837" s="45"/>
      <c r="I837" s="45"/>
      <c r="J837" s="45"/>
      <c r="K837" s="45"/>
      <c r="L837" s="45"/>
      <c r="M837" s="45"/>
    </row>
    <row r="838" ht="15.75" customHeight="1">
      <c r="A838" s="45"/>
      <c r="B838" s="45"/>
      <c r="C838" s="45"/>
      <c r="D838" s="45"/>
      <c r="E838" s="45"/>
      <c r="F838" s="45"/>
      <c r="G838" s="45"/>
      <c r="H838" s="45"/>
      <c r="I838" s="45"/>
      <c r="J838" s="45"/>
      <c r="K838" s="45"/>
      <c r="L838" s="45"/>
      <c r="M838" s="45"/>
    </row>
    <row r="839" ht="15.75" customHeight="1">
      <c r="A839" s="45"/>
      <c r="B839" s="45"/>
      <c r="C839" s="45"/>
      <c r="D839" s="45"/>
      <c r="E839" s="45"/>
      <c r="F839" s="45"/>
      <c r="G839" s="45"/>
      <c r="H839" s="45"/>
      <c r="I839" s="45"/>
      <c r="J839" s="45"/>
      <c r="K839" s="45"/>
      <c r="L839" s="45"/>
      <c r="M839" s="45"/>
    </row>
    <row r="840" ht="15.75" customHeight="1">
      <c r="A840" s="45"/>
      <c r="B840" s="45"/>
      <c r="C840" s="45"/>
      <c r="D840" s="45"/>
      <c r="E840" s="45"/>
      <c r="F840" s="45"/>
      <c r="G840" s="45"/>
      <c r="H840" s="45"/>
      <c r="I840" s="45"/>
      <c r="J840" s="45"/>
      <c r="K840" s="45"/>
      <c r="L840" s="45"/>
      <c r="M840" s="45"/>
    </row>
    <row r="841" ht="15.75" customHeight="1">
      <c r="A841" s="45"/>
      <c r="B841" s="45"/>
      <c r="C841" s="45"/>
      <c r="D841" s="45"/>
      <c r="E841" s="45"/>
      <c r="F841" s="45"/>
      <c r="G841" s="45"/>
      <c r="H841" s="45"/>
      <c r="I841" s="45"/>
      <c r="J841" s="45"/>
      <c r="K841" s="45"/>
      <c r="L841" s="45"/>
      <c r="M841" s="45"/>
    </row>
    <row r="842" ht="15.75" customHeight="1">
      <c r="A842" s="45"/>
      <c r="B842" s="45"/>
      <c r="C842" s="45"/>
      <c r="D842" s="45"/>
      <c r="E842" s="45"/>
      <c r="F842" s="45"/>
      <c r="G842" s="45"/>
      <c r="H842" s="45"/>
      <c r="I842" s="45"/>
      <c r="J842" s="45"/>
      <c r="K842" s="45"/>
      <c r="L842" s="45"/>
      <c r="M842" s="45"/>
    </row>
    <row r="843" ht="15.75" customHeight="1">
      <c r="A843" s="45"/>
      <c r="B843" s="45"/>
      <c r="C843" s="45"/>
      <c r="D843" s="45"/>
      <c r="E843" s="45"/>
      <c r="F843" s="45"/>
      <c r="G843" s="45"/>
      <c r="H843" s="45"/>
      <c r="I843" s="45"/>
      <c r="J843" s="45"/>
      <c r="K843" s="45"/>
      <c r="L843" s="45"/>
      <c r="M843" s="45"/>
    </row>
    <row r="844" ht="15.75" customHeight="1">
      <c r="A844" s="45"/>
      <c r="B844" s="45"/>
      <c r="C844" s="45"/>
      <c r="D844" s="45"/>
      <c r="E844" s="45"/>
      <c r="F844" s="45"/>
      <c r="G844" s="45"/>
      <c r="H844" s="45"/>
      <c r="I844" s="45"/>
      <c r="J844" s="45"/>
      <c r="K844" s="45"/>
      <c r="L844" s="45"/>
      <c r="M844" s="45"/>
    </row>
    <row r="845" ht="15.75" customHeight="1">
      <c r="A845" s="45"/>
      <c r="B845" s="45"/>
      <c r="C845" s="45"/>
      <c r="D845" s="45"/>
      <c r="E845" s="45"/>
      <c r="F845" s="45"/>
      <c r="G845" s="45"/>
      <c r="H845" s="45"/>
      <c r="I845" s="45"/>
      <c r="J845" s="45"/>
      <c r="K845" s="45"/>
      <c r="L845" s="45"/>
      <c r="M845" s="45"/>
    </row>
    <row r="846" ht="15.75" customHeight="1">
      <c r="A846" s="45"/>
      <c r="B846" s="45"/>
      <c r="C846" s="45"/>
      <c r="D846" s="45"/>
      <c r="E846" s="45"/>
      <c r="F846" s="45"/>
      <c r="G846" s="45"/>
      <c r="H846" s="45"/>
      <c r="I846" s="45"/>
      <c r="J846" s="45"/>
      <c r="K846" s="45"/>
      <c r="L846" s="45"/>
      <c r="M846" s="45"/>
    </row>
    <row r="847" ht="15.75" customHeight="1">
      <c r="A847" s="45"/>
      <c r="B847" s="45"/>
      <c r="C847" s="45"/>
      <c r="D847" s="45"/>
      <c r="E847" s="45"/>
      <c r="F847" s="45"/>
      <c r="G847" s="45"/>
      <c r="H847" s="45"/>
      <c r="I847" s="45"/>
      <c r="J847" s="45"/>
      <c r="K847" s="45"/>
      <c r="L847" s="45"/>
      <c r="M847" s="45"/>
    </row>
    <row r="848" ht="15.75" customHeight="1">
      <c r="A848" s="45"/>
      <c r="B848" s="45"/>
      <c r="C848" s="45"/>
      <c r="D848" s="45"/>
      <c r="E848" s="45"/>
      <c r="F848" s="45"/>
      <c r="G848" s="45"/>
      <c r="H848" s="45"/>
      <c r="I848" s="45"/>
      <c r="J848" s="45"/>
      <c r="K848" s="45"/>
      <c r="L848" s="45"/>
      <c r="M848" s="45"/>
    </row>
    <row r="849" ht="15.75" customHeight="1">
      <c r="A849" s="45"/>
      <c r="B849" s="45"/>
      <c r="C849" s="45"/>
      <c r="D849" s="45"/>
      <c r="E849" s="45"/>
      <c r="F849" s="45"/>
      <c r="G849" s="45"/>
      <c r="H849" s="45"/>
      <c r="I849" s="45"/>
      <c r="J849" s="45"/>
      <c r="K849" s="45"/>
      <c r="L849" s="45"/>
      <c r="M849" s="45"/>
    </row>
    <row r="850" ht="15.75" customHeight="1">
      <c r="A850" s="45"/>
      <c r="B850" s="45"/>
      <c r="C850" s="45"/>
      <c r="D850" s="45"/>
      <c r="E850" s="45"/>
      <c r="F850" s="45"/>
      <c r="G850" s="45"/>
      <c r="H850" s="45"/>
      <c r="I850" s="45"/>
      <c r="J850" s="45"/>
      <c r="K850" s="45"/>
      <c r="L850" s="45"/>
      <c r="M850" s="45"/>
    </row>
    <row r="851" ht="15.75" customHeight="1">
      <c r="A851" s="45"/>
      <c r="B851" s="45"/>
      <c r="C851" s="45"/>
      <c r="D851" s="45"/>
      <c r="E851" s="45"/>
      <c r="F851" s="45"/>
      <c r="G851" s="45"/>
      <c r="H851" s="45"/>
      <c r="I851" s="45"/>
      <c r="J851" s="45"/>
      <c r="K851" s="45"/>
      <c r="L851" s="45"/>
      <c r="M851" s="45"/>
    </row>
    <row r="852" ht="15.75" customHeight="1">
      <c r="A852" s="45"/>
      <c r="B852" s="45"/>
      <c r="C852" s="45"/>
      <c r="D852" s="45"/>
      <c r="E852" s="45"/>
      <c r="F852" s="45"/>
      <c r="G852" s="45"/>
      <c r="H852" s="45"/>
      <c r="I852" s="45"/>
      <c r="J852" s="45"/>
      <c r="K852" s="45"/>
      <c r="L852" s="45"/>
      <c r="M852" s="45"/>
    </row>
    <row r="853" ht="15.75" customHeight="1">
      <c r="A853" s="45"/>
      <c r="B853" s="45"/>
      <c r="C853" s="45"/>
      <c r="D853" s="45"/>
      <c r="E853" s="45"/>
      <c r="F853" s="45"/>
      <c r="G853" s="45"/>
      <c r="H853" s="45"/>
      <c r="I853" s="45"/>
      <c r="J853" s="45"/>
      <c r="K853" s="45"/>
      <c r="L853" s="45"/>
      <c r="M853" s="45"/>
    </row>
    <row r="854" ht="15.75" customHeight="1">
      <c r="A854" s="45"/>
      <c r="B854" s="45"/>
      <c r="C854" s="45"/>
      <c r="D854" s="45"/>
      <c r="E854" s="45"/>
      <c r="F854" s="45"/>
      <c r="G854" s="45"/>
      <c r="H854" s="45"/>
      <c r="I854" s="45"/>
      <c r="J854" s="45"/>
      <c r="K854" s="45"/>
      <c r="L854" s="45"/>
      <c r="M854" s="45"/>
    </row>
    <row r="855" ht="15.75" customHeight="1">
      <c r="A855" s="45"/>
      <c r="B855" s="45"/>
      <c r="C855" s="45"/>
      <c r="D855" s="45"/>
      <c r="E855" s="45"/>
      <c r="F855" s="45"/>
      <c r="G855" s="45"/>
      <c r="H855" s="45"/>
      <c r="I855" s="45"/>
      <c r="J855" s="45"/>
      <c r="K855" s="45"/>
      <c r="L855" s="45"/>
      <c r="M855" s="45"/>
    </row>
    <row r="856" ht="15.75" customHeight="1">
      <c r="A856" s="45"/>
      <c r="B856" s="45"/>
      <c r="C856" s="45"/>
      <c r="D856" s="45"/>
      <c r="E856" s="45"/>
      <c r="F856" s="45"/>
      <c r="G856" s="45"/>
      <c r="H856" s="45"/>
      <c r="I856" s="45"/>
      <c r="J856" s="45"/>
      <c r="K856" s="45"/>
      <c r="L856" s="45"/>
      <c r="M856" s="45"/>
    </row>
    <row r="857" ht="15.75" customHeight="1">
      <c r="A857" s="45"/>
      <c r="B857" s="45"/>
      <c r="C857" s="45"/>
      <c r="D857" s="45"/>
      <c r="E857" s="45"/>
      <c r="F857" s="45"/>
      <c r="G857" s="45"/>
      <c r="H857" s="45"/>
      <c r="I857" s="45"/>
      <c r="J857" s="45"/>
      <c r="K857" s="45"/>
      <c r="L857" s="45"/>
      <c r="M857" s="45"/>
    </row>
    <row r="858" ht="15.75" customHeight="1">
      <c r="A858" s="45"/>
      <c r="B858" s="45"/>
      <c r="C858" s="45"/>
      <c r="D858" s="45"/>
      <c r="E858" s="45"/>
      <c r="F858" s="45"/>
      <c r="G858" s="45"/>
      <c r="H858" s="45"/>
      <c r="I858" s="45"/>
      <c r="J858" s="45"/>
      <c r="K858" s="45"/>
      <c r="L858" s="45"/>
      <c r="M858" s="45"/>
    </row>
    <row r="859" ht="15.75" customHeight="1">
      <c r="A859" s="45"/>
      <c r="B859" s="45"/>
      <c r="C859" s="45"/>
      <c r="D859" s="45"/>
      <c r="E859" s="45"/>
      <c r="F859" s="45"/>
      <c r="G859" s="45"/>
      <c r="H859" s="45"/>
      <c r="I859" s="45"/>
      <c r="J859" s="45"/>
      <c r="K859" s="45"/>
      <c r="L859" s="45"/>
      <c r="M859" s="45"/>
    </row>
    <row r="860" ht="15.75" customHeight="1">
      <c r="A860" s="45"/>
      <c r="B860" s="45"/>
      <c r="C860" s="45"/>
      <c r="D860" s="45"/>
      <c r="E860" s="45"/>
      <c r="F860" s="45"/>
      <c r="G860" s="45"/>
      <c r="H860" s="45"/>
      <c r="I860" s="45"/>
      <c r="J860" s="45"/>
      <c r="K860" s="45"/>
      <c r="L860" s="45"/>
      <c r="M860" s="45"/>
    </row>
    <row r="861" ht="15.75" customHeight="1">
      <c r="A861" s="45"/>
      <c r="B861" s="45"/>
      <c r="C861" s="45"/>
      <c r="D861" s="45"/>
      <c r="E861" s="45"/>
      <c r="F861" s="45"/>
      <c r="G861" s="45"/>
      <c r="H861" s="45"/>
      <c r="I861" s="45"/>
      <c r="J861" s="45"/>
      <c r="K861" s="45"/>
      <c r="L861" s="45"/>
      <c r="M861" s="45"/>
    </row>
    <row r="862" ht="15.75" customHeight="1">
      <c r="A862" s="45"/>
      <c r="B862" s="45"/>
      <c r="C862" s="45"/>
      <c r="D862" s="45"/>
      <c r="E862" s="45"/>
      <c r="F862" s="45"/>
      <c r="G862" s="45"/>
      <c r="H862" s="45"/>
      <c r="I862" s="45"/>
      <c r="J862" s="45"/>
      <c r="K862" s="45"/>
      <c r="L862" s="45"/>
      <c r="M862" s="45"/>
    </row>
    <row r="863" ht="15.75" customHeight="1">
      <c r="A863" s="45"/>
      <c r="B863" s="45"/>
      <c r="C863" s="45"/>
      <c r="D863" s="45"/>
      <c r="E863" s="45"/>
      <c r="F863" s="45"/>
      <c r="G863" s="45"/>
      <c r="H863" s="45"/>
      <c r="I863" s="45"/>
      <c r="J863" s="45"/>
      <c r="K863" s="45"/>
      <c r="L863" s="45"/>
      <c r="M863" s="45"/>
    </row>
    <row r="864" ht="15.75" customHeight="1">
      <c r="A864" s="45"/>
      <c r="B864" s="45"/>
      <c r="C864" s="45"/>
      <c r="D864" s="45"/>
      <c r="E864" s="45"/>
      <c r="F864" s="45"/>
      <c r="G864" s="45"/>
      <c r="H864" s="45"/>
      <c r="I864" s="45"/>
      <c r="J864" s="45"/>
      <c r="K864" s="45"/>
      <c r="L864" s="45"/>
      <c r="M864" s="45"/>
    </row>
    <row r="865" ht="15.75" customHeight="1">
      <c r="A865" s="45"/>
      <c r="B865" s="45"/>
      <c r="C865" s="45"/>
      <c r="D865" s="45"/>
      <c r="E865" s="45"/>
      <c r="F865" s="45"/>
      <c r="G865" s="45"/>
      <c r="H865" s="45"/>
      <c r="I865" s="45"/>
      <c r="J865" s="45"/>
      <c r="K865" s="45"/>
      <c r="L865" s="45"/>
      <c r="M865" s="45"/>
    </row>
    <row r="866" ht="15.75" customHeight="1">
      <c r="A866" s="45"/>
      <c r="B866" s="45"/>
      <c r="C866" s="45"/>
      <c r="D866" s="45"/>
      <c r="E866" s="45"/>
      <c r="F866" s="45"/>
      <c r="G866" s="45"/>
      <c r="H866" s="45"/>
      <c r="I866" s="45"/>
      <c r="J866" s="45"/>
      <c r="K866" s="45"/>
      <c r="L866" s="45"/>
      <c r="M866" s="45"/>
    </row>
    <row r="867" ht="15.75" customHeight="1">
      <c r="A867" s="45"/>
      <c r="B867" s="45"/>
      <c r="C867" s="45"/>
      <c r="D867" s="45"/>
      <c r="E867" s="45"/>
      <c r="F867" s="45"/>
      <c r="G867" s="45"/>
      <c r="H867" s="45"/>
      <c r="I867" s="45"/>
      <c r="J867" s="45"/>
      <c r="K867" s="45"/>
      <c r="L867" s="45"/>
      <c r="M867" s="45"/>
    </row>
    <row r="868" ht="15.75" customHeight="1">
      <c r="A868" s="45"/>
      <c r="B868" s="45"/>
      <c r="C868" s="45"/>
      <c r="D868" s="45"/>
      <c r="E868" s="45"/>
      <c r="F868" s="45"/>
      <c r="G868" s="45"/>
      <c r="H868" s="45"/>
      <c r="I868" s="45"/>
      <c r="J868" s="45"/>
      <c r="K868" s="45"/>
      <c r="L868" s="45"/>
      <c r="M868" s="45"/>
    </row>
    <row r="869" ht="15.75" customHeight="1">
      <c r="A869" s="45"/>
      <c r="B869" s="45"/>
      <c r="C869" s="45"/>
      <c r="D869" s="45"/>
      <c r="E869" s="45"/>
      <c r="F869" s="45"/>
      <c r="G869" s="45"/>
      <c r="H869" s="45"/>
      <c r="I869" s="45"/>
      <c r="J869" s="45"/>
      <c r="K869" s="45"/>
      <c r="L869" s="45"/>
      <c r="M869" s="45"/>
    </row>
    <row r="870" ht="15.75" customHeight="1">
      <c r="A870" s="45"/>
      <c r="B870" s="45"/>
      <c r="C870" s="45"/>
      <c r="D870" s="45"/>
      <c r="E870" s="45"/>
      <c r="F870" s="45"/>
      <c r="G870" s="45"/>
      <c r="H870" s="45"/>
      <c r="I870" s="45"/>
      <c r="J870" s="45"/>
      <c r="K870" s="45"/>
      <c r="L870" s="45"/>
      <c r="M870" s="45"/>
    </row>
    <row r="871" ht="15.75" customHeight="1">
      <c r="A871" s="45"/>
      <c r="B871" s="45"/>
      <c r="C871" s="45"/>
      <c r="D871" s="45"/>
      <c r="E871" s="45"/>
      <c r="F871" s="45"/>
      <c r="G871" s="45"/>
      <c r="H871" s="45"/>
      <c r="I871" s="45"/>
      <c r="J871" s="45"/>
      <c r="K871" s="45"/>
      <c r="L871" s="45"/>
      <c r="M871" s="45"/>
    </row>
    <row r="872" ht="15.75" customHeight="1">
      <c r="A872" s="45"/>
      <c r="B872" s="45"/>
      <c r="C872" s="45"/>
      <c r="D872" s="45"/>
      <c r="E872" s="45"/>
      <c r="F872" s="45"/>
      <c r="G872" s="45"/>
      <c r="H872" s="45"/>
      <c r="I872" s="45"/>
      <c r="J872" s="45"/>
      <c r="K872" s="45"/>
      <c r="L872" s="45"/>
      <c r="M872" s="45"/>
    </row>
    <row r="873" ht="15.75" customHeight="1">
      <c r="A873" s="45"/>
      <c r="B873" s="45"/>
      <c r="C873" s="45"/>
      <c r="D873" s="45"/>
      <c r="E873" s="45"/>
      <c r="F873" s="45"/>
      <c r="G873" s="45"/>
      <c r="H873" s="45"/>
      <c r="I873" s="45"/>
      <c r="J873" s="45"/>
      <c r="K873" s="45"/>
      <c r="L873" s="45"/>
      <c r="M873" s="45"/>
    </row>
    <row r="874" ht="15.75" customHeight="1">
      <c r="A874" s="45"/>
      <c r="B874" s="45"/>
      <c r="C874" s="45"/>
      <c r="D874" s="45"/>
      <c r="E874" s="45"/>
      <c r="F874" s="45"/>
      <c r="G874" s="45"/>
      <c r="H874" s="45"/>
      <c r="I874" s="45"/>
      <c r="J874" s="45"/>
      <c r="K874" s="45"/>
      <c r="L874" s="45"/>
      <c r="M874" s="45"/>
    </row>
    <row r="875" ht="15.75" customHeight="1">
      <c r="A875" s="45"/>
      <c r="B875" s="45"/>
      <c r="C875" s="45"/>
      <c r="D875" s="45"/>
      <c r="E875" s="45"/>
      <c r="F875" s="45"/>
      <c r="G875" s="45"/>
      <c r="H875" s="45"/>
      <c r="I875" s="45"/>
      <c r="J875" s="45"/>
      <c r="K875" s="45"/>
      <c r="L875" s="45"/>
      <c r="M875" s="45"/>
    </row>
    <row r="876" ht="15.75" customHeight="1">
      <c r="A876" s="45"/>
      <c r="B876" s="45"/>
      <c r="C876" s="45"/>
      <c r="D876" s="45"/>
      <c r="E876" s="45"/>
      <c r="F876" s="45"/>
      <c r="G876" s="45"/>
      <c r="H876" s="45"/>
      <c r="I876" s="45"/>
      <c r="J876" s="45"/>
      <c r="K876" s="45"/>
      <c r="L876" s="45"/>
      <c r="M876" s="45"/>
    </row>
    <row r="877" ht="15.75" customHeight="1">
      <c r="A877" s="45"/>
      <c r="B877" s="45"/>
      <c r="C877" s="45"/>
      <c r="D877" s="45"/>
      <c r="E877" s="45"/>
      <c r="F877" s="45"/>
      <c r="G877" s="45"/>
      <c r="H877" s="45"/>
      <c r="I877" s="45"/>
      <c r="J877" s="45"/>
      <c r="K877" s="45"/>
      <c r="L877" s="45"/>
      <c r="M877" s="45"/>
    </row>
    <row r="878" ht="15.75" customHeight="1">
      <c r="A878" s="45"/>
      <c r="B878" s="45"/>
      <c r="C878" s="45"/>
      <c r="D878" s="45"/>
      <c r="E878" s="45"/>
      <c r="F878" s="45"/>
      <c r="G878" s="45"/>
      <c r="H878" s="45"/>
      <c r="I878" s="45"/>
      <c r="J878" s="45"/>
      <c r="K878" s="45"/>
      <c r="L878" s="45"/>
      <c r="M878" s="45"/>
    </row>
    <row r="879" ht="15.75" customHeight="1">
      <c r="A879" s="45"/>
      <c r="B879" s="45"/>
      <c r="C879" s="45"/>
      <c r="D879" s="45"/>
      <c r="E879" s="45"/>
      <c r="F879" s="45"/>
      <c r="G879" s="45"/>
      <c r="H879" s="45"/>
      <c r="I879" s="45"/>
      <c r="J879" s="45"/>
      <c r="K879" s="45"/>
      <c r="L879" s="45"/>
      <c r="M879" s="45"/>
    </row>
    <row r="880" ht="15.75" customHeight="1">
      <c r="A880" s="45"/>
      <c r="B880" s="45"/>
      <c r="C880" s="45"/>
      <c r="D880" s="45"/>
      <c r="E880" s="45"/>
      <c r="F880" s="45"/>
      <c r="G880" s="45"/>
      <c r="H880" s="45"/>
      <c r="I880" s="45"/>
      <c r="J880" s="45"/>
      <c r="K880" s="45"/>
      <c r="L880" s="45"/>
      <c r="M880" s="45"/>
    </row>
    <row r="881" ht="15.75" customHeight="1">
      <c r="A881" s="45"/>
      <c r="B881" s="45"/>
      <c r="C881" s="45"/>
      <c r="D881" s="45"/>
      <c r="E881" s="45"/>
      <c r="F881" s="45"/>
      <c r="G881" s="45"/>
      <c r="H881" s="45"/>
      <c r="I881" s="45"/>
      <c r="J881" s="45"/>
      <c r="K881" s="45"/>
      <c r="L881" s="45"/>
      <c r="M881" s="45"/>
    </row>
    <row r="882" ht="15.75" customHeight="1">
      <c r="A882" s="45"/>
      <c r="B882" s="45"/>
      <c r="C882" s="45"/>
      <c r="D882" s="45"/>
      <c r="E882" s="45"/>
      <c r="F882" s="45"/>
      <c r="G882" s="45"/>
      <c r="H882" s="45"/>
      <c r="I882" s="45"/>
      <c r="J882" s="45"/>
      <c r="K882" s="45"/>
      <c r="L882" s="45"/>
      <c r="M882" s="45"/>
    </row>
    <row r="883" ht="15.75" customHeight="1">
      <c r="A883" s="45"/>
      <c r="B883" s="45"/>
      <c r="C883" s="45"/>
      <c r="D883" s="45"/>
      <c r="E883" s="45"/>
      <c r="F883" s="45"/>
      <c r="G883" s="45"/>
      <c r="H883" s="45"/>
      <c r="I883" s="45"/>
      <c r="J883" s="45"/>
      <c r="K883" s="45"/>
      <c r="L883" s="45"/>
      <c r="M883" s="45"/>
    </row>
    <row r="884" ht="15.75" customHeight="1">
      <c r="A884" s="45"/>
      <c r="B884" s="45"/>
      <c r="C884" s="45"/>
      <c r="D884" s="45"/>
      <c r="E884" s="45"/>
      <c r="F884" s="45"/>
      <c r="G884" s="45"/>
      <c r="H884" s="45"/>
      <c r="I884" s="45"/>
      <c r="J884" s="45"/>
      <c r="K884" s="45"/>
      <c r="L884" s="45"/>
      <c r="M884" s="45"/>
    </row>
    <row r="885" ht="15.75" customHeight="1">
      <c r="A885" s="45"/>
      <c r="B885" s="45"/>
      <c r="C885" s="45"/>
      <c r="D885" s="45"/>
      <c r="E885" s="45"/>
      <c r="F885" s="45"/>
      <c r="G885" s="45"/>
      <c r="H885" s="45"/>
      <c r="I885" s="45"/>
      <c r="J885" s="45"/>
      <c r="K885" s="45"/>
      <c r="L885" s="45"/>
      <c r="M885" s="45"/>
    </row>
    <row r="886" ht="15.75" customHeight="1">
      <c r="A886" s="45"/>
      <c r="B886" s="45"/>
      <c r="C886" s="45"/>
      <c r="D886" s="45"/>
      <c r="E886" s="45"/>
      <c r="F886" s="45"/>
      <c r="G886" s="45"/>
      <c r="H886" s="45"/>
      <c r="I886" s="45"/>
      <c r="J886" s="45"/>
      <c r="K886" s="45"/>
      <c r="L886" s="45"/>
      <c r="M886" s="45"/>
    </row>
    <row r="887" ht="15.75" customHeight="1">
      <c r="A887" s="45"/>
      <c r="B887" s="45"/>
      <c r="C887" s="45"/>
      <c r="D887" s="45"/>
      <c r="E887" s="45"/>
      <c r="F887" s="45"/>
      <c r="G887" s="45"/>
      <c r="H887" s="45"/>
      <c r="I887" s="45"/>
      <c r="J887" s="45"/>
      <c r="K887" s="45"/>
      <c r="L887" s="45"/>
      <c r="M887" s="45"/>
    </row>
    <row r="888" ht="15.75" customHeight="1">
      <c r="A888" s="45"/>
      <c r="B888" s="45"/>
      <c r="C888" s="45"/>
      <c r="D888" s="45"/>
      <c r="E888" s="45"/>
      <c r="F888" s="45"/>
      <c r="G888" s="45"/>
      <c r="H888" s="45"/>
      <c r="I888" s="45"/>
      <c r="J888" s="45"/>
      <c r="K888" s="45"/>
      <c r="L888" s="45"/>
      <c r="M888" s="45"/>
    </row>
    <row r="889" ht="15.75" customHeight="1">
      <c r="A889" s="45"/>
      <c r="B889" s="45"/>
      <c r="C889" s="45"/>
      <c r="D889" s="45"/>
      <c r="E889" s="45"/>
      <c r="F889" s="45"/>
      <c r="G889" s="45"/>
      <c r="H889" s="45"/>
      <c r="I889" s="45"/>
      <c r="J889" s="45"/>
      <c r="K889" s="45"/>
      <c r="L889" s="45"/>
      <c r="M889" s="45"/>
    </row>
    <row r="890" ht="15.75" customHeight="1">
      <c r="A890" s="45"/>
      <c r="B890" s="45"/>
      <c r="C890" s="45"/>
      <c r="D890" s="45"/>
      <c r="E890" s="45"/>
      <c r="F890" s="45"/>
      <c r="G890" s="45"/>
      <c r="H890" s="45"/>
      <c r="I890" s="45"/>
      <c r="J890" s="45"/>
      <c r="K890" s="45"/>
      <c r="L890" s="45"/>
      <c r="M890" s="45"/>
    </row>
    <row r="891" ht="15.75" customHeight="1">
      <c r="A891" s="45"/>
      <c r="B891" s="45"/>
      <c r="C891" s="45"/>
      <c r="D891" s="45"/>
      <c r="E891" s="45"/>
      <c r="F891" s="45"/>
      <c r="G891" s="45"/>
      <c r="H891" s="45"/>
      <c r="I891" s="45"/>
      <c r="J891" s="45"/>
      <c r="K891" s="45"/>
      <c r="L891" s="45"/>
      <c r="M891" s="45"/>
    </row>
    <row r="892" ht="15.75" customHeight="1">
      <c r="A892" s="45"/>
      <c r="B892" s="45"/>
      <c r="C892" s="45"/>
      <c r="D892" s="45"/>
      <c r="E892" s="45"/>
      <c r="F892" s="45"/>
      <c r="G892" s="45"/>
      <c r="H892" s="45"/>
      <c r="I892" s="45"/>
      <c r="J892" s="45"/>
      <c r="K892" s="45"/>
      <c r="L892" s="45"/>
      <c r="M892" s="45"/>
    </row>
    <row r="893" ht="15.75" customHeight="1">
      <c r="A893" s="45"/>
      <c r="B893" s="45"/>
      <c r="C893" s="45"/>
      <c r="D893" s="45"/>
      <c r="E893" s="45"/>
      <c r="F893" s="45"/>
      <c r="G893" s="45"/>
      <c r="H893" s="45"/>
      <c r="I893" s="45"/>
      <c r="J893" s="45"/>
      <c r="K893" s="45"/>
      <c r="L893" s="45"/>
      <c r="M893" s="45"/>
    </row>
    <row r="894" ht="15.75" customHeight="1">
      <c r="A894" s="45"/>
      <c r="B894" s="45"/>
      <c r="C894" s="45"/>
      <c r="D894" s="45"/>
      <c r="E894" s="45"/>
      <c r="F894" s="45"/>
      <c r="G894" s="45"/>
      <c r="H894" s="45"/>
      <c r="I894" s="45"/>
      <c r="J894" s="45"/>
      <c r="K894" s="45"/>
      <c r="L894" s="45"/>
      <c r="M894" s="45"/>
    </row>
    <row r="895" ht="15.75" customHeight="1">
      <c r="A895" s="45"/>
      <c r="B895" s="45"/>
      <c r="C895" s="45"/>
      <c r="D895" s="45"/>
      <c r="E895" s="45"/>
      <c r="F895" s="45"/>
      <c r="G895" s="45"/>
      <c r="H895" s="45"/>
      <c r="I895" s="45"/>
      <c r="J895" s="45"/>
      <c r="K895" s="45"/>
      <c r="L895" s="45"/>
      <c r="M895" s="45"/>
    </row>
    <row r="896" ht="15.75" customHeight="1">
      <c r="A896" s="45"/>
      <c r="B896" s="45"/>
      <c r="C896" s="45"/>
      <c r="D896" s="45"/>
      <c r="E896" s="45"/>
      <c r="F896" s="45"/>
      <c r="G896" s="45"/>
      <c r="H896" s="45"/>
      <c r="I896" s="45"/>
      <c r="J896" s="45"/>
      <c r="K896" s="45"/>
      <c r="L896" s="45"/>
      <c r="M896" s="45"/>
    </row>
    <row r="897" ht="15.75" customHeight="1">
      <c r="A897" s="45"/>
      <c r="B897" s="45"/>
      <c r="C897" s="45"/>
      <c r="D897" s="45"/>
      <c r="E897" s="45"/>
      <c r="F897" s="45"/>
      <c r="G897" s="45"/>
      <c r="H897" s="45"/>
      <c r="I897" s="45"/>
      <c r="J897" s="45"/>
      <c r="K897" s="45"/>
      <c r="L897" s="45"/>
      <c r="M897" s="45"/>
    </row>
    <row r="898" ht="15.75" customHeight="1">
      <c r="A898" s="45"/>
      <c r="B898" s="45"/>
      <c r="C898" s="45"/>
      <c r="D898" s="45"/>
      <c r="E898" s="45"/>
      <c r="F898" s="45"/>
      <c r="G898" s="45"/>
      <c r="H898" s="45"/>
      <c r="I898" s="45"/>
      <c r="J898" s="45"/>
      <c r="K898" s="45"/>
      <c r="L898" s="45"/>
      <c r="M898" s="45"/>
    </row>
    <row r="899" ht="15.75" customHeight="1">
      <c r="A899" s="45"/>
      <c r="B899" s="45"/>
      <c r="C899" s="45"/>
      <c r="D899" s="45"/>
      <c r="E899" s="45"/>
      <c r="F899" s="45"/>
      <c r="G899" s="45"/>
      <c r="H899" s="45"/>
      <c r="I899" s="45"/>
      <c r="J899" s="45"/>
      <c r="K899" s="45"/>
      <c r="L899" s="45"/>
      <c r="M899" s="45"/>
    </row>
    <row r="900" ht="15.75" customHeight="1">
      <c r="A900" s="45"/>
      <c r="B900" s="45"/>
      <c r="C900" s="45"/>
      <c r="D900" s="45"/>
      <c r="E900" s="45"/>
      <c r="F900" s="45"/>
      <c r="G900" s="45"/>
      <c r="H900" s="45"/>
      <c r="I900" s="45"/>
      <c r="J900" s="45"/>
      <c r="K900" s="45"/>
      <c r="L900" s="45"/>
      <c r="M900" s="45"/>
    </row>
    <row r="901" ht="15.75" customHeight="1">
      <c r="A901" s="45"/>
      <c r="B901" s="45"/>
      <c r="C901" s="45"/>
      <c r="D901" s="45"/>
      <c r="E901" s="45"/>
      <c r="F901" s="45"/>
      <c r="G901" s="45"/>
      <c r="H901" s="45"/>
      <c r="I901" s="45"/>
      <c r="J901" s="45"/>
      <c r="K901" s="45"/>
      <c r="L901" s="45"/>
      <c r="M901" s="45"/>
    </row>
    <row r="902" ht="15.75" customHeight="1">
      <c r="A902" s="45"/>
      <c r="B902" s="45"/>
      <c r="C902" s="45"/>
      <c r="D902" s="45"/>
      <c r="E902" s="45"/>
      <c r="F902" s="45"/>
      <c r="G902" s="45"/>
      <c r="H902" s="45"/>
      <c r="I902" s="45"/>
      <c r="J902" s="45"/>
      <c r="K902" s="45"/>
      <c r="L902" s="45"/>
      <c r="M902" s="45"/>
    </row>
    <row r="903" ht="15.75" customHeight="1">
      <c r="A903" s="45"/>
      <c r="B903" s="45"/>
      <c r="C903" s="45"/>
      <c r="D903" s="45"/>
      <c r="E903" s="45"/>
      <c r="F903" s="45"/>
      <c r="G903" s="45"/>
      <c r="H903" s="45"/>
      <c r="I903" s="45"/>
      <c r="J903" s="45"/>
      <c r="K903" s="45"/>
      <c r="L903" s="45"/>
      <c r="M903" s="45"/>
    </row>
    <row r="904" ht="15.75" customHeight="1">
      <c r="A904" s="45"/>
      <c r="B904" s="45"/>
      <c r="C904" s="45"/>
      <c r="D904" s="45"/>
      <c r="E904" s="45"/>
      <c r="F904" s="45"/>
      <c r="G904" s="45"/>
      <c r="H904" s="45"/>
      <c r="I904" s="45"/>
      <c r="J904" s="45"/>
      <c r="K904" s="45"/>
      <c r="L904" s="45"/>
      <c r="M904" s="45"/>
    </row>
    <row r="905" ht="15.75" customHeight="1">
      <c r="A905" s="45"/>
      <c r="B905" s="45"/>
      <c r="C905" s="45"/>
      <c r="D905" s="45"/>
      <c r="E905" s="45"/>
      <c r="F905" s="45"/>
      <c r="G905" s="45"/>
      <c r="H905" s="45"/>
      <c r="I905" s="45"/>
      <c r="J905" s="45"/>
      <c r="K905" s="45"/>
      <c r="L905" s="45"/>
      <c r="M905" s="45"/>
    </row>
    <row r="906" ht="15.75" customHeight="1">
      <c r="A906" s="45"/>
      <c r="B906" s="45"/>
      <c r="C906" s="45"/>
      <c r="D906" s="45"/>
      <c r="E906" s="45"/>
      <c r="F906" s="45"/>
      <c r="G906" s="45"/>
      <c r="H906" s="45"/>
      <c r="I906" s="45"/>
      <c r="J906" s="45"/>
      <c r="K906" s="45"/>
      <c r="L906" s="45"/>
      <c r="M906" s="45"/>
    </row>
    <row r="907" ht="15.75" customHeight="1">
      <c r="A907" s="45"/>
      <c r="B907" s="45"/>
      <c r="C907" s="45"/>
      <c r="D907" s="45"/>
      <c r="E907" s="45"/>
      <c r="F907" s="45"/>
      <c r="G907" s="45"/>
      <c r="H907" s="45"/>
      <c r="I907" s="45"/>
      <c r="J907" s="45"/>
      <c r="K907" s="45"/>
      <c r="L907" s="45"/>
      <c r="M907" s="45"/>
    </row>
    <row r="908" ht="15.75" customHeight="1">
      <c r="A908" s="45"/>
      <c r="B908" s="45"/>
      <c r="C908" s="45"/>
      <c r="D908" s="45"/>
      <c r="E908" s="45"/>
      <c r="F908" s="45"/>
      <c r="G908" s="45"/>
      <c r="H908" s="45"/>
      <c r="I908" s="45"/>
      <c r="J908" s="45"/>
      <c r="K908" s="45"/>
      <c r="L908" s="45"/>
      <c r="M908" s="45"/>
    </row>
    <row r="909" ht="15.75" customHeight="1">
      <c r="A909" s="45"/>
      <c r="B909" s="45"/>
      <c r="C909" s="45"/>
      <c r="D909" s="45"/>
      <c r="E909" s="45"/>
      <c r="F909" s="45"/>
      <c r="G909" s="45"/>
      <c r="H909" s="45"/>
      <c r="I909" s="45"/>
      <c r="J909" s="45"/>
      <c r="K909" s="45"/>
      <c r="L909" s="45"/>
      <c r="M909" s="45"/>
    </row>
    <row r="910" ht="15.75" customHeight="1">
      <c r="A910" s="45"/>
      <c r="B910" s="45"/>
      <c r="C910" s="45"/>
      <c r="D910" s="45"/>
      <c r="E910" s="45"/>
      <c r="F910" s="45"/>
      <c r="G910" s="45"/>
      <c r="H910" s="45"/>
      <c r="I910" s="45"/>
      <c r="J910" s="45"/>
      <c r="K910" s="45"/>
      <c r="L910" s="45"/>
      <c r="M910" s="45"/>
    </row>
    <row r="911" ht="15.75" customHeight="1">
      <c r="A911" s="45"/>
      <c r="B911" s="45"/>
      <c r="C911" s="45"/>
      <c r="D911" s="45"/>
      <c r="E911" s="45"/>
      <c r="F911" s="45"/>
      <c r="G911" s="45"/>
      <c r="H911" s="45"/>
      <c r="I911" s="45"/>
      <c r="J911" s="45"/>
      <c r="K911" s="45"/>
      <c r="L911" s="45"/>
      <c r="M911" s="45"/>
    </row>
    <row r="912" ht="15.75" customHeight="1">
      <c r="A912" s="45"/>
      <c r="B912" s="45"/>
      <c r="C912" s="45"/>
      <c r="D912" s="45"/>
      <c r="E912" s="45"/>
      <c r="F912" s="45"/>
      <c r="G912" s="45"/>
      <c r="H912" s="45"/>
      <c r="I912" s="45"/>
      <c r="J912" s="45"/>
      <c r="K912" s="45"/>
      <c r="L912" s="45"/>
      <c r="M912" s="45"/>
    </row>
    <row r="913" ht="15.75" customHeight="1">
      <c r="A913" s="45"/>
      <c r="B913" s="45"/>
      <c r="C913" s="45"/>
      <c r="D913" s="45"/>
      <c r="E913" s="45"/>
      <c r="F913" s="45"/>
      <c r="G913" s="45"/>
      <c r="H913" s="45"/>
      <c r="I913" s="45"/>
      <c r="J913" s="45"/>
      <c r="K913" s="45"/>
      <c r="L913" s="45"/>
      <c r="M913" s="45"/>
    </row>
    <row r="914" ht="15.75" customHeight="1">
      <c r="A914" s="45"/>
      <c r="B914" s="45"/>
      <c r="C914" s="45"/>
      <c r="D914" s="45"/>
      <c r="E914" s="45"/>
      <c r="F914" s="45"/>
      <c r="G914" s="45"/>
      <c r="H914" s="45"/>
      <c r="I914" s="45"/>
      <c r="J914" s="45"/>
      <c r="K914" s="45"/>
      <c r="L914" s="45"/>
      <c r="M914" s="45"/>
    </row>
    <row r="915" ht="15.75" customHeight="1">
      <c r="A915" s="45"/>
      <c r="B915" s="45"/>
      <c r="C915" s="45"/>
      <c r="D915" s="45"/>
      <c r="E915" s="45"/>
      <c r="F915" s="45"/>
      <c r="G915" s="45"/>
      <c r="H915" s="45"/>
      <c r="I915" s="45"/>
      <c r="J915" s="45"/>
      <c r="K915" s="45"/>
      <c r="L915" s="45"/>
      <c r="M915" s="45"/>
    </row>
    <row r="916" ht="15.75" customHeight="1">
      <c r="A916" s="45"/>
      <c r="B916" s="45"/>
      <c r="C916" s="45"/>
      <c r="D916" s="45"/>
      <c r="E916" s="45"/>
      <c r="F916" s="45"/>
      <c r="G916" s="45"/>
      <c r="H916" s="45"/>
      <c r="I916" s="45"/>
      <c r="J916" s="45"/>
      <c r="K916" s="45"/>
      <c r="L916" s="45"/>
      <c r="M916" s="45"/>
    </row>
    <row r="917" ht="15.75" customHeight="1">
      <c r="A917" s="45"/>
      <c r="B917" s="45"/>
      <c r="C917" s="45"/>
      <c r="D917" s="45"/>
      <c r="E917" s="45"/>
      <c r="F917" s="45"/>
      <c r="G917" s="45"/>
      <c r="H917" s="45"/>
      <c r="I917" s="45"/>
      <c r="J917" s="45"/>
      <c r="K917" s="45"/>
      <c r="L917" s="45"/>
      <c r="M917" s="45"/>
    </row>
    <row r="918" ht="15.75" customHeight="1">
      <c r="A918" s="45"/>
      <c r="B918" s="45"/>
      <c r="C918" s="45"/>
      <c r="D918" s="45"/>
      <c r="E918" s="45"/>
      <c r="F918" s="45"/>
      <c r="G918" s="45"/>
      <c r="H918" s="45"/>
      <c r="I918" s="45"/>
      <c r="J918" s="45"/>
      <c r="K918" s="45"/>
      <c r="L918" s="45"/>
      <c r="M918" s="45"/>
    </row>
    <row r="919" ht="15.75" customHeight="1">
      <c r="A919" s="45"/>
      <c r="B919" s="45"/>
      <c r="C919" s="45"/>
      <c r="D919" s="45"/>
      <c r="E919" s="45"/>
      <c r="F919" s="45"/>
      <c r="G919" s="45"/>
      <c r="H919" s="45"/>
      <c r="I919" s="45"/>
      <c r="J919" s="45"/>
      <c r="K919" s="45"/>
      <c r="L919" s="45"/>
      <c r="M919" s="45"/>
    </row>
    <row r="920" ht="15.75" customHeight="1">
      <c r="A920" s="45"/>
      <c r="B920" s="45"/>
      <c r="C920" s="45"/>
      <c r="D920" s="45"/>
      <c r="E920" s="45"/>
      <c r="F920" s="45"/>
      <c r="G920" s="45"/>
      <c r="H920" s="45"/>
      <c r="I920" s="45"/>
      <c r="J920" s="45"/>
      <c r="K920" s="45"/>
      <c r="L920" s="45"/>
      <c r="M920" s="45"/>
    </row>
    <row r="921" ht="15.75" customHeight="1">
      <c r="A921" s="45"/>
      <c r="B921" s="45"/>
      <c r="C921" s="45"/>
      <c r="D921" s="45"/>
      <c r="E921" s="45"/>
      <c r="F921" s="45"/>
      <c r="G921" s="45"/>
      <c r="H921" s="45"/>
      <c r="I921" s="45"/>
      <c r="J921" s="45"/>
      <c r="K921" s="45"/>
      <c r="L921" s="45"/>
      <c r="M921" s="45"/>
    </row>
    <row r="922" ht="15.75" customHeight="1">
      <c r="A922" s="45"/>
      <c r="B922" s="45"/>
      <c r="C922" s="45"/>
      <c r="D922" s="45"/>
      <c r="E922" s="45"/>
      <c r="F922" s="45"/>
      <c r="G922" s="45"/>
      <c r="H922" s="45"/>
      <c r="I922" s="45"/>
      <c r="J922" s="45"/>
      <c r="K922" s="45"/>
      <c r="L922" s="45"/>
      <c r="M922" s="45"/>
    </row>
    <row r="923" ht="15.75" customHeight="1">
      <c r="A923" s="45"/>
      <c r="B923" s="45"/>
      <c r="C923" s="45"/>
      <c r="D923" s="45"/>
      <c r="E923" s="45"/>
      <c r="F923" s="45"/>
      <c r="G923" s="45"/>
      <c r="H923" s="45"/>
      <c r="I923" s="45"/>
      <c r="J923" s="45"/>
      <c r="K923" s="45"/>
      <c r="L923" s="45"/>
      <c r="M923" s="45"/>
    </row>
    <row r="924" ht="15.75" customHeight="1">
      <c r="A924" s="45"/>
      <c r="B924" s="45"/>
      <c r="C924" s="45"/>
      <c r="D924" s="45"/>
      <c r="E924" s="45"/>
      <c r="F924" s="45"/>
      <c r="G924" s="45"/>
      <c r="H924" s="45"/>
      <c r="I924" s="45"/>
      <c r="J924" s="45"/>
      <c r="K924" s="45"/>
      <c r="L924" s="45"/>
      <c r="M924" s="45"/>
    </row>
    <row r="925" ht="15.75" customHeight="1">
      <c r="A925" s="45"/>
      <c r="B925" s="45"/>
      <c r="C925" s="45"/>
      <c r="D925" s="45"/>
      <c r="E925" s="45"/>
      <c r="F925" s="45"/>
      <c r="G925" s="45"/>
      <c r="H925" s="45"/>
      <c r="I925" s="45"/>
      <c r="J925" s="45"/>
      <c r="K925" s="45"/>
      <c r="L925" s="45"/>
      <c r="M925" s="45"/>
    </row>
    <row r="926" ht="15.75" customHeight="1">
      <c r="A926" s="45"/>
      <c r="B926" s="45"/>
      <c r="C926" s="45"/>
      <c r="D926" s="45"/>
      <c r="E926" s="45"/>
      <c r="F926" s="45"/>
      <c r="G926" s="45"/>
      <c r="H926" s="45"/>
      <c r="I926" s="45"/>
      <c r="J926" s="45"/>
      <c r="K926" s="45"/>
      <c r="L926" s="45"/>
      <c r="M926" s="45"/>
    </row>
    <row r="927" ht="15.75" customHeight="1">
      <c r="A927" s="45"/>
      <c r="B927" s="45"/>
      <c r="C927" s="45"/>
      <c r="D927" s="45"/>
      <c r="E927" s="45"/>
      <c r="F927" s="45"/>
      <c r="G927" s="45"/>
      <c r="H927" s="45"/>
      <c r="I927" s="45"/>
      <c r="J927" s="45"/>
      <c r="K927" s="45"/>
      <c r="L927" s="45"/>
      <c r="M927" s="45"/>
    </row>
    <row r="928" ht="15.75" customHeight="1">
      <c r="A928" s="45"/>
      <c r="B928" s="45"/>
      <c r="C928" s="45"/>
      <c r="D928" s="45"/>
      <c r="E928" s="45"/>
      <c r="F928" s="45"/>
      <c r="G928" s="45"/>
      <c r="H928" s="45"/>
      <c r="I928" s="45"/>
      <c r="J928" s="45"/>
      <c r="K928" s="45"/>
      <c r="L928" s="45"/>
      <c r="M928" s="45"/>
    </row>
    <row r="929" ht="15.75" customHeight="1">
      <c r="A929" s="45"/>
      <c r="B929" s="45"/>
      <c r="C929" s="45"/>
      <c r="D929" s="45"/>
      <c r="E929" s="45"/>
      <c r="F929" s="45"/>
      <c r="G929" s="45"/>
      <c r="H929" s="45"/>
      <c r="I929" s="45"/>
      <c r="J929" s="45"/>
      <c r="K929" s="45"/>
      <c r="L929" s="45"/>
      <c r="M929" s="45"/>
    </row>
    <row r="930" ht="15.75" customHeight="1">
      <c r="A930" s="45"/>
      <c r="B930" s="45"/>
      <c r="C930" s="45"/>
      <c r="D930" s="45"/>
      <c r="E930" s="45"/>
      <c r="F930" s="45"/>
      <c r="G930" s="45"/>
      <c r="H930" s="45"/>
      <c r="I930" s="45"/>
      <c r="J930" s="45"/>
      <c r="K930" s="45"/>
      <c r="L930" s="45"/>
      <c r="M930" s="45"/>
    </row>
    <row r="931" ht="15.75" customHeight="1">
      <c r="A931" s="45"/>
      <c r="B931" s="45"/>
      <c r="C931" s="45"/>
      <c r="D931" s="45"/>
      <c r="E931" s="45"/>
      <c r="F931" s="45"/>
      <c r="G931" s="45"/>
      <c r="H931" s="45"/>
      <c r="I931" s="45"/>
      <c r="J931" s="45"/>
      <c r="K931" s="45"/>
      <c r="L931" s="45"/>
      <c r="M931" s="45"/>
    </row>
    <row r="932" ht="15.75" customHeight="1">
      <c r="A932" s="45"/>
      <c r="B932" s="45"/>
      <c r="C932" s="45"/>
      <c r="D932" s="45"/>
      <c r="E932" s="45"/>
      <c r="F932" s="45"/>
      <c r="G932" s="45"/>
      <c r="H932" s="45"/>
      <c r="I932" s="45"/>
      <c r="J932" s="45"/>
      <c r="K932" s="45"/>
      <c r="L932" s="45"/>
      <c r="M932" s="45"/>
    </row>
    <row r="933" ht="15.75" customHeight="1">
      <c r="A933" s="45"/>
      <c r="B933" s="45"/>
      <c r="C933" s="45"/>
      <c r="D933" s="45"/>
      <c r="E933" s="45"/>
      <c r="F933" s="45"/>
      <c r="G933" s="45"/>
      <c r="H933" s="45"/>
      <c r="I933" s="45"/>
      <c r="J933" s="45"/>
      <c r="K933" s="45"/>
      <c r="L933" s="45"/>
      <c r="M933" s="45"/>
    </row>
    <row r="934" ht="15.75" customHeight="1">
      <c r="A934" s="45"/>
      <c r="B934" s="45"/>
      <c r="C934" s="45"/>
      <c r="D934" s="45"/>
      <c r="E934" s="45"/>
      <c r="F934" s="45"/>
      <c r="G934" s="45"/>
      <c r="H934" s="45"/>
      <c r="I934" s="45"/>
      <c r="J934" s="45"/>
      <c r="K934" s="45"/>
      <c r="L934" s="45"/>
      <c r="M934" s="45"/>
    </row>
    <row r="935" ht="15.75" customHeight="1">
      <c r="A935" s="45"/>
      <c r="B935" s="45"/>
      <c r="C935" s="45"/>
      <c r="D935" s="45"/>
      <c r="E935" s="45"/>
      <c r="F935" s="45"/>
      <c r="G935" s="45"/>
      <c r="H935" s="45"/>
      <c r="I935" s="45"/>
      <c r="J935" s="45"/>
      <c r="K935" s="45"/>
      <c r="L935" s="45"/>
      <c r="M935" s="45"/>
    </row>
    <row r="936" ht="15.75" customHeight="1">
      <c r="A936" s="45"/>
      <c r="B936" s="45"/>
      <c r="C936" s="45"/>
      <c r="D936" s="45"/>
      <c r="E936" s="45"/>
      <c r="F936" s="45"/>
      <c r="G936" s="45"/>
      <c r="H936" s="45"/>
      <c r="I936" s="45"/>
      <c r="J936" s="45"/>
      <c r="K936" s="45"/>
      <c r="L936" s="45"/>
      <c r="M936" s="45"/>
    </row>
    <row r="937" ht="15.75" customHeight="1">
      <c r="A937" s="45"/>
      <c r="B937" s="45"/>
      <c r="C937" s="45"/>
      <c r="D937" s="45"/>
      <c r="E937" s="45"/>
      <c r="F937" s="45"/>
      <c r="G937" s="45"/>
      <c r="H937" s="45"/>
      <c r="I937" s="45"/>
      <c r="J937" s="45"/>
      <c r="K937" s="45"/>
      <c r="L937" s="45"/>
      <c r="M937" s="45"/>
    </row>
    <row r="938" ht="15.75" customHeight="1">
      <c r="A938" s="45"/>
      <c r="B938" s="45"/>
      <c r="C938" s="45"/>
      <c r="D938" s="45"/>
      <c r="E938" s="45"/>
      <c r="F938" s="45"/>
      <c r="G938" s="45"/>
      <c r="H938" s="45"/>
      <c r="I938" s="45"/>
      <c r="J938" s="45"/>
      <c r="K938" s="45"/>
      <c r="L938" s="45"/>
      <c r="M938" s="45"/>
    </row>
    <row r="939" ht="15.75" customHeight="1">
      <c r="A939" s="45"/>
      <c r="B939" s="45"/>
      <c r="C939" s="45"/>
      <c r="D939" s="45"/>
      <c r="E939" s="45"/>
      <c r="F939" s="45"/>
      <c r="G939" s="45"/>
      <c r="H939" s="45"/>
      <c r="I939" s="45"/>
      <c r="J939" s="45"/>
      <c r="K939" s="45"/>
      <c r="L939" s="45"/>
      <c r="M939" s="45"/>
    </row>
    <row r="940" ht="15.75" customHeight="1">
      <c r="A940" s="45"/>
      <c r="B940" s="45"/>
      <c r="C940" s="45"/>
      <c r="D940" s="45"/>
      <c r="E940" s="45"/>
      <c r="F940" s="45"/>
      <c r="G940" s="45"/>
      <c r="H940" s="45"/>
      <c r="I940" s="45"/>
      <c r="J940" s="45"/>
      <c r="K940" s="45"/>
      <c r="L940" s="45"/>
      <c r="M940" s="45"/>
    </row>
    <row r="941" ht="15.75" customHeight="1">
      <c r="A941" s="45"/>
      <c r="B941" s="45"/>
      <c r="C941" s="45"/>
      <c r="D941" s="45"/>
      <c r="E941" s="45"/>
      <c r="F941" s="45"/>
      <c r="G941" s="45"/>
      <c r="H941" s="45"/>
      <c r="I941" s="45"/>
      <c r="J941" s="45"/>
      <c r="K941" s="45"/>
      <c r="L941" s="45"/>
      <c r="M941" s="45"/>
    </row>
    <row r="942" ht="15.75" customHeight="1">
      <c r="A942" s="45"/>
      <c r="B942" s="45"/>
      <c r="C942" s="45"/>
      <c r="D942" s="45"/>
      <c r="E942" s="45"/>
      <c r="F942" s="45"/>
      <c r="G942" s="45"/>
      <c r="H942" s="45"/>
      <c r="I942" s="45"/>
      <c r="J942" s="45"/>
      <c r="K942" s="45"/>
      <c r="L942" s="45"/>
      <c r="M942" s="45"/>
    </row>
    <row r="943" ht="15.75" customHeight="1">
      <c r="A943" s="45"/>
      <c r="B943" s="45"/>
      <c r="C943" s="45"/>
      <c r="D943" s="45"/>
      <c r="E943" s="45"/>
      <c r="F943" s="45"/>
      <c r="G943" s="45"/>
      <c r="H943" s="45"/>
      <c r="I943" s="45"/>
      <c r="J943" s="45"/>
      <c r="K943" s="45"/>
      <c r="L943" s="45"/>
      <c r="M943" s="45"/>
    </row>
    <row r="944" ht="15.75" customHeight="1">
      <c r="A944" s="45"/>
      <c r="B944" s="45"/>
      <c r="C944" s="45"/>
      <c r="D944" s="45"/>
      <c r="E944" s="45"/>
      <c r="F944" s="45"/>
      <c r="G944" s="45"/>
      <c r="H944" s="45"/>
      <c r="I944" s="45"/>
      <c r="J944" s="45"/>
      <c r="K944" s="45"/>
      <c r="L944" s="45"/>
      <c r="M944" s="45"/>
    </row>
    <row r="945" ht="15.75" customHeight="1">
      <c r="A945" s="45"/>
      <c r="B945" s="45"/>
      <c r="C945" s="45"/>
      <c r="D945" s="45"/>
      <c r="E945" s="45"/>
      <c r="F945" s="45"/>
      <c r="G945" s="45"/>
      <c r="H945" s="45"/>
      <c r="I945" s="45"/>
      <c r="J945" s="45"/>
      <c r="K945" s="45"/>
      <c r="L945" s="45"/>
      <c r="M945" s="45"/>
    </row>
    <row r="946" ht="15.75" customHeight="1">
      <c r="A946" s="45"/>
      <c r="B946" s="45"/>
      <c r="C946" s="45"/>
      <c r="D946" s="45"/>
      <c r="E946" s="45"/>
      <c r="F946" s="45"/>
      <c r="G946" s="45"/>
      <c r="H946" s="45"/>
      <c r="I946" s="45"/>
      <c r="J946" s="45"/>
      <c r="K946" s="45"/>
      <c r="L946" s="45"/>
      <c r="M946" s="45"/>
    </row>
    <row r="947" ht="15.75" customHeight="1">
      <c r="A947" s="45"/>
      <c r="B947" s="45"/>
      <c r="C947" s="45"/>
      <c r="D947" s="45"/>
      <c r="E947" s="45"/>
      <c r="F947" s="45"/>
      <c r="G947" s="45"/>
      <c r="H947" s="45"/>
      <c r="I947" s="45"/>
      <c r="J947" s="45"/>
      <c r="K947" s="45"/>
      <c r="L947" s="45"/>
      <c r="M947" s="45"/>
    </row>
    <row r="948" ht="15.75" customHeight="1">
      <c r="A948" s="45"/>
      <c r="B948" s="45"/>
      <c r="C948" s="45"/>
      <c r="D948" s="45"/>
      <c r="E948" s="45"/>
      <c r="F948" s="45"/>
      <c r="G948" s="45"/>
      <c r="H948" s="45"/>
      <c r="I948" s="45"/>
      <c r="J948" s="45"/>
      <c r="K948" s="45"/>
      <c r="L948" s="45"/>
      <c r="M948" s="45"/>
    </row>
    <row r="949" ht="15.75" customHeight="1">
      <c r="A949" s="45"/>
      <c r="B949" s="45"/>
      <c r="C949" s="45"/>
      <c r="D949" s="45"/>
      <c r="E949" s="45"/>
      <c r="F949" s="45"/>
      <c r="G949" s="45"/>
      <c r="H949" s="45"/>
      <c r="I949" s="45"/>
      <c r="J949" s="45"/>
      <c r="K949" s="45"/>
      <c r="L949" s="45"/>
      <c r="M949" s="45"/>
    </row>
    <row r="950" ht="15.75" customHeight="1">
      <c r="A950" s="45"/>
      <c r="B950" s="45"/>
      <c r="C950" s="45"/>
      <c r="D950" s="45"/>
      <c r="E950" s="45"/>
      <c r="F950" s="45"/>
      <c r="G950" s="45"/>
      <c r="H950" s="45"/>
      <c r="I950" s="45"/>
      <c r="J950" s="45"/>
      <c r="K950" s="45"/>
      <c r="L950" s="45"/>
      <c r="M950" s="45"/>
    </row>
    <row r="951" ht="15.75" customHeight="1">
      <c r="A951" s="45"/>
      <c r="B951" s="45"/>
      <c r="C951" s="45"/>
      <c r="D951" s="45"/>
      <c r="E951" s="45"/>
      <c r="F951" s="45"/>
      <c r="G951" s="45"/>
      <c r="H951" s="45"/>
      <c r="I951" s="45"/>
      <c r="J951" s="45"/>
      <c r="K951" s="45"/>
      <c r="L951" s="45"/>
      <c r="M951" s="45"/>
    </row>
    <row r="952" ht="15.75" customHeight="1">
      <c r="A952" s="45"/>
      <c r="B952" s="45"/>
      <c r="C952" s="45"/>
      <c r="D952" s="45"/>
      <c r="E952" s="45"/>
      <c r="F952" s="45"/>
      <c r="G952" s="45"/>
      <c r="H952" s="45"/>
      <c r="I952" s="45"/>
      <c r="J952" s="45"/>
      <c r="K952" s="45"/>
      <c r="L952" s="45"/>
      <c r="M952" s="45"/>
    </row>
    <row r="953" ht="15.75" customHeight="1">
      <c r="A953" s="45"/>
      <c r="B953" s="45"/>
      <c r="C953" s="45"/>
      <c r="D953" s="45"/>
      <c r="E953" s="45"/>
      <c r="F953" s="45"/>
      <c r="G953" s="45"/>
      <c r="H953" s="45"/>
      <c r="I953" s="45"/>
      <c r="J953" s="45"/>
      <c r="K953" s="45"/>
      <c r="L953" s="45"/>
      <c r="M953" s="45"/>
    </row>
    <row r="954" ht="15.75" customHeight="1">
      <c r="A954" s="45"/>
      <c r="B954" s="45"/>
      <c r="C954" s="45"/>
      <c r="D954" s="45"/>
      <c r="E954" s="45"/>
      <c r="F954" s="45"/>
      <c r="G954" s="45"/>
      <c r="H954" s="45"/>
      <c r="I954" s="45"/>
      <c r="J954" s="45"/>
      <c r="K954" s="45"/>
      <c r="L954" s="45"/>
      <c r="M954" s="45"/>
    </row>
    <row r="955" ht="15.75" customHeight="1">
      <c r="A955" s="45"/>
      <c r="B955" s="45"/>
      <c r="C955" s="45"/>
      <c r="D955" s="45"/>
      <c r="E955" s="45"/>
      <c r="F955" s="45"/>
      <c r="G955" s="45"/>
      <c r="H955" s="45"/>
      <c r="I955" s="45"/>
      <c r="J955" s="45"/>
      <c r="K955" s="45"/>
      <c r="L955" s="45"/>
      <c r="M955" s="45"/>
    </row>
    <row r="956" ht="15.75" customHeight="1">
      <c r="A956" s="45"/>
      <c r="B956" s="45"/>
      <c r="C956" s="45"/>
      <c r="D956" s="45"/>
      <c r="E956" s="45"/>
      <c r="F956" s="45"/>
      <c r="G956" s="45"/>
      <c r="H956" s="45"/>
      <c r="I956" s="45"/>
      <c r="J956" s="45"/>
      <c r="K956" s="45"/>
      <c r="L956" s="45"/>
      <c r="M956" s="45"/>
    </row>
    <row r="957" ht="15.75" customHeight="1">
      <c r="A957" s="45"/>
      <c r="B957" s="45"/>
      <c r="C957" s="45"/>
      <c r="D957" s="45"/>
      <c r="E957" s="45"/>
      <c r="F957" s="45"/>
      <c r="G957" s="45"/>
      <c r="H957" s="45"/>
      <c r="I957" s="45"/>
      <c r="J957" s="45"/>
      <c r="K957" s="45"/>
      <c r="L957" s="45"/>
      <c r="M957" s="45"/>
    </row>
    <row r="958" ht="15.75" customHeight="1">
      <c r="A958" s="45"/>
      <c r="B958" s="45"/>
      <c r="C958" s="45"/>
      <c r="D958" s="45"/>
      <c r="E958" s="45"/>
      <c r="F958" s="45"/>
      <c r="G958" s="45"/>
      <c r="H958" s="45"/>
      <c r="I958" s="45"/>
      <c r="J958" s="45"/>
      <c r="K958" s="45"/>
      <c r="L958" s="45"/>
      <c r="M958" s="45"/>
    </row>
    <row r="959" ht="15.75" customHeight="1">
      <c r="A959" s="45"/>
      <c r="B959" s="45"/>
      <c r="C959" s="45"/>
      <c r="D959" s="45"/>
      <c r="E959" s="45"/>
      <c r="F959" s="45"/>
      <c r="G959" s="45"/>
      <c r="H959" s="45"/>
      <c r="I959" s="45"/>
      <c r="J959" s="45"/>
      <c r="K959" s="45"/>
      <c r="L959" s="45"/>
      <c r="M959" s="45"/>
    </row>
    <row r="960" ht="15.75" customHeight="1">
      <c r="A960" s="45"/>
      <c r="B960" s="45"/>
      <c r="C960" s="45"/>
      <c r="D960" s="45"/>
      <c r="E960" s="45"/>
      <c r="F960" s="45"/>
      <c r="G960" s="45"/>
      <c r="H960" s="45"/>
      <c r="I960" s="45"/>
      <c r="J960" s="45"/>
      <c r="K960" s="45"/>
      <c r="L960" s="45"/>
      <c r="M960" s="45"/>
    </row>
    <row r="961" ht="15.75" customHeight="1">
      <c r="A961" s="45"/>
      <c r="B961" s="45"/>
      <c r="C961" s="45"/>
      <c r="D961" s="45"/>
      <c r="E961" s="45"/>
      <c r="F961" s="45"/>
      <c r="G961" s="45"/>
      <c r="H961" s="45"/>
      <c r="I961" s="45"/>
      <c r="J961" s="45"/>
      <c r="K961" s="45"/>
      <c r="L961" s="45"/>
      <c r="M961" s="45"/>
    </row>
    <row r="962" ht="15.75" customHeight="1">
      <c r="A962" s="45"/>
      <c r="B962" s="45"/>
      <c r="C962" s="45"/>
      <c r="D962" s="45"/>
      <c r="E962" s="45"/>
      <c r="F962" s="45"/>
      <c r="G962" s="45"/>
      <c r="H962" s="45"/>
      <c r="I962" s="45"/>
      <c r="J962" s="45"/>
      <c r="K962" s="45"/>
      <c r="L962" s="45"/>
      <c r="M962" s="45"/>
    </row>
    <row r="963" ht="15.75" customHeight="1">
      <c r="A963" s="45"/>
      <c r="B963" s="45"/>
      <c r="C963" s="45"/>
      <c r="D963" s="45"/>
      <c r="E963" s="45"/>
      <c r="F963" s="45"/>
      <c r="G963" s="45"/>
      <c r="H963" s="45"/>
      <c r="I963" s="45"/>
      <c r="J963" s="45"/>
      <c r="K963" s="45"/>
      <c r="L963" s="45"/>
      <c r="M963" s="45"/>
    </row>
    <row r="964" ht="15.75" customHeight="1">
      <c r="A964" s="45"/>
      <c r="B964" s="45"/>
      <c r="C964" s="45"/>
      <c r="D964" s="45"/>
      <c r="E964" s="45"/>
      <c r="F964" s="45"/>
      <c r="G964" s="45"/>
      <c r="H964" s="45"/>
      <c r="I964" s="45"/>
      <c r="J964" s="45"/>
      <c r="K964" s="45"/>
      <c r="L964" s="45"/>
      <c r="M964" s="45"/>
    </row>
    <row r="965" ht="15.75" customHeight="1">
      <c r="A965" s="45"/>
      <c r="B965" s="45"/>
      <c r="C965" s="45"/>
      <c r="D965" s="45"/>
      <c r="E965" s="45"/>
      <c r="F965" s="45"/>
      <c r="G965" s="45"/>
      <c r="H965" s="45"/>
      <c r="I965" s="45"/>
      <c r="J965" s="45"/>
      <c r="K965" s="45"/>
      <c r="L965" s="45"/>
      <c r="M965" s="45"/>
    </row>
    <row r="966" ht="15.75" customHeight="1">
      <c r="A966" s="45"/>
      <c r="B966" s="45"/>
      <c r="C966" s="45"/>
      <c r="D966" s="45"/>
      <c r="E966" s="45"/>
      <c r="F966" s="45"/>
      <c r="G966" s="45"/>
      <c r="H966" s="45"/>
      <c r="I966" s="45"/>
      <c r="J966" s="45"/>
      <c r="K966" s="45"/>
      <c r="L966" s="45"/>
      <c r="M966" s="45"/>
    </row>
    <row r="967" ht="15.75" customHeight="1">
      <c r="A967" s="45"/>
      <c r="B967" s="45"/>
      <c r="C967" s="45"/>
      <c r="D967" s="45"/>
      <c r="E967" s="45"/>
      <c r="F967" s="45"/>
      <c r="G967" s="45"/>
      <c r="H967" s="45"/>
      <c r="I967" s="45"/>
      <c r="J967" s="45"/>
      <c r="K967" s="45"/>
      <c r="L967" s="45"/>
      <c r="M967" s="45"/>
    </row>
    <row r="968" ht="15.75" customHeight="1">
      <c r="A968" s="45"/>
      <c r="B968" s="45"/>
      <c r="C968" s="45"/>
      <c r="D968" s="45"/>
      <c r="E968" s="45"/>
      <c r="F968" s="45"/>
      <c r="G968" s="45"/>
      <c r="H968" s="45"/>
      <c r="I968" s="45"/>
      <c r="J968" s="45"/>
      <c r="K968" s="45"/>
      <c r="L968" s="45"/>
      <c r="M968" s="45"/>
    </row>
    <row r="969" ht="15.75" customHeight="1">
      <c r="A969" s="45"/>
      <c r="B969" s="45"/>
      <c r="C969" s="45"/>
      <c r="D969" s="45"/>
      <c r="E969" s="45"/>
      <c r="F969" s="45"/>
      <c r="G969" s="45"/>
      <c r="H969" s="45"/>
      <c r="I969" s="45"/>
      <c r="J969" s="45"/>
      <c r="K969" s="45"/>
      <c r="L969" s="45"/>
      <c r="M969" s="45"/>
    </row>
    <row r="970" ht="15.75" customHeight="1">
      <c r="A970" s="45"/>
      <c r="B970" s="45"/>
      <c r="C970" s="45"/>
      <c r="D970" s="45"/>
      <c r="E970" s="45"/>
      <c r="F970" s="45"/>
      <c r="G970" s="45"/>
      <c r="H970" s="45"/>
      <c r="I970" s="45"/>
      <c r="J970" s="45"/>
      <c r="K970" s="45"/>
      <c r="L970" s="45"/>
      <c r="M970" s="45"/>
    </row>
    <row r="971" ht="15.75" customHeight="1">
      <c r="A971" s="45"/>
      <c r="B971" s="45"/>
      <c r="C971" s="45"/>
      <c r="D971" s="45"/>
      <c r="E971" s="45"/>
      <c r="F971" s="45"/>
      <c r="G971" s="45"/>
      <c r="H971" s="45"/>
      <c r="I971" s="45"/>
      <c r="J971" s="45"/>
      <c r="K971" s="45"/>
      <c r="L971" s="45"/>
      <c r="M971" s="45"/>
    </row>
    <row r="972" ht="15.75" customHeight="1">
      <c r="A972" s="45"/>
      <c r="B972" s="45"/>
      <c r="C972" s="45"/>
      <c r="D972" s="45"/>
      <c r="E972" s="45"/>
      <c r="F972" s="45"/>
      <c r="G972" s="45"/>
      <c r="H972" s="45"/>
      <c r="I972" s="45"/>
      <c r="J972" s="45"/>
      <c r="K972" s="45"/>
      <c r="L972" s="45"/>
      <c r="M972" s="45"/>
    </row>
    <row r="973" ht="15.75" customHeight="1">
      <c r="A973" s="45"/>
      <c r="B973" s="45"/>
      <c r="C973" s="45"/>
      <c r="D973" s="45"/>
      <c r="E973" s="45"/>
      <c r="F973" s="45"/>
      <c r="G973" s="45"/>
      <c r="H973" s="45"/>
      <c r="I973" s="45"/>
      <c r="J973" s="45"/>
      <c r="K973" s="45"/>
      <c r="L973" s="45"/>
      <c r="M973" s="45"/>
    </row>
    <row r="974" ht="15.75" customHeight="1">
      <c r="A974" s="45"/>
      <c r="B974" s="45"/>
      <c r="C974" s="45"/>
      <c r="D974" s="45"/>
      <c r="E974" s="45"/>
      <c r="F974" s="45"/>
      <c r="G974" s="45"/>
      <c r="H974" s="45"/>
      <c r="I974" s="45"/>
      <c r="J974" s="45"/>
      <c r="K974" s="45"/>
      <c r="L974" s="45"/>
      <c r="M974" s="45"/>
    </row>
    <row r="975" ht="15.75" customHeight="1">
      <c r="A975" s="45"/>
      <c r="B975" s="45"/>
      <c r="C975" s="45"/>
      <c r="D975" s="45"/>
      <c r="E975" s="45"/>
      <c r="F975" s="45"/>
      <c r="G975" s="45"/>
      <c r="H975" s="45"/>
      <c r="I975" s="45"/>
      <c r="J975" s="45"/>
      <c r="K975" s="45"/>
      <c r="L975" s="45"/>
      <c r="M975" s="45"/>
    </row>
    <row r="976" ht="15.75" customHeight="1">
      <c r="A976" s="45"/>
      <c r="B976" s="45"/>
      <c r="C976" s="45"/>
      <c r="D976" s="45"/>
      <c r="E976" s="45"/>
      <c r="F976" s="45"/>
      <c r="G976" s="45"/>
      <c r="H976" s="45"/>
      <c r="I976" s="45"/>
      <c r="J976" s="45"/>
      <c r="K976" s="45"/>
      <c r="L976" s="45"/>
      <c r="M976" s="45"/>
    </row>
    <row r="977" ht="15.75" customHeight="1">
      <c r="A977" s="45"/>
      <c r="B977" s="45"/>
      <c r="C977" s="45"/>
      <c r="D977" s="45"/>
      <c r="E977" s="45"/>
      <c r="F977" s="45"/>
      <c r="G977" s="45"/>
      <c r="H977" s="45"/>
      <c r="I977" s="45"/>
      <c r="J977" s="45"/>
      <c r="K977" s="45"/>
      <c r="L977" s="45"/>
      <c r="M977" s="45"/>
    </row>
    <row r="978" ht="15.75" customHeight="1">
      <c r="A978" s="45"/>
      <c r="B978" s="45"/>
      <c r="C978" s="45"/>
      <c r="D978" s="45"/>
      <c r="E978" s="45"/>
      <c r="F978" s="45"/>
      <c r="G978" s="45"/>
      <c r="H978" s="45"/>
      <c r="I978" s="45"/>
      <c r="J978" s="45"/>
      <c r="K978" s="45"/>
      <c r="L978" s="45"/>
      <c r="M978" s="45"/>
    </row>
    <row r="979" ht="15.75" customHeight="1">
      <c r="A979" s="45"/>
      <c r="B979" s="45"/>
      <c r="C979" s="45"/>
      <c r="D979" s="45"/>
      <c r="E979" s="45"/>
      <c r="F979" s="45"/>
      <c r="G979" s="45"/>
      <c r="H979" s="45"/>
      <c r="I979" s="45"/>
      <c r="J979" s="45"/>
      <c r="K979" s="45"/>
      <c r="L979" s="45"/>
      <c r="M979" s="45"/>
    </row>
    <row r="980" ht="15.75" customHeight="1">
      <c r="A980" s="45"/>
      <c r="B980" s="45"/>
      <c r="C980" s="45"/>
      <c r="D980" s="45"/>
      <c r="E980" s="45"/>
      <c r="F980" s="45"/>
      <c r="G980" s="45"/>
      <c r="H980" s="45"/>
      <c r="I980" s="45"/>
      <c r="J980" s="45"/>
      <c r="K980" s="45"/>
      <c r="L980" s="45"/>
      <c r="M980" s="45"/>
    </row>
    <row r="981" ht="15.75" customHeight="1">
      <c r="A981" s="45"/>
      <c r="B981" s="45"/>
      <c r="C981" s="45"/>
      <c r="D981" s="45"/>
      <c r="E981" s="45"/>
      <c r="F981" s="45"/>
      <c r="G981" s="45"/>
      <c r="H981" s="45"/>
      <c r="I981" s="45"/>
      <c r="J981" s="45"/>
      <c r="K981" s="45"/>
      <c r="L981" s="45"/>
      <c r="M981" s="45"/>
    </row>
    <row r="982" ht="15.75" customHeight="1">
      <c r="A982" s="45"/>
      <c r="B982" s="45"/>
      <c r="C982" s="45"/>
      <c r="D982" s="45"/>
      <c r="E982" s="45"/>
      <c r="F982" s="45"/>
      <c r="G982" s="45"/>
      <c r="H982" s="45"/>
      <c r="I982" s="45"/>
      <c r="J982" s="45"/>
      <c r="K982" s="45"/>
      <c r="L982" s="45"/>
      <c r="M982" s="45"/>
    </row>
    <row r="983" ht="15.75" customHeight="1">
      <c r="A983" s="45"/>
      <c r="B983" s="45"/>
      <c r="C983" s="45"/>
      <c r="D983" s="45"/>
      <c r="E983" s="45"/>
      <c r="F983" s="45"/>
      <c r="G983" s="45"/>
      <c r="H983" s="45"/>
      <c r="I983" s="45"/>
      <c r="J983" s="45"/>
      <c r="K983" s="45"/>
      <c r="L983" s="45"/>
      <c r="M983" s="45"/>
    </row>
    <row r="984" ht="15.75" customHeight="1">
      <c r="A984" s="45"/>
      <c r="B984" s="45"/>
      <c r="C984" s="45"/>
      <c r="D984" s="45"/>
      <c r="E984" s="45"/>
      <c r="F984" s="45"/>
      <c r="G984" s="45"/>
      <c r="H984" s="45"/>
      <c r="I984" s="45"/>
      <c r="J984" s="45"/>
      <c r="K984" s="45"/>
      <c r="L984" s="45"/>
      <c r="M984" s="45"/>
    </row>
    <row r="985" ht="15.75" customHeight="1">
      <c r="A985" s="45"/>
      <c r="B985" s="45"/>
      <c r="C985" s="45"/>
      <c r="D985" s="45"/>
      <c r="E985" s="45"/>
      <c r="F985" s="45"/>
      <c r="G985" s="45"/>
      <c r="H985" s="45"/>
      <c r="I985" s="45"/>
      <c r="J985" s="45"/>
      <c r="K985" s="45"/>
      <c r="L985" s="45"/>
      <c r="M985" s="45"/>
    </row>
    <row r="986" ht="15.75" customHeight="1">
      <c r="A986" s="45"/>
      <c r="B986" s="45"/>
      <c r="C986" s="45"/>
      <c r="D986" s="45"/>
      <c r="E986" s="45"/>
      <c r="F986" s="45"/>
      <c r="G986" s="45"/>
      <c r="H986" s="45"/>
      <c r="I986" s="45"/>
      <c r="J986" s="45"/>
      <c r="K986" s="45"/>
      <c r="L986" s="45"/>
      <c r="M986" s="45"/>
    </row>
    <row r="987" ht="15.75" customHeight="1">
      <c r="A987" s="45"/>
      <c r="B987" s="45"/>
      <c r="C987" s="45"/>
      <c r="D987" s="45"/>
      <c r="E987" s="45"/>
      <c r="F987" s="45"/>
      <c r="G987" s="45"/>
      <c r="H987" s="45"/>
      <c r="I987" s="45"/>
      <c r="J987" s="45"/>
      <c r="K987" s="45"/>
      <c r="L987" s="45"/>
      <c r="M987" s="45"/>
    </row>
    <row r="988" ht="15.75" customHeight="1">
      <c r="A988" s="45"/>
      <c r="B988" s="45"/>
      <c r="C988" s="45"/>
      <c r="D988" s="45"/>
      <c r="E988" s="45"/>
      <c r="F988" s="45"/>
      <c r="G988" s="45"/>
      <c r="H988" s="45"/>
      <c r="I988" s="45"/>
      <c r="J988" s="45"/>
      <c r="K988" s="45"/>
      <c r="L988" s="45"/>
      <c r="M988" s="45"/>
    </row>
    <row r="989" ht="15.75" customHeight="1">
      <c r="A989" s="45"/>
      <c r="B989" s="45"/>
      <c r="C989" s="45"/>
      <c r="D989" s="45"/>
      <c r="E989" s="45"/>
      <c r="F989" s="45"/>
      <c r="G989" s="45"/>
      <c r="H989" s="45"/>
      <c r="I989" s="45"/>
      <c r="J989" s="45"/>
      <c r="K989" s="45"/>
      <c r="L989" s="45"/>
      <c r="M989" s="45"/>
    </row>
    <row r="990" ht="15.75" customHeight="1">
      <c r="A990" s="45"/>
      <c r="B990" s="45"/>
      <c r="C990" s="45"/>
      <c r="D990" s="45"/>
      <c r="E990" s="45"/>
      <c r="F990" s="45"/>
      <c r="G990" s="45"/>
      <c r="H990" s="45"/>
      <c r="I990" s="45"/>
      <c r="J990" s="45"/>
      <c r="K990" s="45"/>
      <c r="L990" s="45"/>
      <c r="M990" s="45"/>
    </row>
    <row r="991" ht="15.75" customHeight="1">
      <c r="A991" s="45"/>
      <c r="B991" s="45"/>
      <c r="C991" s="45"/>
      <c r="D991" s="45"/>
      <c r="E991" s="45"/>
      <c r="F991" s="45"/>
      <c r="G991" s="45"/>
      <c r="H991" s="45"/>
      <c r="I991" s="45"/>
      <c r="J991" s="45"/>
      <c r="K991" s="45"/>
      <c r="L991" s="45"/>
      <c r="M991" s="45"/>
    </row>
    <row r="992" ht="15.75" customHeight="1">
      <c r="A992" s="45"/>
      <c r="B992" s="45"/>
      <c r="C992" s="45"/>
      <c r="D992" s="45"/>
      <c r="E992" s="45"/>
      <c r="F992" s="45"/>
      <c r="G992" s="45"/>
      <c r="H992" s="45"/>
      <c r="I992" s="45"/>
      <c r="J992" s="45"/>
      <c r="K992" s="45"/>
      <c r="L992" s="45"/>
      <c r="M992" s="45"/>
    </row>
    <row r="993" ht="15.75" customHeight="1">
      <c r="A993" s="45"/>
      <c r="B993" s="45"/>
      <c r="C993" s="45"/>
      <c r="D993" s="45"/>
      <c r="E993" s="45"/>
      <c r="F993" s="45"/>
      <c r="G993" s="45"/>
      <c r="H993" s="45"/>
      <c r="I993" s="45"/>
      <c r="J993" s="45"/>
      <c r="K993" s="45"/>
      <c r="L993" s="45"/>
      <c r="M993" s="45"/>
    </row>
    <row r="994" ht="15.75" customHeight="1">
      <c r="A994" s="45"/>
      <c r="B994" s="45"/>
      <c r="C994" s="45"/>
      <c r="D994" s="45"/>
      <c r="E994" s="45"/>
      <c r="F994" s="45"/>
      <c r="G994" s="45"/>
      <c r="H994" s="45"/>
      <c r="I994" s="45"/>
      <c r="J994" s="45"/>
      <c r="K994" s="45"/>
      <c r="L994" s="45"/>
      <c r="M994" s="45"/>
    </row>
    <row r="995" ht="15.75" customHeight="1">
      <c r="A995" s="45"/>
      <c r="B995" s="45"/>
      <c r="C995" s="45"/>
      <c r="D995" s="45"/>
      <c r="E995" s="45"/>
      <c r="F995" s="45"/>
      <c r="G995" s="45"/>
      <c r="H995" s="45"/>
      <c r="I995" s="45"/>
      <c r="J995" s="45"/>
      <c r="K995" s="45"/>
      <c r="L995" s="45"/>
      <c r="M995" s="45"/>
    </row>
    <row r="996" ht="15.75" customHeight="1">
      <c r="A996" s="45"/>
      <c r="B996" s="45"/>
      <c r="C996" s="45"/>
      <c r="D996" s="45"/>
      <c r="E996" s="45"/>
      <c r="F996" s="45"/>
      <c r="G996" s="45"/>
      <c r="H996" s="45"/>
      <c r="I996" s="45"/>
      <c r="J996" s="45"/>
      <c r="K996" s="45"/>
      <c r="L996" s="45"/>
      <c r="M996" s="45"/>
    </row>
    <row r="997" ht="15.75" customHeight="1">
      <c r="A997" s="45"/>
      <c r="B997" s="45"/>
      <c r="C997" s="45"/>
      <c r="D997" s="45"/>
      <c r="E997" s="45"/>
      <c r="F997" s="45"/>
      <c r="G997" s="45"/>
      <c r="H997" s="45"/>
      <c r="I997" s="45"/>
      <c r="J997" s="45"/>
      <c r="K997" s="45"/>
      <c r="L997" s="45"/>
      <c r="M997" s="45"/>
    </row>
    <row r="998" ht="15.75" customHeight="1">
      <c r="A998" s="45"/>
      <c r="B998" s="45"/>
      <c r="C998" s="45"/>
      <c r="D998" s="45"/>
      <c r="E998" s="45"/>
      <c r="F998" s="45"/>
      <c r="G998" s="45"/>
      <c r="H998" s="45"/>
      <c r="I998" s="45"/>
      <c r="J998" s="45"/>
      <c r="K998" s="45"/>
      <c r="L998" s="45"/>
      <c r="M998" s="45"/>
    </row>
    <row r="999" ht="15.75" customHeight="1">
      <c r="A999" s="45"/>
      <c r="B999" s="45"/>
      <c r="C999" s="45"/>
      <c r="D999" s="45"/>
      <c r="E999" s="45"/>
      <c r="F999" s="45"/>
      <c r="G999" s="45"/>
      <c r="H999" s="45"/>
      <c r="I999" s="45"/>
      <c r="J999" s="45"/>
      <c r="K999" s="45"/>
      <c r="L999" s="45"/>
      <c r="M999" s="45"/>
    </row>
    <row r="1000" ht="15.75" customHeight="1">
      <c r="A1000" s="45"/>
      <c r="B1000" s="45"/>
      <c r="C1000" s="45"/>
      <c r="D1000" s="45"/>
      <c r="E1000" s="45"/>
      <c r="F1000" s="45"/>
      <c r="G1000" s="45"/>
      <c r="H1000" s="45"/>
      <c r="I1000" s="45"/>
      <c r="J1000" s="45"/>
      <c r="K1000" s="45"/>
      <c r="L1000" s="45"/>
      <c r="M1000" s="45"/>
    </row>
  </sheetData>
  <mergeCells count="20">
    <mergeCell ref="A1:M1"/>
    <mergeCell ref="A2:M2"/>
    <mergeCell ref="A4:F4"/>
    <mergeCell ref="H4:M4"/>
    <mergeCell ref="A9:F9"/>
    <mergeCell ref="H9:M9"/>
    <mergeCell ref="A14:M14"/>
    <mergeCell ref="A77:M77"/>
    <mergeCell ref="A78:M78"/>
    <mergeCell ref="A79:M79"/>
    <mergeCell ref="A80:M80"/>
    <mergeCell ref="A82:M82"/>
    <mergeCell ref="A84:M84"/>
    <mergeCell ref="A43:M43"/>
    <mergeCell ref="A44:M44"/>
    <mergeCell ref="A46:M46"/>
    <mergeCell ref="A73:M73"/>
    <mergeCell ref="A74:M74"/>
    <mergeCell ref="A75:M75"/>
    <mergeCell ref="A76:M76"/>
  </mergeCells>
  <printOptions/>
  <pageMargins bottom="0.3" footer="0.0" header="0.0" left="0.4" right="0.4" top="0.3"/>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653D"/>
    <pageSetUpPr/>
  </sheetPr>
  <sheetViews>
    <sheetView workbookViewId="0"/>
  </sheetViews>
  <sheetFormatPr customHeight="1" defaultColWidth="14.43" defaultRowHeight="15.0"/>
  <cols>
    <col customWidth="1" min="1" max="1" width="3.0"/>
    <col customWidth="1" min="2" max="2" width="30.0"/>
    <col customWidth="1" min="3" max="3" width="18.0"/>
    <col customWidth="1" min="4" max="4" width="5.0"/>
    <col customWidth="1" min="5" max="5" width="30.0"/>
    <col customWidth="1" min="6" max="6" width="18.0"/>
    <col customWidth="1" min="7" max="7" width="5.0"/>
    <col customWidth="1" min="8" max="8" width="30.0"/>
    <col customWidth="1" min="9" max="9" width="18.0"/>
    <col customWidth="1" min="10" max="26" width="8.71"/>
  </cols>
  <sheetData>
    <row r="1" ht="30.0" customHeight="1">
      <c r="A1" s="238" t="s">
        <v>201</v>
      </c>
      <c r="B1" s="52"/>
      <c r="C1" s="52"/>
      <c r="D1" s="52"/>
      <c r="E1" s="52"/>
      <c r="F1" s="52"/>
      <c r="G1" s="52"/>
      <c r="H1" s="52"/>
      <c r="I1" s="30"/>
      <c r="J1" s="166"/>
      <c r="K1" s="166"/>
      <c r="L1" s="166"/>
      <c r="M1" s="166"/>
      <c r="N1" s="166"/>
      <c r="O1" s="166"/>
      <c r="P1" s="166"/>
      <c r="Q1" s="166"/>
      <c r="R1" s="166"/>
      <c r="S1" s="166"/>
      <c r="T1" s="166"/>
      <c r="U1" s="166"/>
      <c r="V1" s="166"/>
      <c r="W1" s="166"/>
      <c r="X1" s="166"/>
      <c r="Y1" s="166"/>
      <c r="Z1" s="166"/>
    </row>
    <row r="2" ht="15.0" customHeight="1">
      <c r="A2" s="239" t="s">
        <v>202</v>
      </c>
      <c r="B2" s="52"/>
      <c r="C2" s="52"/>
      <c r="D2" s="52"/>
      <c r="E2" s="52"/>
      <c r="F2" s="52"/>
      <c r="G2" s="52"/>
      <c r="H2" s="52"/>
      <c r="I2" s="30"/>
      <c r="J2" s="166"/>
      <c r="K2" s="166"/>
      <c r="L2" s="166"/>
      <c r="M2" s="166"/>
      <c r="N2" s="166"/>
      <c r="O2" s="166"/>
      <c r="P2" s="166"/>
      <c r="Q2" s="166"/>
      <c r="R2" s="166"/>
      <c r="S2" s="166"/>
      <c r="T2" s="166"/>
      <c r="U2" s="166"/>
      <c r="V2" s="166"/>
      <c r="W2" s="166"/>
      <c r="X2" s="166"/>
      <c r="Y2" s="166"/>
      <c r="Z2" s="166"/>
    </row>
    <row r="3" ht="15.0" customHeight="1">
      <c r="A3" s="166"/>
      <c r="B3" s="166"/>
      <c r="C3" s="166"/>
      <c r="D3" s="166"/>
      <c r="E3" s="166"/>
      <c r="F3" s="166"/>
      <c r="G3" s="166"/>
      <c r="H3" s="166"/>
      <c r="I3" s="166"/>
      <c r="J3" s="166"/>
      <c r="K3" s="166"/>
      <c r="L3" s="166"/>
      <c r="M3" s="166"/>
      <c r="N3" s="166"/>
      <c r="O3" s="166"/>
      <c r="P3" s="166"/>
      <c r="Q3" s="166"/>
      <c r="R3" s="166"/>
      <c r="S3" s="166"/>
      <c r="T3" s="166"/>
      <c r="U3" s="166"/>
      <c r="V3" s="166"/>
      <c r="W3" s="166"/>
      <c r="X3" s="166"/>
      <c r="Y3" s="166"/>
      <c r="Z3" s="166"/>
    </row>
    <row r="4" ht="15.0" customHeight="1">
      <c r="A4" s="166"/>
      <c r="B4" s="240" t="s">
        <v>203</v>
      </c>
      <c r="C4" s="30"/>
      <c r="D4" s="241"/>
      <c r="E4" s="242" t="s">
        <v>204</v>
      </c>
      <c r="F4" s="30"/>
      <c r="G4" s="241"/>
      <c r="H4" s="238" t="s">
        <v>205</v>
      </c>
      <c r="I4" s="30"/>
      <c r="J4" s="166"/>
      <c r="K4" s="166"/>
      <c r="L4" s="166"/>
      <c r="M4" s="166"/>
      <c r="N4" s="166"/>
      <c r="O4" s="166"/>
      <c r="P4" s="166"/>
      <c r="Q4" s="166"/>
      <c r="R4" s="166"/>
      <c r="S4" s="166"/>
      <c r="T4" s="166"/>
      <c r="U4" s="166"/>
      <c r="V4" s="166"/>
      <c r="W4" s="166"/>
      <c r="X4" s="166"/>
      <c r="Y4" s="166"/>
      <c r="Z4" s="166"/>
    </row>
    <row r="5" ht="15.0" customHeight="1">
      <c r="A5" s="166"/>
      <c r="B5" s="243" t="s">
        <v>206</v>
      </c>
      <c r="C5" s="244"/>
      <c r="D5" s="241"/>
      <c r="E5" s="243" t="s">
        <v>206</v>
      </c>
      <c r="F5" s="244"/>
      <c r="G5" s="241"/>
      <c r="H5" s="243" t="s">
        <v>206</v>
      </c>
      <c r="I5" s="244"/>
      <c r="J5" s="166"/>
      <c r="K5" s="166"/>
      <c r="L5" s="166"/>
      <c r="M5" s="166"/>
      <c r="N5" s="166"/>
      <c r="O5" s="166"/>
      <c r="P5" s="166"/>
      <c r="Q5" s="166"/>
      <c r="R5" s="166"/>
      <c r="S5" s="166"/>
      <c r="T5" s="166"/>
      <c r="U5" s="166"/>
      <c r="V5" s="166"/>
      <c r="W5" s="166"/>
      <c r="X5" s="166"/>
      <c r="Y5" s="166"/>
      <c r="Z5" s="166"/>
    </row>
    <row r="6" ht="15.0" customHeight="1">
      <c r="A6" s="166"/>
      <c r="B6" s="160" t="s">
        <v>207</v>
      </c>
      <c r="C6" s="245">
        <f>'Hypothèses'!$B$4</f>
        <v>260000</v>
      </c>
      <c r="D6" s="241"/>
      <c r="E6" s="160" t="s">
        <v>207</v>
      </c>
      <c r="F6" s="245">
        <f>'Hypothèses'!$B$4</f>
        <v>260000</v>
      </c>
      <c r="G6" s="241"/>
      <c r="H6" s="160" t="s">
        <v>207</v>
      </c>
      <c r="I6" s="245">
        <f>'Hypothèses'!$B$4</f>
        <v>260000</v>
      </c>
      <c r="J6" s="166"/>
      <c r="K6" s="166"/>
      <c r="L6" s="166"/>
      <c r="M6" s="166"/>
      <c r="N6" s="166"/>
      <c r="O6" s="166"/>
      <c r="P6" s="166"/>
      <c r="Q6" s="166"/>
      <c r="R6" s="166"/>
      <c r="S6" s="166"/>
      <c r="T6" s="166"/>
      <c r="U6" s="166"/>
      <c r="V6" s="166"/>
      <c r="W6" s="166"/>
      <c r="X6" s="166"/>
      <c r="Y6" s="166"/>
      <c r="Z6" s="166"/>
    </row>
    <row r="7" ht="15.0" customHeight="1">
      <c r="A7" s="166"/>
      <c r="B7" s="160" t="s">
        <v>208</v>
      </c>
      <c r="C7" s="245">
        <f>'Hypothèses'!$B$4*1.015^9</f>
        <v>297281.3936</v>
      </c>
      <c r="D7" s="241"/>
      <c r="E7" s="160" t="s">
        <v>208</v>
      </c>
      <c r="F7" s="245">
        <f>'Hypothèses'!$B$4*1.015^15</f>
        <v>325060.3373</v>
      </c>
      <c r="G7" s="241"/>
      <c r="H7" s="160" t="s">
        <v>208</v>
      </c>
      <c r="I7" s="245">
        <f>'Hypothèses'!$B$4*1.015^25</f>
        <v>377245.7921</v>
      </c>
      <c r="J7" s="166"/>
      <c r="K7" s="166"/>
      <c r="L7" s="166"/>
      <c r="M7" s="166"/>
      <c r="N7" s="166"/>
      <c r="O7" s="166"/>
      <c r="P7" s="166"/>
      <c r="Q7" s="166"/>
      <c r="R7" s="166"/>
      <c r="S7" s="166"/>
      <c r="T7" s="166"/>
      <c r="U7" s="166"/>
      <c r="V7" s="166"/>
      <c r="W7" s="166"/>
      <c r="X7" s="166"/>
      <c r="Y7" s="166"/>
      <c r="Z7" s="166"/>
    </row>
    <row r="8" ht="15.0" customHeight="1">
      <c r="A8" s="166"/>
      <c r="B8" s="160"/>
      <c r="C8" s="245"/>
      <c r="D8" s="241"/>
      <c r="E8" s="160"/>
      <c r="F8" s="245"/>
      <c r="G8" s="241"/>
      <c r="H8" s="160"/>
      <c r="I8" s="245"/>
      <c r="J8" s="166"/>
      <c r="K8" s="166"/>
      <c r="L8" s="166"/>
      <c r="M8" s="166"/>
      <c r="N8" s="166"/>
      <c r="O8" s="166"/>
      <c r="P8" s="166"/>
      <c r="Q8" s="166"/>
      <c r="R8" s="166"/>
      <c r="S8" s="166"/>
      <c r="T8" s="166"/>
      <c r="U8" s="166"/>
      <c r="V8" s="166"/>
      <c r="W8" s="166"/>
      <c r="X8" s="166"/>
      <c r="Y8" s="166"/>
      <c r="Z8" s="166"/>
    </row>
    <row r="9" ht="15.0" customHeight="1">
      <c r="A9" s="166"/>
      <c r="B9" s="246" t="s">
        <v>209</v>
      </c>
      <c r="C9" s="247"/>
      <c r="D9" s="241"/>
      <c r="E9" s="246" t="s">
        <v>209</v>
      </c>
      <c r="F9" s="247"/>
      <c r="G9" s="241"/>
      <c r="H9" s="246" t="s">
        <v>209</v>
      </c>
      <c r="I9" s="247"/>
      <c r="J9" s="166"/>
      <c r="K9" s="166"/>
      <c r="L9" s="166"/>
      <c r="M9" s="166"/>
      <c r="N9" s="166"/>
      <c r="O9" s="166"/>
      <c r="P9" s="166"/>
      <c r="Q9" s="166"/>
      <c r="R9" s="166"/>
      <c r="S9" s="166"/>
      <c r="T9" s="166"/>
      <c r="U9" s="166"/>
      <c r="V9" s="166"/>
      <c r="W9" s="166"/>
      <c r="X9" s="166"/>
      <c r="Y9" s="166"/>
      <c r="Z9" s="166"/>
    </row>
    <row r="10" ht="15.0" customHeight="1">
      <c r="A10" s="166"/>
      <c r="B10" s="160" t="s">
        <v>210</v>
      </c>
      <c r="C10" s="245">
        <f>'Hypothèses'!$B$4</f>
        <v>260000</v>
      </c>
      <c r="D10" s="241"/>
      <c r="E10" s="160" t="s">
        <v>210</v>
      </c>
      <c r="F10" s="245">
        <f>'Hypothèses'!$B$4</f>
        <v>260000</v>
      </c>
      <c r="G10" s="241"/>
      <c r="H10" s="160" t="s">
        <v>210</v>
      </c>
      <c r="I10" s="245">
        <f>'Hypothèses'!$B$4</f>
        <v>260000</v>
      </c>
      <c r="J10" s="166"/>
      <c r="K10" s="166"/>
      <c r="L10" s="166"/>
      <c r="M10" s="166"/>
      <c r="N10" s="166"/>
      <c r="O10" s="166"/>
      <c r="P10" s="166"/>
      <c r="Q10" s="166"/>
      <c r="R10" s="166"/>
      <c r="S10" s="166"/>
      <c r="T10" s="166"/>
      <c r="U10" s="166"/>
      <c r="V10" s="166"/>
      <c r="W10" s="166"/>
      <c r="X10" s="166"/>
      <c r="Y10" s="166"/>
      <c r="Z10" s="166"/>
    </row>
    <row r="11" ht="15.0" customHeight="1">
      <c r="A11" s="166"/>
      <c r="B11" s="160" t="s">
        <v>211</v>
      </c>
      <c r="C11" s="245">
        <f>MAX('Hypothèses'!$B$4*'Hypothèses'!$B$5,'Hypothèses'!$B$4*'Hypothèses'!$B$43)</f>
        <v>19500</v>
      </c>
      <c r="D11" s="241"/>
      <c r="E11" s="160" t="s">
        <v>211</v>
      </c>
      <c r="F11" s="245">
        <f>MAX('Hypothèses'!$B$4*'Hypothèses'!$B$5,'Hypothèses'!$B$4*'Hypothèses'!$B$43)</f>
        <v>19500</v>
      </c>
      <c r="G11" s="241"/>
      <c r="H11" s="160" t="s">
        <v>211</v>
      </c>
      <c r="I11" s="245">
        <f>MAX('Hypothèses'!$B$4*'Hypothèses'!$B$5,'Hypothèses'!$B$4*'Hypothèses'!$B$43)</f>
        <v>19500</v>
      </c>
      <c r="J11" s="166"/>
      <c r="K11" s="166"/>
      <c r="L11" s="166"/>
      <c r="M11" s="166"/>
      <c r="N11" s="166"/>
      <c r="O11" s="166"/>
      <c r="P11" s="166"/>
      <c r="Q11" s="166"/>
      <c r="R11" s="166"/>
      <c r="S11" s="166"/>
      <c r="T11" s="166"/>
      <c r="U11" s="166"/>
      <c r="V11" s="166"/>
      <c r="W11" s="166"/>
      <c r="X11" s="166"/>
      <c r="Y11" s="166"/>
      <c r="Z11" s="166"/>
    </row>
    <row r="12" ht="15.0" customHeight="1">
      <c r="A12" s="166"/>
      <c r="B12" s="160" t="s">
        <v>212</v>
      </c>
      <c r="C12" s="245">
        <f>'Hypothèses'!$B$4*'Hypothèses'!$B$44</f>
        <v>39000</v>
      </c>
      <c r="D12" s="241"/>
      <c r="E12" s="160" t="s">
        <v>212</v>
      </c>
      <c r="F12" s="245">
        <f>'Hypothèses'!$B$4*'Hypothèses'!$B$44</f>
        <v>39000</v>
      </c>
      <c r="G12" s="241"/>
      <c r="H12" s="160" t="s">
        <v>212</v>
      </c>
      <c r="I12" s="245">
        <f>'Hypothèses'!$B$4*'Hypothèses'!$B$44</f>
        <v>39000</v>
      </c>
      <c r="J12" s="166"/>
      <c r="K12" s="166"/>
      <c r="L12" s="166"/>
      <c r="M12" s="166"/>
      <c r="N12" s="166"/>
      <c r="O12" s="166"/>
      <c r="P12" s="166"/>
      <c r="Q12" s="166"/>
      <c r="R12" s="166"/>
      <c r="S12" s="166"/>
      <c r="T12" s="166"/>
      <c r="U12" s="166"/>
      <c r="V12" s="166"/>
      <c r="W12" s="166"/>
      <c r="X12" s="166"/>
      <c r="Y12" s="166"/>
      <c r="Z12" s="166"/>
    </row>
    <row r="13" ht="15.0" customHeight="1">
      <c r="A13" s="166"/>
      <c r="B13" s="160" t="s">
        <v>213</v>
      </c>
      <c r="C13" s="245">
        <f>Moteur!AL12</f>
        <v>65520</v>
      </c>
      <c r="D13" s="241"/>
      <c r="E13" s="160" t="s">
        <v>213</v>
      </c>
      <c r="F13" s="245">
        <f>Moteur!AL18</f>
        <v>109200</v>
      </c>
      <c r="G13" s="241"/>
      <c r="H13" s="160" t="s">
        <v>213</v>
      </c>
      <c r="I13" s="245">
        <f>Moteur!AL28</f>
        <v>182000</v>
      </c>
      <c r="J13" s="166"/>
      <c r="K13" s="166"/>
      <c r="L13" s="166"/>
      <c r="M13" s="166"/>
      <c r="N13" s="166"/>
      <c r="O13" s="166"/>
      <c r="P13" s="166"/>
      <c r="Q13" s="166"/>
      <c r="R13" s="166"/>
      <c r="S13" s="166"/>
      <c r="T13" s="166"/>
      <c r="U13" s="166"/>
      <c r="V13" s="166"/>
      <c r="W13" s="166"/>
      <c r="X13" s="166"/>
      <c r="Y13" s="166"/>
      <c r="Z13" s="166"/>
    </row>
    <row r="14" ht="15.0" customHeight="1">
      <c r="A14" s="166"/>
      <c r="B14" s="248" t="s">
        <v>214</v>
      </c>
      <c r="C14" s="249">
        <f>'Hypothèses'!$B$4+MAX('Hypothèses'!$B$4*'Hypothèses'!$B$5,'Hypothèses'!$B$4*'Hypothèses'!$B$43)+'Hypothèses'!$B$4*'Hypothèses'!$B$44-Moteur!AL12</f>
        <v>252980</v>
      </c>
      <c r="D14" s="241"/>
      <c r="E14" s="248" t="s">
        <v>214</v>
      </c>
      <c r="F14" s="249">
        <f>'Hypothèses'!$B$4+MAX('Hypothèses'!$B$4*'Hypothèses'!$B$5,'Hypothèses'!$B$4*'Hypothèses'!$B$43)+'Hypothèses'!$B$4*'Hypothèses'!$B$44-Moteur!AL18</f>
        <v>209300</v>
      </c>
      <c r="G14" s="241"/>
      <c r="H14" s="248" t="s">
        <v>214</v>
      </c>
      <c r="I14" s="249">
        <f>'Hypothèses'!$B$4+MAX('Hypothèses'!$B$4*'Hypothèses'!$B$5,'Hypothèses'!$B$4*'Hypothèses'!$B$43)+'Hypothèses'!$B$4*'Hypothèses'!$B$44-Moteur!AL28</f>
        <v>136500</v>
      </c>
      <c r="J14" s="166"/>
      <c r="K14" s="166"/>
      <c r="L14" s="166"/>
      <c r="M14" s="166"/>
      <c r="N14" s="166"/>
      <c r="O14" s="166"/>
      <c r="P14" s="166"/>
      <c r="Q14" s="166"/>
      <c r="R14" s="166"/>
      <c r="S14" s="166"/>
      <c r="T14" s="166"/>
      <c r="U14" s="166"/>
      <c r="V14" s="166"/>
      <c r="W14" s="166"/>
      <c r="X14" s="166"/>
      <c r="Y14" s="166"/>
      <c r="Z14" s="166"/>
    </row>
    <row r="15" ht="15.0" customHeight="1">
      <c r="A15" s="166"/>
      <c r="B15" s="160"/>
      <c r="C15" s="245"/>
      <c r="D15" s="241"/>
      <c r="E15" s="160"/>
      <c r="F15" s="245"/>
      <c r="G15" s="241"/>
      <c r="H15" s="160"/>
      <c r="I15" s="245"/>
      <c r="J15" s="166"/>
      <c r="K15" s="166"/>
      <c r="L15" s="166"/>
      <c r="M15" s="166"/>
      <c r="N15" s="166"/>
      <c r="O15" s="166"/>
      <c r="P15" s="166"/>
      <c r="Q15" s="166"/>
      <c r="R15" s="166"/>
      <c r="S15" s="166"/>
      <c r="T15" s="166"/>
      <c r="U15" s="166"/>
      <c r="V15" s="166"/>
      <c r="W15" s="166"/>
      <c r="X15" s="166"/>
      <c r="Y15" s="166"/>
      <c r="Z15" s="166"/>
    </row>
    <row r="16" ht="23.25" customHeight="1">
      <c r="A16" s="166"/>
      <c r="B16" s="250" t="s">
        <v>215</v>
      </c>
      <c r="C16" s="251">
        <f>Moteur!J98</f>
        <v>7020</v>
      </c>
      <c r="D16" s="241"/>
      <c r="E16" s="250" t="s">
        <v>215</v>
      </c>
      <c r="F16" s="251">
        <f>Moteur!P98</f>
        <v>50700</v>
      </c>
      <c r="G16" s="241"/>
      <c r="H16" s="250" t="s">
        <v>215</v>
      </c>
      <c r="I16" s="251">
        <f>Moteur!Z98</f>
        <v>123500</v>
      </c>
      <c r="J16" s="166"/>
      <c r="K16" s="166"/>
      <c r="L16" s="166"/>
      <c r="M16" s="166"/>
      <c r="N16" s="166"/>
      <c r="O16" s="166"/>
      <c r="P16" s="166"/>
      <c r="Q16" s="166"/>
      <c r="R16" s="166"/>
      <c r="S16" s="166"/>
      <c r="T16" s="166"/>
      <c r="U16" s="166"/>
      <c r="V16" s="166"/>
      <c r="W16" s="166"/>
      <c r="X16" s="166"/>
      <c r="Y16" s="166"/>
      <c r="Z16" s="166"/>
    </row>
    <row r="17" ht="23.25" customHeight="1">
      <c r="A17" s="166"/>
      <c r="B17" s="250" t="s">
        <v>216</v>
      </c>
      <c r="C17" s="251">
        <f>Moteur!J103</f>
        <v>44301.3936</v>
      </c>
      <c r="D17" s="241"/>
      <c r="E17" s="250" t="s">
        <v>216</v>
      </c>
      <c r="F17" s="251">
        <f>Moteur!P103</f>
        <v>115760.3373</v>
      </c>
      <c r="G17" s="241"/>
      <c r="H17" s="250" t="s">
        <v>216</v>
      </c>
      <c r="I17" s="251">
        <f>Moteur!Z103</f>
        <v>240745.7921</v>
      </c>
      <c r="J17" s="166"/>
      <c r="K17" s="166"/>
      <c r="L17" s="166"/>
      <c r="M17" s="166"/>
      <c r="N17" s="166"/>
      <c r="O17" s="166"/>
      <c r="P17" s="166"/>
      <c r="Q17" s="166"/>
      <c r="R17" s="166"/>
      <c r="S17" s="166"/>
      <c r="T17" s="166"/>
      <c r="U17" s="166"/>
      <c r="V17" s="166"/>
      <c r="W17" s="166"/>
      <c r="X17" s="166"/>
      <c r="Y17" s="166"/>
      <c r="Z17" s="166"/>
    </row>
    <row r="18" ht="15.0" customHeight="1">
      <c r="A18" s="166"/>
      <c r="B18" s="160"/>
      <c r="C18" s="245"/>
      <c r="D18" s="241"/>
      <c r="E18" s="160"/>
      <c r="F18" s="245"/>
      <c r="G18" s="241"/>
      <c r="H18" s="160"/>
      <c r="I18" s="245"/>
      <c r="J18" s="166"/>
      <c r="K18" s="166"/>
      <c r="L18" s="166"/>
      <c r="M18" s="166"/>
      <c r="N18" s="166"/>
      <c r="O18" s="166"/>
      <c r="P18" s="166"/>
      <c r="Q18" s="166"/>
      <c r="R18" s="166"/>
      <c r="S18" s="166"/>
      <c r="T18" s="166"/>
      <c r="U18" s="166"/>
      <c r="V18" s="166"/>
      <c r="W18" s="166"/>
      <c r="X18" s="166"/>
      <c r="Y18" s="166"/>
      <c r="Z18" s="166"/>
    </row>
    <row r="19" ht="23.25" customHeight="1">
      <c r="A19" s="166"/>
      <c r="B19" s="246" t="s">
        <v>217</v>
      </c>
      <c r="C19" s="247"/>
      <c r="D19" s="241"/>
      <c r="E19" s="246" t="s">
        <v>217</v>
      </c>
      <c r="F19" s="247"/>
      <c r="G19" s="241"/>
      <c r="H19" s="246" t="s">
        <v>217</v>
      </c>
      <c r="I19" s="247"/>
      <c r="J19" s="166"/>
      <c r="K19" s="166"/>
      <c r="L19" s="166"/>
      <c r="M19" s="166"/>
      <c r="N19" s="166"/>
      <c r="O19" s="166"/>
      <c r="P19" s="166"/>
      <c r="Q19" s="166"/>
      <c r="R19" s="166"/>
      <c r="S19" s="166"/>
      <c r="T19" s="166"/>
      <c r="U19" s="166"/>
      <c r="V19" s="166"/>
      <c r="W19" s="166"/>
      <c r="X19" s="166"/>
      <c r="Y19" s="166"/>
      <c r="Z19" s="166"/>
    </row>
    <row r="20" ht="15.0" customHeight="1">
      <c r="A20" s="166"/>
      <c r="B20" s="160" t="s">
        <v>218</v>
      </c>
      <c r="C20" s="252">
        <f>Moteur!AO12</f>
        <v>0.24</v>
      </c>
      <c r="D20" s="241"/>
      <c r="E20" s="160" t="s">
        <v>218</v>
      </c>
      <c r="F20" s="252">
        <f>Moteur!AO18</f>
        <v>0.6</v>
      </c>
      <c r="G20" s="241"/>
      <c r="H20" s="160" t="s">
        <v>218</v>
      </c>
      <c r="I20" s="252">
        <f>Moteur!AO28</f>
        <v>1</v>
      </c>
      <c r="J20" s="166"/>
      <c r="K20" s="166"/>
      <c r="L20" s="166"/>
      <c r="M20" s="166"/>
      <c r="N20" s="166"/>
      <c r="O20" s="166"/>
      <c r="P20" s="166"/>
      <c r="Q20" s="166"/>
      <c r="R20" s="166"/>
      <c r="S20" s="166"/>
      <c r="T20" s="166"/>
      <c r="U20" s="166"/>
      <c r="V20" s="166"/>
      <c r="W20" s="166"/>
      <c r="X20" s="166"/>
      <c r="Y20" s="166"/>
      <c r="Z20" s="166"/>
    </row>
    <row r="21" ht="15.0" customHeight="1">
      <c r="A21" s="166"/>
      <c r="B21" s="160" t="s">
        <v>219</v>
      </c>
      <c r="C21" s="245">
        <f>Moteur!J99</f>
        <v>5335.2</v>
      </c>
      <c r="D21" s="241"/>
      <c r="E21" s="160" t="s">
        <v>219</v>
      </c>
      <c r="F21" s="245">
        <f>Moteur!P99</f>
        <v>20280</v>
      </c>
      <c r="G21" s="241"/>
      <c r="H21" s="160" t="s">
        <v>219</v>
      </c>
      <c r="I21" s="245">
        <f>Moteur!Z99</f>
        <v>0</v>
      </c>
      <c r="J21" s="166"/>
      <c r="K21" s="166"/>
      <c r="L21" s="166"/>
      <c r="M21" s="166"/>
      <c r="N21" s="166"/>
      <c r="O21" s="166"/>
      <c r="P21" s="166"/>
      <c r="Q21" s="166"/>
      <c r="R21" s="166"/>
      <c r="S21" s="166"/>
      <c r="T21" s="166"/>
      <c r="U21" s="166"/>
      <c r="V21" s="166"/>
      <c r="W21" s="166"/>
      <c r="X21" s="166"/>
      <c r="Y21" s="166"/>
      <c r="Z21" s="166"/>
    </row>
    <row r="22" ht="15.0" customHeight="1">
      <c r="A22" s="166"/>
      <c r="B22" s="160" t="s">
        <v>220</v>
      </c>
      <c r="C22" s="245">
        <f>Moteur!J104</f>
        <v>33669.05914</v>
      </c>
      <c r="D22" s="241"/>
      <c r="E22" s="160" t="s">
        <v>220</v>
      </c>
      <c r="F22" s="245">
        <f>Moteur!P104</f>
        <v>46304.13493</v>
      </c>
      <c r="G22" s="241"/>
      <c r="H22" s="160" t="s">
        <v>220</v>
      </c>
      <c r="I22" s="245">
        <f>Moteur!Z104</f>
        <v>0</v>
      </c>
      <c r="J22" s="166"/>
      <c r="K22" s="166"/>
      <c r="L22" s="166"/>
      <c r="M22" s="166"/>
      <c r="N22" s="166"/>
      <c r="O22" s="166"/>
      <c r="P22" s="166"/>
      <c r="Q22" s="166"/>
      <c r="R22" s="166"/>
      <c r="S22" s="166"/>
      <c r="T22" s="166"/>
      <c r="U22" s="166"/>
      <c r="V22" s="166"/>
      <c r="W22" s="166"/>
      <c r="X22" s="166"/>
      <c r="Y22" s="166"/>
      <c r="Z22" s="166"/>
    </row>
    <row r="23" ht="15.0" customHeight="1">
      <c r="A23" s="166"/>
      <c r="B23" s="160" t="s">
        <v>221</v>
      </c>
      <c r="C23" s="252">
        <f>Moteur!AQ12</f>
        <v>0.066</v>
      </c>
      <c r="D23" s="241"/>
      <c r="E23" s="160" t="s">
        <v>221</v>
      </c>
      <c r="F23" s="252">
        <f>Moteur!AQ18</f>
        <v>0.165</v>
      </c>
      <c r="G23" s="241"/>
      <c r="H23" s="160" t="s">
        <v>221</v>
      </c>
      <c r="I23" s="252">
        <f>Moteur!AQ28</f>
        <v>0.55</v>
      </c>
      <c r="J23" s="166"/>
      <c r="K23" s="166"/>
      <c r="L23" s="166"/>
      <c r="M23" s="166"/>
      <c r="N23" s="166"/>
      <c r="O23" s="166"/>
      <c r="P23" s="166"/>
      <c r="Q23" s="166"/>
      <c r="R23" s="166"/>
      <c r="S23" s="166"/>
      <c r="T23" s="166"/>
      <c r="U23" s="166"/>
      <c r="V23" s="166"/>
      <c r="W23" s="166"/>
      <c r="X23" s="166"/>
      <c r="Y23" s="166"/>
      <c r="Z23" s="166"/>
    </row>
    <row r="24" ht="15.0" customHeight="1">
      <c r="A24" s="166"/>
      <c r="B24" s="160" t="s">
        <v>222</v>
      </c>
      <c r="C24" s="245">
        <f>Moteur!J100</f>
        <v>6556.68</v>
      </c>
      <c r="D24" s="241"/>
      <c r="E24" s="160" t="s">
        <v>222</v>
      </c>
      <c r="F24" s="245">
        <f>Moteur!P100</f>
        <v>42334.5</v>
      </c>
      <c r="G24" s="241"/>
      <c r="H24" s="160" t="s">
        <v>222</v>
      </c>
      <c r="I24" s="245">
        <f>Moteur!Z100</f>
        <v>55575</v>
      </c>
      <c r="J24" s="166"/>
      <c r="K24" s="166"/>
      <c r="L24" s="166"/>
      <c r="M24" s="166"/>
      <c r="N24" s="166"/>
      <c r="O24" s="166"/>
      <c r="P24" s="166"/>
      <c r="Q24" s="166"/>
      <c r="R24" s="166"/>
      <c r="S24" s="166"/>
      <c r="T24" s="166"/>
      <c r="U24" s="166"/>
      <c r="V24" s="166"/>
      <c r="W24" s="166"/>
      <c r="X24" s="166"/>
      <c r="Y24" s="166"/>
      <c r="Z24" s="166"/>
    </row>
    <row r="25" ht="15.0" customHeight="1">
      <c r="A25" s="166"/>
      <c r="B25" s="160" t="s">
        <v>223</v>
      </c>
      <c r="C25" s="245">
        <f>Moteur!J105</f>
        <v>41377.50162</v>
      </c>
      <c r="D25" s="241"/>
      <c r="E25" s="160" t="s">
        <v>223</v>
      </c>
      <c r="F25" s="245">
        <f>Moteur!P105</f>
        <v>96659.88167</v>
      </c>
      <c r="G25" s="241"/>
      <c r="H25" s="160" t="s">
        <v>223</v>
      </c>
      <c r="I25" s="245">
        <f>Moteur!Z105</f>
        <v>108335.6064</v>
      </c>
      <c r="J25" s="166"/>
      <c r="K25" s="166"/>
      <c r="L25" s="166"/>
      <c r="M25" s="166"/>
      <c r="N25" s="166"/>
      <c r="O25" s="166"/>
      <c r="P25" s="166"/>
      <c r="Q25" s="166"/>
      <c r="R25" s="166"/>
      <c r="S25" s="166"/>
      <c r="T25" s="166"/>
      <c r="U25" s="166"/>
      <c r="V25" s="166"/>
      <c r="W25" s="166"/>
      <c r="X25" s="166"/>
      <c r="Y25" s="166"/>
      <c r="Z25" s="166"/>
    </row>
    <row r="26" ht="15.0" customHeight="1">
      <c r="A26" s="166"/>
      <c r="B26" s="160"/>
      <c r="C26" s="245"/>
      <c r="D26" s="241"/>
      <c r="E26" s="160"/>
      <c r="F26" s="245"/>
      <c r="G26" s="241"/>
      <c r="H26" s="160"/>
      <c r="I26" s="245"/>
      <c r="J26" s="166"/>
      <c r="K26" s="166"/>
      <c r="L26" s="166"/>
      <c r="M26" s="166"/>
      <c r="N26" s="166"/>
      <c r="O26" s="166"/>
      <c r="P26" s="166"/>
      <c r="Q26" s="166"/>
      <c r="R26" s="166"/>
      <c r="S26" s="166"/>
      <c r="T26" s="166"/>
      <c r="U26" s="166"/>
      <c r="V26" s="166"/>
      <c r="W26" s="166"/>
      <c r="X26" s="166"/>
      <c r="Y26" s="166"/>
      <c r="Z26" s="166"/>
    </row>
    <row r="27" ht="15.0" customHeight="1">
      <c r="A27" s="166"/>
      <c r="B27" s="253" t="s">
        <v>224</v>
      </c>
      <c r="C27" s="254"/>
      <c r="D27" s="241"/>
      <c r="E27" s="253" t="s">
        <v>224</v>
      </c>
      <c r="F27" s="254"/>
      <c r="G27" s="241"/>
      <c r="H27" s="253" t="s">
        <v>224</v>
      </c>
      <c r="I27" s="254"/>
      <c r="J27" s="166"/>
      <c r="K27" s="166"/>
      <c r="L27" s="166"/>
      <c r="M27" s="166"/>
      <c r="N27" s="166"/>
      <c r="O27" s="166"/>
      <c r="P27" s="166"/>
      <c r="Q27" s="166"/>
      <c r="R27" s="166"/>
      <c r="S27" s="166"/>
      <c r="T27" s="166"/>
      <c r="U27" s="166"/>
      <c r="V27" s="166"/>
      <c r="W27" s="166"/>
      <c r="X27" s="166"/>
      <c r="Y27" s="166"/>
      <c r="Z27" s="166"/>
    </row>
    <row r="28" ht="15.0" customHeight="1">
      <c r="A28" s="166"/>
      <c r="B28" s="160" t="s">
        <v>225</v>
      </c>
      <c r="C28" s="245">
        <f>Moteur!J99*'Hypothèses'!$B$45</f>
        <v>1013.688</v>
      </c>
      <c r="D28" s="241"/>
      <c r="E28" s="160" t="s">
        <v>225</v>
      </c>
      <c r="F28" s="245">
        <f>Moteur!P99*'Hypothèses'!$B$45</f>
        <v>3853.2</v>
      </c>
      <c r="G28" s="241"/>
      <c r="H28" s="160" t="s">
        <v>225</v>
      </c>
      <c r="I28" s="245">
        <f>Moteur!Z99*'Hypothèses'!$B$45</f>
        <v>0</v>
      </c>
      <c r="J28" s="166"/>
      <c r="K28" s="166"/>
      <c r="L28" s="166"/>
      <c r="M28" s="166"/>
      <c r="N28" s="166"/>
      <c r="O28" s="166"/>
      <c r="P28" s="166"/>
      <c r="Q28" s="166"/>
      <c r="R28" s="166"/>
      <c r="S28" s="166"/>
      <c r="T28" s="166"/>
      <c r="U28" s="166"/>
      <c r="V28" s="166"/>
      <c r="W28" s="166"/>
      <c r="X28" s="166"/>
      <c r="Y28" s="166"/>
      <c r="Z28" s="166"/>
    </row>
    <row r="29" ht="15.0" customHeight="1">
      <c r="A29" s="166"/>
      <c r="B29" s="160" t="s">
        <v>226</v>
      </c>
      <c r="C29" s="245">
        <f>Moteur!J104*'Hypothèses'!$B$45</f>
        <v>6397.121236</v>
      </c>
      <c r="D29" s="241"/>
      <c r="E29" s="160" t="s">
        <v>226</v>
      </c>
      <c r="F29" s="245">
        <f>Moteur!P104*'Hypothèses'!$B$45</f>
        <v>8797.785637</v>
      </c>
      <c r="G29" s="241"/>
      <c r="H29" s="160" t="s">
        <v>226</v>
      </c>
      <c r="I29" s="245">
        <f>Moteur!Z104*'Hypothèses'!$B$45</f>
        <v>0</v>
      </c>
      <c r="J29" s="166"/>
      <c r="K29" s="166"/>
      <c r="L29" s="166"/>
      <c r="M29" s="166"/>
      <c r="N29" s="166"/>
      <c r="O29" s="166"/>
      <c r="P29" s="166"/>
      <c r="Q29" s="166"/>
      <c r="R29" s="166"/>
      <c r="S29" s="166"/>
      <c r="T29" s="166"/>
      <c r="U29" s="166"/>
      <c r="V29" s="166"/>
      <c r="W29" s="166"/>
      <c r="X29" s="166"/>
      <c r="Y29" s="166"/>
      <c r="Z29" s="166"/>
    </row>
    <row r="30" ht="15.0" customHeight="1">
      <c r="A30" s="166"/>
      <c r="B30" s="160" t="s">
        <v>227</v>
      </c>
      <c r="C30" s="245">
        <f>Moteur!J100*'Hypothèses'!$B$46</f>
        <v>1127.74896</v>
      </c>
      <c r="D30" s="241"/>
      <c r="E30" s="160" t="s">
        <v>227</v>
      </c>
      <c r="F30" s="245">
        <f>Moteur!P100*'Hypothèses'!$B$46</f>
        <v>7281.534</v>
      </c>
      <c r="G30" s="241"/>
      <c r="H30" s="160" t="s">
        <v>227</v>
      </c>
      <c r="I30" s="245">
        <f>Moteur!Z100*'Hypothèses'!$B$46</f>
        <v>9558.9</v>
      </c>
      <c r="J30" s="166"/>
      <c r="K30" s="166"/>
      <c r="L30" s="166"/>
      <c r="M30" s="166"/>
      <c r="N30" s="166"/>
      <c r="O30" s="166"/>
      <c r="P30" s="166"/>
      <c r="Q30" s="166"/>
      <c r="R30" s="166"/>
      <c r="S30" s="166"/>
      <c r="T30" s="166"/>
      <c r="U30" s="166"/>
      <c r="V30" s="166"/>
      <c r="W30" s="166"/>
      <c r="X30" s="166"/>
      <c r="Y30" s="166"/>
      <c r="Z30" s="166"/>
    </row>
    <row r="31" ht="15.0" customHeight="1">
      <c r="A31" s="166"/>
      <c r="B31" s="160" t="s">
        <v>228</v>
      </c>
      <c r="C31" s="245">
        <f>Moteur!J105*'Hypothèses'!$B$46</f>
        <v>7116.930279</v>
      </c>
      <c r="D31" s="241"/>
      <c r="E31" s="160" t="s">
        <v>228</v>
      </c>
      <c r="F31" s="245">
        <f>Moteur!P105*'Hypothèses'!$B$46</f>
        <v>16625.49965</v>
      </c>
      <c r="G31" s="241"/>
      <c r="H31" s="160" t="s">
        <v>228</v>
      </c>
      <c r="I31" s="245">
        <f>Moteur!Z105*'Hypothèses'!$B$46</f>
        <v>18633.72431</v>
      </c>
      <c r="J31" s="166"/>
      <c r="K31" s="166"/>
      <c r="L31" s="166"/>
      <c r="M31" s="166"/>
      <c r="N31" s="166"/>
      <c r="O31" s="166"/>
      <c r="P31" s="166"/>
      <c r="Q31" s="166"/>
      <c r="R31" s="166"/>
      <c r="S31" s="166"/>
      <c r="T31" s="166"/>
      <c r="U31" s="166"/>
      <c r="V31" s="166"/>
      <c r="W31" s="166"/>
      <c r="X31" s="166"/>
      <c r="Y31" s="166"/>
      <c r="Z31" s="166"/>
    </row>
    <row r="32" ht="15.0" customHeight="1">
      <c r="A32" s="166"/>
      <c r="B32" s="160" t="s">
        <v>229</v>
      </c>
      <c r="C32" s="245">
        <f>IF(Moteur!J99&lt;=50000,0,IF(Moteur!J99&lt;=60000,Moteur!J99*0.02-(60000-Moteur!J99)/20,IF(Moteur!J99&lt;=100000,Moteur!J99*0.02,IF(Moteur!J99&lt;=110000,Moteur!J99*0.03-(110000-Moteur!J99)/10,IF(Moteur!J99&lt;=150000,Moteur!J99*0.03,IF(Moteur!J99&lt;=160000,Moteur!J99*0.04-(160000-Moteur!J99)*3/20,IF(Moteur!J99&lt;=200000,Moteur!J99*0.04,IF(Moteur!J99&lt;=210000,Moteur!J99*0.05-(210000-Moteur!J99)/5,IF(Moteur!J99&lt;=250000,Moteur!J99*0.05,IF(Moteur!J99&lt;=260000,Moteur!J99*0.06-(260000-Moteur!J99)/4,Moteur!J99*0.06))))))))))</f>
        <v>0</v>
      </c>
      <c r="D32" s="241"/>
      <c r="E32" s="160" t="s">
        <v>229</v>
      </c>
      <c r="F32" s="245">
        <f>IF(Moteur!P99&lt;=50000,0,IF(Moteur!P99&lt;=60000,Moteur!P99*0.02-(60000-Moteur!P99)/20,IF(Moteur!P99&lt;=100000,Moteur!P99*0.02,IF(Moteur!P99&lt;=110000,Moteur!P99*0.03-(110000-Moteur!P99)/10,IF(Moteur!P99&lt;=150000,Moteur!P99*0.03,IF(Moteur!P99&lt;=160000,Moteur!P99*0.04-(160000-Moteur!P99)*3/20,IF(Moteur!P99&lt;=200000,Moteur!P99*0.04,IF(Moteur!P99&lt;=210000,Moteur!P99*0.05-(210000-Moteur!P99)/5,IF(Moteur!P99&lt;=250000,Moteur!P99*0.05,IF(Moteur!P99&lt;=260000,Moteur!P99*0.06-(260000-Moteur!P99)/4,Moteur!P99*0.06))))))))))</f>
        <v>0</v>
      </c>
      <c r="G32" s="241"/>
      <c r="H32" s="160" t="s">
        <v>229</v>
      </c>
      <c r="I32" s="245">
        <f>IF(Moteur!Z99&lt;=50000,0,IF(Moteur!Z99&lt;=60000,Moteur!Z99*0.02-(60000-Moteur!Z99)/20,IF(Moteur!Z99&lt;=100000,Moteur!Z99*0.02,IF(Moteur!Z99&lt;=110000,Moteur!Z99*0.03-(110000-Moteur!Z99)/10,IF(Moteur!Z99&lt;=150000,Moteur!Z99*0.03,IF(Moteur!Z99&lt;=160000,Moteur!Z99*0.04-(160000-Moteur!Z99)*3/20,IF(Moteur!Z99&lt;=200000,Moteur!Z99*0.04,IF(Moteur!Z99&lt;=210000,Moteur!Z99*0.05-(210000-Moteur!Z99)/5,IF(Moteur!Z99&lt;=250000,Moteur!Z99*0.05,IF(Moteur!Z99&lt;=260000,Moteur!Z99*0.06-(260000-Moteur!Z99)/4,Moteur!Z99*0.06))))))))))</f>
        <v>0</v>
      </c>
      <c r="J32" s="166"/>
      <c r="K32" s="166"/>
      <c r="L32" s="166"/>
      <c r="M32" s="166"/>
      <c r="N32" s="166"/>
      <c r="O32" s="166"/>
      <c r="P32" s="166"/>
      <c r="Q32" s="166"/>
      <c r="R32" s="166"/>
      <c r="S32" s="166"/>
      <c r="T32" s="166"/>
      <c r="U32" s="166"/>
      <c r="V32" s="166"/>
      <c r="W32" s="166"/>
      <c r="X32" s="166"/>
      <c r="Y32" s="166"/>
      <c r="Z32" s="166"/>
    </row>
    <row r="33" ht="15.0" customHeight="1">
      <c r="A33" s="166"/>
      <c r="B33" s="160" t="s">
        <v>230</v>
      </c>
      <c r="C33" s="245">
        <f>IF(Moteur!J104&lt;=50000,0,IF(Moteur!J104&lt;=60000,Moteur!J104*0.02-(60000-Moteur!J104)/20,IF(Moteur!J104&lt;=100000,Moteur!J104*0.02,IF(Moteur!J104&lt;=110000,Moteur!J104*0.03-(110000-Moteur!J104)/10,IF(Moteur!J104&lt;=150000,Moteur!J104*0.03,IF(Moteur!J104&lt;=160000,Moteur!J104*0.04-(160000-Moteur!J104)*3/20,IF(Moteur!J104&lt;=200000,Moteur!J104*0.04,IF(Moteur!J104&lt;=210000,Moteur!J104*0.05-(210000-Moteur!J104)/5,IF(Moteur!J104&lt;=250000,Moteur!J104*0.05,IF(Moteur!J104&lt;=260000,Moteur!J104*0.06-(260000-Moteur!J104)/4,Moteur!J104*0.06))))))))))</f>
        <v>0</v>
      </c>
      <c r="D33" s="241"/>
      <c r="E33" s="160" t="s">
        <v>230</v>
      </c>
      <c r="F33" s="245">
        <f>IF(Moteur!P104&lt;=50000,0,IF(Moteur!P104&lt;=60000,Moteur!P104*0.02-(60000-Moteur!P104)/20,IF(Moteur!P104&lt;=100000,Moteur!P104*0.02,IF(Moteur!P104&lt;=110000,Moteur!P104*0.03-(110000-Moteur!P104)/10,IF(Moteur!P104&lt;=150000,Moteur!P104*0.03,IF(Moteur!P104&lt;=160000,Moteur!P104*0.04-(160000-Moteur!P104)*3/20,IF(Moteur!P104&lt;=200000,Moteur!P104*0.04,IF(Moteur!P104&lt;=210000,Moteur!P104*0.05-(210000-Moteur!P104)/5,IF(Moteur!P104&lt;=250000,Moteur!P104*0.05,IF(Moteur!P104&lt;=260000,Moteur!P104*0.06-(260000-Moteur!P104)/4,Moteur!P104*0.06))))))))))</f>
        <v>0</v>
      </c>
      <c r="G33" s="241"/>
      <c r="H33" s="160" t="s">
        <v>230</v>
      </c>
      <c r="I33" s="245">
        <f>IF(Moteur!Z104&lt;=50000,0,IF(Moteur!Z104&lt;=60000,Moteur!Z104*0.02-(60000-Moteur!Z104)/20,IF(Moteur!Z104&lt;=100000,Moteur!Z104*0.02,IF(Moteur!Z104&lt;=110000,Moteur!Z104*0.03-(110000-Moteur!Z104)/10,IF(Moteur!Z104&lt;=150000,Moteur!Z104*0.03,IF(Moteur!Z104&lt;=160000,Moteur!Z104*0.04-(160000-Moteur!Z104)*3/20,IF(Moteur!Z104&lt;=200000,Moteur!Z104*0.04,IF(Moteur!Z104&lt;=210000,Moteur!Z104*0.05-(210000-Moteur!Z104)/5,IF(Moteur!Z104&lt;=250000,Moteur!Z104*0.05,IF(Moteur!Z104&lt;=260000,Moteur!Z104*0.06-(260000-Moteur!Z104)/4,Moteur!Z104*0.06))))))))))</f>
        <v>0</v>
      </c>
      <c r="J33" s="166"/>
      <c r="K33" s="166"/>
      <c r="L33" s="166"/>
      <c r="M33" s="166"/>
      <c r="N33" s="166"/>
      <c r="O33" s="166"/>
      <c r="P33" s="166"/>
      <c r="Q33" s="166"/>
      <c r="R33" s="166"/>
      <c r="S33" s="166"/>
      <c r="T33" s="166"/>
      <c r="U33" s="166"/>
      <c r="V33" s="166"/>
      <c r="W33" s="166"/>
      <c r="X33" s="166"/>
      <c r="Y33" s="166"/>
      <c r="Z33" s="166"/>
    </row>
    <row r="34" ht="15.0" customHeight="1">
      <c r="A34" s="166"/>
      <c r="B34" s="243" t="s">
        <v>231</v>
      </c>
      <c r="C34" s="244">
        <f>Moteur!J101</f>
        <v>2141.43696</v>
      </c>
      <c r="D34" s="241"/>
      <c r="E34" s="243" t="s">
        <v>231</v>
      </c>
      <c r="F34" s="244">
        <f>Moteur!P101</f>
        <v>11134.734</v>
      </c>
      <c r="G34" s="241"/>
      <c r="H34" s="243" t="s">
        <v>231</v>
      </c>
      <c r="I34" s="244">
        <f>Moteur!Z101</f>
        <v>9558.9</v>
      </c>
      <c r="J34" s="166"/>
      <c r="K34" s="166"/>
      <c r="L34" s="166"/>
      <c r="M34" s="166"/>
      <c r="N34" s="166"/>
      <c r="O34" s="166"/>
      <c r="P34" s="166"/>
      <c r="Q34" s="166"/>
      <c r="R34" s="166"/>
      <c r="S34" s="166"/>
      <c r="T34" s="166"/>
      <c r="U34" s="166"/>
      <c r="V34" s="166"/>
      <c r="W34" s="166"/>
      <c r="X34" s="166"/>
      <c r="Y34" s="166"/>
      <c r="Z34" s="166"/>
    </row>
    <row r="35" ht="15.0" customHeight="1">
      <c r="A35" s="166"/>
      <c r="B35" s="243" t="s">
        <v>232</v>
      </c>
      <c r="C35" s="244">
        <f>Moteur!J106</f>
        <v>13514.05152</v>
      </c>
      <c r="D35" s="241"/>
      <c r="E35" s="243" t="s">
        <v>232</v>
      </c>
      <c r="F35" s="244">
        <f>Moteur!P106</f>
        <v>25423.28528</v>
      </c>
      <c r="G35" s="241"/>
      <c r="H35" s="243" t="s">
        <v>232</v>
      </c>
      <c r="I35" s="244">
        <f>Moteur!Z106</f>
        <v>18633.72431</v>
      </c>
      <c r="J35" s="166"/>
      <c r="K35" s="166"/>
      <c r="L35" s="166"/>
      <c r="M35" s="166"/>
      <c r="N35" s="166"/>
      <c r="O35" s="166"/>
      <c r="P35" s="166"/>
      <c r="Q35" s="166"/>
      <c r="R35" s="166"/>
      <c r="S35" s="166"/>
      <c r="T35" s="166"/>
      <c r="U35" s="166"/>
      <c r="V35" s="166"/>
      <c r="W35" s="166"/>
      <c r="X35" s="166"/>
      <c r="Y35" s="166"/>
      <c r="Z35" s="166"/>
    </row>
    <row r="36" ht="15.0" customHeight="1">
      <c r="A36" s="166"/>
      <c r="B36" s="160"/>
      <c r="C36" s="245"/>
      <c r="D36" s="241"/>
      <c r="E36" s="160"/>
      <c r="F36" s="245"/>
      <c r="G36" s="241"/>
      <c r="H36" s="160"/>
      <c r="I36" s="245"/>
      <c r="J36" s="166"/>
      <c r="K36" s="166"/>
      <c r="L36" s="166"/>
      <c r="M36" s="166"/>
      <c r="N36" s="166"/>
      <c r="O36" s="166"/>
      <c r="P36" s="166"/>
      <c r="Q36" s="166"/>
      <c r="R36" s="166"/>
      <c r="S36" s="166"/>
      <c r="T36" s="166"/>
      <c r="U36" s="166"/>
      <c r="V36" s="166"/>
      <c r="W36" s="166"/>
      <c r="X36" s="166"/>
      <c r="Y36" s="166"/>
      <c r="Z36" s="166"/>
    </row>
    <row r="37" ht="15.0" customHeight="1">
      <c r="A37" s="166"/>
      <c r="B37" s="246" t="s">
        <v>233</v>
      </c>
      <c r="C37" s="247"/>
      <c r="D37" s="241"/>
      <c r="E37" s="246" t="s">
        <v>233</v>
      </c>
      <c r="F37" s="247"/>
      <c r="G37" s="241"/>
      <c r="H37" s="246" t="s">
        <v>233</v>
      </c>
      <c r="I37" s="247"/>
      <c r="J37" s="166"/>
      <c r="K37" s="166"/>
      <c r="L37" s="166"/>
      <c r="M37" s="166"/>
      <c r="N37" s="166"/>
      <c r="O37" s="166"/>
      <c r="P37" s="166"/>
      <c r="Q37" s="166"/>
      <c r="R37" s="166"/>
      <c r="S37" s="166"/>
      <c r="T37" s="166"/>
      <c r="U37" s="166"/>
      <c r="V37" s="166"/>
      <c r="W37" s="166"/>
      <c r="X37" s="166"/>
      <c r="Y37" s="166"/>
      <c r="Z37" s="166"/>
    </row>
    <row r="38" ht="15.0" customHeight="1">
      <c r="A38" s="166"/>
      <c r="B38" s="160" t="s">
        <v>234</v>
      </c>
      <c r="C38" s="245">
        <f>Moteur!G12</f>
        <v>184572.4088</v>
      </c>
      <c r="D38" s="241"/>
      <c r="E38" s="160" t="s">
        <v>234</v>
      </c>
      <c r="F38" s="245">
        <f>Moteur!G18</f>
        <v>126452.3921</v>
      </c>
      <c r="G38" s="241"/>
      <c r="H38" s="160" t="s">
        <v>234</v>
      </c>
      <c r="I38" s="245">
        <f>Moteur!G28</f>
        <v>0.000000002852175385</v>
      </c>
      <c r="J38" s="166"/>
      <c r="K38" s="166"/>
      <c r="L38" s="166"/>
      <c r="M38" s="166"/>
      <c r="N38" s="166"/>
      <c r="O38" s="166"/>
      <c r="P38" s="166"/>
      <c r="Q38" s="166"/>
      <c r="R38" s="166"/>
      <c r="S38" s="166"/>
      <c r="T38" s="166"/>
      <c r="U38" s="166"/>
      <c r="V38" s="166"/>
      <c r="W38" s="166"/>
      <c r="X38" s="166"/>
      <c r="Y38" s="166"/>
      <c r="Z38" s="166"/>
    </row>
    <row r="39" ht="15.0" customHeight="1">
      <c r="A39" s="166"/>
      <c r="B39" s="160"/>
      <c r="C39" s="245"/>
      <c r="D39" s="241"/>
      <c r="E39" s="160"/>
      <c r="F39" s="245"/>
      <c r="G39" s="241"/>
      <c r="H39" s="160"/>
      <c r="I39" s="245"/>
      <c r="J39" s="166"/>
      <c r="K39" s="166"/>
      <c r="L39" s="166"/>
      <c r="M39" s="166"/>
      <c r="N39" s="166"/>
      <c r="O39" s="166"/>
      <c r="P39" s="166"/>
      <c r="Q39" s="166"/>
      <c r="R39" s="166"/>
      <c r="S39" s="166"/>
      <c r="T39" s="166"/>
      <c r="U39" s="166"/>
      <c r="V39" s="166"/>
      <c r="W39" s="166"/>
      <c r="X39" s="166"/>
      <c r="Y39" s="166"/>
      <c r="Z39" s="166"/>
    </row>
    <row r="40" ht="15.0" customHeight="1">
      <c r="A40" s="166"/>
      <c r="B40" s="255" t="s">
        <v>235</v>
      </c>
      <c r="C40" s="256"/>
      <c r="D40" s="241"/>
      <c r="E40" s="255" t="s">
        <v>235</v>
      </c>
      <c r="F40" s="256"/>
      <c r="G40" s="241"/>
      <c r="H40" s="255" t="s">
        <v>235</v>
      </c>
      <c r="I40" s="256"/>
      <c r="J40" s="166"/>
      <c r="K40" s="166"/>
      <c r="L40" s="166"/>
      <c r="M40" s="166"/>
      <c r="N40" s="166"/>
      <c r="O40" s="166"/>
      <c r="P40" s="166"/>
      <c r="Q40" s="166"/>
      <c r="R40" s="166"/>
      <c r="S40" s="166"/>
      <c r="T40" s="166"/>
      <c r="U40" s="166"/>
      <c r="V40" s="166"/>
      <c r="W40" s="166"/>
      <c r="X40" s="166"/>
      <c r="Y40" s="166"/>
      <c r="Z40" s="166"/>
    </row>
    <row r="41" ht="23.25" customHeight="1">
      <c r="A41" s="166"/>
      <c r="B41" s="257" t="s">
        <v>236</v>
      </c>
      <c r="C41" s="258">
        <f>Moteur!J102</f>
        <v>73286.1542</v>
      </c>
      <c r="D41" s="241"/>
      <c r="E41" s="257" t="s">
        <v>236</v>
      </c>
      <c r="F41" s="258">
        <f>Moteur!P102</f>
        <v>122412.8739</v>
      </c>
      <c r="G41" s="241"/>
      <c r="H41" s="257" t="s">
        <v>236</v>
      </c>
      <c r="I41" s="258">
        <f>Moteur!Z102</f>
        <v>250441.1</v>
      </c>
      <c r="J41" s="166"/>
      <c r="K41" s="166"/>
      <c r="L41" s="166"/>
      <c r="M41" s="166"/>
      <c r="N41" s="166"/>
      <c r="O41" s="166"/>
      <c r="P41" s="166"/>
      <c r="Q41" s="166"/>
      <c r="R41" s="166"/>
      <c r="S41" s="166"/>
      <c r="T41" s="166"/>
      <c r="U41" s="166"/>
      <c r="V41" s="166"/>
      <c r="W41" s="166"/>
      <c r="X41" s="166"/>
      <c r="Y41" s="166"/>
      <c r="Z41" s="166"/>
    </row>
    <row r="42" ht="23.25" customHeight="1">
      <c r="A42" s="166"/>
      <c r="B42" s="259" t="s">
        <v>237</v>
      </c>
      <c r="C42" s="260">
        <f>Moteur!J107</f>
        <v>99194.93325</v>
      </c>
      <c r="D42" s="241"/>
      <c r="E42" s="259" t="s">
        <v>237</v>
      </c>
      <c r="F42" s="260">
        <f>Moteur!P107</f>
        <v>173184.6599</v>
      </c>
      <c r="G42" s="241"/>
      <c r="H42" s="259" t="s">
        <v>237</v>
      </c>
      <c r="I42" s="260">
        <f>Moteur!Z107</f>
        <v>358612.0678</v>
      </c>
      <c r="J42" s="166"/>
      <c r="K42" s="166"/>
      <c r="L42" s="166"/>
      <c r="M42" s="166"/>
      <c r="N42" s="166"/>
      <c r="O42" s="166"/>
      <c r="P42" s="166"/>
      <c r="Q42" s="166"/>
      <c r="R42" s="166"/>
      <c r="S42" s="166"/>
      <c r="T42" s="166"/>
      <c r="U42" s="166"/>
      <c r="V42" s="166"/>
      <c r="W42" s="166"/>
      <c r="X42" s="166"/>
      <c r="Y42" s="166"/>
      <c r="Z42" s="166"/>
    </row>
    <row r="43" ht="15.75" customHeight="1">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row>
    <row r="44" ht="15.75" customHeight="1">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row>
    <row r="45" ht="15.0" customHeight="1">
      <c r="A45" s="147" t="s">
        <v>238</v>
      </c>
      <c r="B45" s="52"/>
      <c r="C45" s="52"/>
      <c r="D45" s="52"/>
      <c r="E45" s="52"/>
      <c r="F45" s="52"/>
      <c r="G45" s="52"/>
      <c r="H45" s="52"/>
      <c r="I45" s="30"/>
      <c r="J45" s="166"/>
      <c r="K45" s="166"/>
      <c r="L45" s="166"/>
      <c r="M45" s="166"/>
      <c r="N45" s="166"/>
      <c r="O45" s="166"/>
      <c r="P45" s="166"/>
      <c r="Q45" s="166"/>
      <c r="R45" s="166"/>
      <c r="S45" s="166"/>
      <c r="T45" s="166"/>
      <c r="U45" s="166"/>
      <c r="V45" s="166"/>
      <c r="W45" s="166"/>
      <c r="X45" s="166"/>
      <c r="Y45" s="166"/>
      <c r="Z45" s="166"/>
    </row>
    <row r="46" ht="15.0" customHeight="1">
      <c r="A46" s="160" t="s">
        <v>239</v>
      </c>
      <c r="J46" s="166"/>
      <c r="K46" s="166"/>
      <c r="L46" s="166"/>
      <c r="M46" s="166"/>
      <c r="N46" s="166"/>
      <c r="O46" s="166"/>
      <c r="P46" s="166"/>
      <c r="Q46" s="166"/>
      <c r="R46" s="166"/>
      <c r="S46" s="166"/>
      <c r="T46" s="166"/>
      <c r="U46" s="166"/>
      <c r="V46" s="166"/>
      <c r="W46" s="166"/>
      <c r="X46" s="166"/>
      <c r="Y46" s="166"/>
      <c r="Z46" s="166"/>
    </row>
    <row r="47" ht="15.0" customHeight="1">
      <c r="A47" s="160" t="s">
        <v>240</v>
      </c>
      <c r="J47" s="166"/>
      <c r="K47" s="166"/>
      <c r="L47" s="166"/>
      <c r="M47" s="166"/>
      <c r="N47" s="166"/>
      <c r="O47" s="166"/>
      <c r="P47" s="166"/>
      <c r="Q47" s="166"/>
      <c r="R47" s="166"/>
      <c r="S47" s="166"/>
      <c r="T47" s="166"/>
      <c r="U47" s="166"/>
      <c r="V47" s="166"/>
      <c r="W47" s="166"/>
      <c r="X47" s="166"/>
      <c r="Y47" s="166"/>
      <c r="Z47" s="166"/>
    </row>
    <row r="48" ht="15.0" customHeight="1">
      <c r="A48" s="160" t="s">
        <v>241</v>
      </c>
      <c r="J48" s="166"/>
      <c r="K48" s="166"/>
      <c r="L48" s="166"/>
      <c r="M48" s="166"/>
      <c r="N48" s="166"/>
      <c r="O48" s="166"/>
      <c r="P48" s="166"/>
      <c r="Q48" s="166"/>
      <c r="R48" s="166"/>
      <c r="S48" s="166"/>
      <c r="T48" s="166"/>
      <c r="U48" s="166"/>
      <c r="V48" s="166"/>
      <c r="W48" s="166"/>
      <c r="X48" s="166"/>
      <c r="Y48" s="166"/>
      <c r="Z48" s="166"/>
    </row>
    <row r="49" ht="15.0" customHeight="1">
      <c r="A49" s="160" t="s">
        <v>242</v>
      </c>
      <c r="J49" s="166"/>
      <c r="K49" s="166"/>
      <c r="L49" s="166"/>
      <c r="M49" s="166"/>
      <c r="N49" s="166"/>
      <c r="O49" s="166"/>
      <c r="P49" s="166"/>
      <c r="Q49" s="166"/>
      <c r="R49" s="166"/>
      <c r="S49" s="166"/>
      <c r="T49" s="166"/>
      <c r="U49" s="166"/>
      <c r="V49" s="166"/>
      <c r="W49" s="166"/>
      <c r="X49" s="166"/>
      <c r="Y49" s="166"/>
      <c r="Z49" s="166"/>
    </row>
    <row r="50" ht="15.0" customHeight="1">
      <c r="A50" s="160" t="s">
        <v>243</v>
      </c>
      <c r="J50" s="166"/>
      <c r="K50" s="166"/>
      <c r="L50" s="166"/>
      <c r="M50" s="166"/>
      <c r="N50" s="166"/>
      <c r="O50" s="166"/>
      <c r="P50" s="166"/>
      <c r="Q50" s="166"/>
      <c r="R50" s="166"/>
      <c r="S50" s="166"/>
      <c r="T50" s="166"/>
      <c r="U50" s="166"/>
      <c r="V50" s="166"/>
      <c r="W50" s="166"/>
      <c r="X50" s="166"/>
      <c r="Y50" s="166"/>
      <c r="Z50" s="166"/>
    </row>
    <row r="51" ht="15.75" customHeight="1">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row>
    <row r="52" ht="15.0" customHeight="1">
      <c r="A52" s="261" t="s">
        <v>152</v>
      </c>
      <c r="J52" s="166"/>
      <c r="K52" s="166"/>
      <c r="L52" s="166"/>
      <c r="M52" s="166"/>
      <c r="N52" s="166"/>
      <c r="O52" s="166"/>
      <c r="P52" s="166"/>
      <c r="Q52" s="166"/>
      <c r="R52" s="166"/>
      <c r="S52" s="166"/>
      <c r="T52" s="166"/>
      <c r="U52" s="166"/>
      <c r="V52" s="166"/>
      <c r="W52" s="166"/>
      <c r="X52" s="166"/>
      <c r="Y52" s="166"/>
      <c r="Z52" s="166"/>
    </row>
    <row r="53" ht="15.75" customHeight="1">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row>
    <row r="54" ht="15.75" customHeight="1">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row>
    <row r="55" ht="15.75" customHeight="1">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row>
    <row r="56" ht="15.75" customHeight="1">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row>
    <row r="57" ht="15.75" customHeight="1">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row>
    <row r="58" ht="15.75" customHeight="1">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row>
    <row r="59" ht="15.75" customHeight="1">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row>
    <row r="60" ht="15.75" customHeight="1">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row>
    <row r="61" ht="15.75" customHeight="1">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row>
    <row r="62" ht="15.75" customHeight="1">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row>
    <row r="63" ht="15.75" customHeight="1">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row>
    <row r="64" ht="15.75" customHeight="1">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row>
    <row r="65" ht="15.75" customHeight="1">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row>
    <row r="66" ht="15.75" customHeight="1">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row>
    <row r="67" ht="15.75" customHeight="1">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row>
    <row r="68" ht="15.75" customHeight="1">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row>
    <row r="69" ht="15.75" customHeight="1">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row>
    <row r="70" ht="15.75" customHeight="1">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row>
    <row r="71" ht="15.75" customHeight="1">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row>
    <row r="72" ht="15.75" customHeight="1">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row>
    <row r="73" ht="15.75" customHeight="1">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row>
    <row r="74" ht="15.75" customHeight="1">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row>
    <row r="75" ht="15.75" customHeight="1">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row>
    <row r="76" ht="15.75" customHeight="1">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row>
    <row r="77" ht="15.75" customHeight="1">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row>
    <row r="78" ht="15.75" customHeight="1">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row>
    <row r="79" ht="15.75" customHeight="1">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row>
    <row r="80" ht="15.75" customHeight="1">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row>
    <row r="81" ht="15.75" customHeight="1">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row>
    <row r="82" ht="15.75" customHeight="1">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row>
    <row r="83" ht="15.75" customHeight="1">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row>
    <row r="84" ht="15.75" customHeight="1">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row>
    <row r="85" ht="15.75" customHeight="1">
      <c r="A85" s="166"/>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row>
    <row r="86" ht="15.75" customHeight="1">
      <c r="A86" s="166"/>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row>
    <row r="87" ht="15.75" customHeight="1">
      <c r="A87" s="166"/>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row>
    <row r="88" ht="15.75" customHeight="1">
      <c r="A88" s="166"/>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row>
    <row r="89" ht="15.75" customHeight="1">
      <c r="A89" s="166"/>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row>
    <row r="90" ht="15.75" customHeight="1">
      <c r="A90" s="166"/>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row>
    <row r="91" ht="15.75" customHeight="1">
      <c r="A91" s="166"/>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row>
    <row r="92" ht="15.75" customHeight="1">
      <c r="A92" s="166"/>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row>
    <row r="93" ht="15.75" customHeight="1">
      <c r="A93" s="166"/>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row>
    <row r="94" ht="15.75" customHeight="1">
      <c r="A94" s="166"/>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row>
    <row r="95" ht="15.75" customHeight="1">
      <c r="A95" s="166"/>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row>
    <row r="96" ht="15.75" customHeight="1">
      <c r="A96" s="166"/>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row>
    <row r="97" ht="15.75" customHeight="1">
      <c r="A97" s="16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row>
    <row r="98" ht="15.75" customHeight="1">
      <c r="A98" s="166"/>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row>
    <row r="99" ht="15.75" customHeight="1">
      <c r="A99" s="166"/>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row>
    <row r="100" ht="15.75" customHeight="1">
      <c r="A100" s="166"/>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row>
    <row r="101" ht="15.75" customHeight="1">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row>
    <row r="102" ht="15.75" customHeight="1">
      <c r="A102" s="166"/>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row>
    <row r="103" ht="15.75" customHeight="1">
      <c r="A103" s="166"/>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row>
    <row r="104" ht="15.75" customHeight="1">
      <c r="A104" s="166"/>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row>
    <row r="105" ht="15.75" customHeight="1">
      <c r="A105" s="166"/>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row>
    <row r="106" ht="15.75" customHeight="1">
      <c r="A106" s="166"/>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row>
    <row r="107" ht="15.75" customHeight="1">
      <c r="A107" s="166"/>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row>
    <row r="108" ht="15.75" customHeight="1">
      <c r="A108" s="166"/>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row>
    <row r="109" ht="15.75" customHeight="1">
      <c r="A109" s="166"/>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row>
    <row r="110" ht="15.75" customHeight="1">
      <c r="A110" s="166"/>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row>
    <row r="111" ht="15.75" customHeight="1">
      <c r="A111" s="166"/>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row>
    <row r="112" ht="15.75" customHeight="1">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row>
    <row r="113" ht="15.75" customHeight="1">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row>
    <row r="114" ht="15.75" customHeight="1">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row>
    <row r="115" ht="15.75" customHeight="1">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row>
    <row r="116" ht="15.75" customHeight="1">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row>
    <row r="117" ht="15.75" customHeight="1">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row>
    <row r="118" ht="15.75" customHeight="1">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row>
    <row r="119" ht="15.75" customHeight="1">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row>
    <row r="120" ht="15.75" customHeight="1">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row>
    <row r="121" ht="15.75" customHeight="1">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row>
    <row r="122" ht="15.75" customHeight="1">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row>
    <row r="123" ht="15.75" customHeight="1">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row>
    <row r="124" ht="15.75" customHeight="1">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row>
    <row r="125" ht="15.75" customHeight="1">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row>
    <row r="126" ht="15.75" customHeight="1">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row>
    <row r="127" ht="15.75" customHeight="1">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row>
    <row r="128" ht="15.75" customHeight="1">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row>
    <row r="129" ht="15.75" customHeight="1">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row>
    <row r="130" ht="15.75" customHeight="1">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row>
    <row r="131" ht="15.75" customHeight="1">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row>
    <row r="132" ht="15.75" customHeight="1">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row>
    <row r="133" ht="15.75" customHeight="1">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row>
    <row r="134" ht="15.75" customHeight="1">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row>
    <row r="135" ht="15.75" customHeight="1">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row>
    <row r="136" ht="15.75" customHeight="1">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row>
    <row r="137" ht="15.75" customHeight="1">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row>
    <row r="138" ht="15.75" customHeight="1">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row>
    <row r="139" ht="15.75" customHeight="1">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row>
    <row r="140" ht="15.75" customHeight="1">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row>
    <row r="141" ht="15.75" customHeight="1">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row>
    <row r="142" ht="15.75" customHeight="1">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row>
    <row r="143" ht="15.75" customHeight="1">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row>
    <row r="144" ht="15.75" customHeight="1">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row>
    <row r="145" ht="15.75" customHeight="1">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row>
    <row r="146" ht="15.75" customHeight="1">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row>
    <row r="147" ht="15.75" customHeight="1">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row>
    <row r="148" ht="15.75" customHeight="1">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row>
    <row r="149" ht="15.75" customHeight="1">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row>
    <row r="150" ht="15.75" customHeight="1">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row>
    <row r="151" ht="15.75" customHeight="1">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row>
    <row r="152" ht="15.75" customHeight="1">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row>
    <row r="153" ht="15.75" customHeight="1">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row>
    <row r="154" ht="15.75" customHeight="1">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row>
    <row r="155" ht="15.75" customHeight="1">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row>
    <row r="156" ht="15.75" customHeight="1">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row>
    <row r="157" ht="15.75" customHeight="1">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row>
    <row r="158" ht="15.75" customHeight="1">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row>
    <row r="159" ht="15.75" customHeight="1">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row>
    <row r="160" ht="15.75" customHeight="1">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row>
    <row r="161" ht="15.75" customHeight="1">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row>
    <row r="162" ht="15.75" customHeight="1">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row>
    <row r="163" ht="15.75" customHeight="1">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row>
    <row r="164" ht="15.75" customHeight="1">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row>
    <row r="165" ht="15.75" customHeight="1">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row>
    <row r="166" ht="15.75" customHeight="1">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row>
    <row r="167" ht="15.75" customHeight="1">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row>
    <row r="168" ht="15.75" customHeight="1">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row>
    <row r="169" ht="15.75" customHeight="1">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row>
    <row r="170" ht="15.75" customHeight="1">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row>
    <row r="171" ht="15.75" customHeight="1">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row>
    <row r="172" ht="15.75" customHeight="1">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row>
    <row r="173" ht="15.75" customHeight="1">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row>
    <row r="174" ht="15.75" customHeight="1">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row>
    <row r="175" ht="15.75" customHeight="1">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row>
    <row r="176" ht="15.75" customHeight="1">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row>
    <row r="177" ht="15.75" customHeight="1">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row>
    <row r="178" ht="15.75" customHeight="1">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row>
    <row r="179" ht="15.75" customHeight="1">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row>
    <row r="180" ht="15.75" customHeight="1">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row>
    <row r="181" ht="15.75" customHeight="1">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row>
    <row r="182" ht="15.75" customHeight="1">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row>
    <row r="183" ht="15.75" customHeight="1">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row>
    <row r="184" ht="15.75" customHeight="1">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row>
    <row r="185" ht="15.75" customHeight="1">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row>
    <row r="186" ht="15.75" customHeight="1">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row>
    <row r="187" ht="15.75" customHeight="1">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row>
    <row r="188" ht="15.75" customHeight="1">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row>
    <row r="189" ht="15.75" customHeight="1">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row>
    <row r="190" ht="15.75" customHeight="1">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row>
    <row r="191" ht="15.75" customHeight="1">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row>
    <row r="192" ht="15.75" customHeight="1">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row>
    <row r="193" ht="15.75" customHeight="1">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row>
    <row r="194" ht="15.75" customHeight="1">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row>
    <row r="195" ht="15.75" customHeight="1">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row>
    <row r="196" ht="15.75" customHeight="1">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row>
    <row r="197" ht="15.75" customHeight="1">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row>
    <row r="198" ht="15.75" customHeight="1">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row>
    <row r="199" ht="15.75" customHeight="1">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row>
    <row r="200" ht="15.75" customHeight="1">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row>
    <row r="201" ht="15.75" customHeight="1">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row>
    <row r="202" ht="15.75" customHeight="1">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row>
    <row r="203" ht="15.75" customHeight="1">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row>
    <row r="204" ht="15.75" customHeight="1">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row>
    <row r="205" ht="15.75" customHeight="1">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row>
    <row r="206" ht="15.75" customHeight="1">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row>
    <row r="207" ht="15.75" customHeight="1">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row>
    <row r="208" ht="15.75" customHeight="1">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row>
    <row r="209" ht="15.75" customHeight="1">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row>
    <row r="210" ht="15.75" customHeight="1">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row>
    <row r="211" ht="15.75" customHeight="1">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row>
    <row r="212" ht="15.75" customHeight="1">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row>
    <row r="213" ht="15.75" customHeight="1">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row>
    <row r="214" ht="15.75" customHeight="1">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row>
    <row r="215" ht="15.75" customHeight="1">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row>
    <row r="216" ht="15.75" customHeight="1">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row>
    <row r="217" ht="15.75" customHeight="1">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row>
    <row r="218" ht="15.75" customHeight="1">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row>
    <row r="219" ht="15.75" customHeight="1">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row>
    <row r="220" ht="15.75" customHeight="1">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row>
    <row r="221" ht="15.75" customHeight="1">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row>
    <row r="222" ht="15.75" customHeight="1">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row>
    <row r="223" ht="15.75" customHeight="1">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row>
    <row r="224" ht="15.75" customHeight="1">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row>
    <row r="225" ht="15.75" customHeight="1">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row>
    <row r="226" ht="15.75" customHeight="1">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row>
    <row r="227" ht="15.75" customHeight="1">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row>
    <row r="228" ht="15.75" customHeight="1">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row>
    <row r="229" ht="15.75" customHeight="1">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row>
    <row r="230" ht="15.75" customHeight="1">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row>
    <row r="231" ht="15.75" customHeight="1">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row>
    <row r="232" ht="15.75" customHeight="1">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row>
    <row r="233" ht="15.75" customHeight="1">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row>
    <row r="234" ht="15.75" customHeight="1">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row>
    <row r="235" ht="15.75" customHeight="1">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row>
    <row r="236" ht="15.75" customHeight="1">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row>
    <row r="237" ht="15.75" customHeight="1">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row>
    <row r="238" ht="15.75" customHeight="1">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row>
    <row r="239" ht="15.75" customHeight="1">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row>
    <row r="240" ht="15.75" customHeight="1">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row>
    <row r="241" ht="15.75" customHeight="1">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row>
    <row r="242" ht="15.75" customHeight="1">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row>
    <row r="243" ht="15.75" customHeight="1">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row>
    <row r="244" ht="15.75" customHeight="1">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row>
    <row r="245" ht="15.75" customHeight="1">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row>
    <row r="246" ht="15.75" customHeight="1">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row>
    <row r="247" ht="15.75" customHeight="1">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row>
    <row r="248" ht="15.75" customHeight="1">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row>
    <row r="249" ht="15.75" customHeight="1">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row>
    <row r="250" ht="15.75" customHeight="1">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row>
    <row r="251" ht="15.75" customHeight="1">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row>
    <row r="252" ht="15.75" customHeight="1">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12">
    <mergeCell ref="A47:I47"/>
    <mergeCell ref="A48:I48"/>
    <mergeCell ref="A49:I49"/>
    <mergeCell ref="A50:I50"/>
    <mergeCell ref="A52:I52"/>
    <mergeCell ref="A1:I1"/>
    <mergeCell ref="A2:I2"/>
    <mergeCell ref="B4:C4"/>
    <mergeCell ref="E4:F4"/>
    <mergeCell ref="H4:I4"/>
    <mergeCell ref="A45:I45"/>
    <mergeCell ref="A46:I46"/>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sheetPr>
  <sheetViews>
    <sheetView workbookViewId="0"/>
  </sheetViews>
  <sheetFormatPr customHeight="1" defaultColWidth="14.43" defaultRowHeight="15.0"/>
  <cols>
    <col customWidth="1" min="1" max="1" width="9.43"/>
    <col customWidth="1" min="2" max="6" width="10.0"/>
    <col customWidth="1" min="7" max="8" width="11.0"/>
    <col customWidth="1" min="9" max="9" width="10.0"/>
    <col customWidth="1" min="10" max="10" width="11.0"/>
    <col customWidth="1" min="11" max="11" width="10.0"/>
    <col customWidth="1" min="12" max="12" width="8.0"/>
    <col customWidth="1" min="13" max="13" width="9.0"/>
    <col customWidth="1" min="14" max="15" width="10.0"/>
    <col customWidth="1" min="16" max="17" width="11.0"/>
    <col customWidth="1" min="18" max="24" width="10.0"/>
    <col customWidth="1" min="25" max="26" width="11.0"/>
    <col customWidth="1" min="27" max="27" width="10.0"/>
    <col customWidth="1" min="28" max="28" width="8.0"/>
    <col customWidth="1" min="29" max="29" width="9.0"/>
    <col customWidth="1" min="30" max="31" width="10.0"/>
    <col customWidth="1" min="32" max="33" width="11.0"/>
    <col customWidth="1" min="34" max="34" width="12.0"/>
    <col customWidth="1" min="35" max="35" width="13.0"/>
    <col customWidth="1" min="36" max="37" width="11.0"/>
    <col customWidth="1" min="38" max="46" width="13.71"/>
    <col customWidth="1" min="47" max="47" width="12.0"/>
  </cols>
  <sheetData>
    <row r="1" ht="15.0" customHeight="1">
      <c r="A1" s="262" t="s">
        <v>244</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30"/>
      <c r="AL1" s="45"/>
      <c r="AM1" s="45"/>
      <c r="AN1" s="45"/>
      <c r="AO1" s="45"/>
      <c r="AP1" s="45"/>
      <c r="AQ1" s="45"/>
      <c r="AR1" s="45"/>
      <c r="AS1" s="45"/>
      <c r="AT1" s="45"/>
      <c r="AU1" s="45"/>
    </row>
    <row r="2" ht="15.0" customHeight="1">
      <c r="A2" s="263"/>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45"/>
      <c r="AM2" s="45"/>
      <c r="AN2" s="45"/>
      <c r="AO2" s="45"/>
      <c r="AP2" s="45"/>
      <c r="AQ2" s="45"/>
      <c r="AR2" s="45"/>
      <c r="AS2" s="45"/>
      <c r="AT2" s="45"/>
      <c r="AU2" s="45"/>
      <c r="AV2" s="264" t="s">
        <v>245</v>
      </c>
    </row>
    <row r="3" ht="45.75" customHeight="1">
      <c r="A3" s="265" t="s">
        <v>154</v>
      </c>
      <c r="B3" s="265" t="s">
        <v>246</v>
      </c>
      <c r="C3" s="265" t="s">
        <v>181</v>
      </c>
      <c r="D3" s="265" t="s">
        <v>247</v>
      </c>
      <c r="E3" s="265" t="s">
        <v>248</v>
      </c>
      <c r="F3" s="265" t="s">
        <v>182</v>
      </c>
      <c r="G3" s="265" t="s">
        <v>249</v>
      </c>
      <c r="H3" s="265" t="s">
        <v>250</v>
      </c>
      <c r="I3" s="265" t="s">
        <v>251</v>
      </c>
      <c r="J3" s="265" t="s">
        <v>252</v>
      </c>
      <c r="K3" s="265" t="s">
        <v>253</v>
      </c>
      <c r="L3" s="265" t="s">
        <v>254</v>
      </c>
      <c r="M3" s="265" t="s">
        <v>255</v>
      </c>
      <c r="N3" s="265" t="s">
        <v>256</v>
      </c>
      <c r="O3" s="265" t="s">
        <v>257</v>
      </c>
      <c r="P3" s="265" t="s">
        <v>258</v>
      </c>
      <c r="Q3" s="265" t="s">
        <v>259</v>
      </c>
      <c r="R3" s="265" t="s">
        <v>260</v>
      </c>
      <c r="S3" s="265" t="s">
        <v>261</v>
      </c>
      <c r="T3" s="265" t="s">
        <v>262</v>
      </c>
      <c r="U3" s="265" t="s">
        <v>263</v>
      </c>
      <c r="V3" s="265" t="s">
        <v>264</v>
      </c>
      <c r="W3" s="265" t="s">
        <v>265</v>
      </c>
      <c r="X3" s="265" t="s">
        <v>266</v>
      </c>
      <c r="Y3" s="265" t="s">
        <v>267</v>
      </c>
      <c r="Z3" s="265" t="s">
        <v>268</v>
      </c>
      <c r="AA3" s="265" t="s">
        <v>269</v>
      </c>
      <c r="AB3" s="265" t="s">
        <v>270</v>
      </c>
      <c r="AC3" s="265" t="s">
        <v>271</v>
      </c>
      <c r="AD3" s="265" t="s">
        <v>272</v>
      </c>
      <c r="AE3" s="265" t="s">
        <v>273</v>
      </c>
      <c r="AF3" s="265" t="s">
        <v>274</v>
      </c>
      <c r="AG3" s="266" t="s">
        <v>186</v>
      </c>
      <c r="AH3" s="265" t="s">
        <v>275</v>
      </c>
      <c r="AI3" s="265" t="s">
        <v>276</v>
      </c>
      <c r="AJ3" s="265" t="s">
        <v>277</v>
      </c>
      <c r="AK3" s="265" t="s">
        <v>278</v>
      </c>
      <c r="AL3" s="267" t="s">
        <v>279</v>
      </c>
      <c r="AM3" s="267" t="s">
        <v>280</v>
      </c>
      <c r="AN3" s="267" t="s">
        <v>281</v>
      </c>
      <c r="AO3" s="267" t="s">
        <v>282</v>
      </c>
      <c r="AP3" s="267" t="s">
        <v>283</v>
      </c>
      <c r="AQ3" s="267" t="s">
        <v>284</v>
      </c>
      <c r="AR3" s="267" t="s">
        <v>285</v>
      </c>
      <c r="AS3" s="267" t="s">
        <v>286</v>
      </c>
      <c r="AT3" s="267" t="s">
        <v>287</v>
      </c>
      <c r="AU3" s="267" t="s">
        <v>288</v>
      </c>
      <c r="AV3" s="268" t="s">
        <v>289</v>
      </c>
      <c r="AW3" s="268" t="s">
        <v>290</v>
      </c>
    </row>
    <row r="4" ht="15.0" customHeight="1">
      <c r="A4" s="269">
        <v>1.0</v>
      </c>
      <c r="B4" s="270">
        <f>'Hypothèses'!$B$26</f>
        <v>9000</v>
      </c>
      <c r="C4" s="270">
        <f>B4*'Hypothèses'!$B$28</f>
        <v>2700</v>
      </c>
      <c r="D4" s="270">
        <f>'Tableau dAMT financier'!E16</f>
        <v>8242.859016</v>
      </c>
      <c r="E4" s="270">
        <f>'Tableau dAMT financier'!F16</f>
        <v>884.8</v>
      </c>
      <c r="F4" s="270">
        <f>MIN('Hypothèses'!$B$34,MAX(0,'Hypothèses'!$B$31))</f>
        <v>7280</v>
      </c>
      <c r="G4" s="270">
        <f>'Tableau dAMT financier'!H16</f>
        <v>246179.3849</v>
      </c>
      <c r="H4" s="270">
        <f>'Hypothèses'!B4</f>
        <v>260000</v>
      </c>
      <c r="I4" s="270">
        <f>'Hypothèses'!$B$38</f>
        <v>5000</v>
      </c>
      <c r="J4" s="270">
        <f>'Hypothèses'!$B$50+I4</f>
        <v>90500</v>
      </c>
      <c r="K4" s="270">
        <f>J4/'Hypothèses'!$B$39</f>
        <v>36200</v>
      </c>
      <c r="L4" s="271">
        <f>IF(K4&lt;='Barème fiscal'!$B$4,'Barème fiscal'!$C$4,IF(K4&lt;='Barème fiscal'!$B$5,'Barème fiscal'!$C$5,IF(K4&lt;='Barème fiscal'!$B$6,'Barème fiscal'!$C$6,IF(K4&lt;='Barème fiscal'!$B$7,'Barème fiscal'!$C$7,'Barème fiscal'!$C$8))))</f>
        <v>0.3</v>
      </c>
      <c r="M4" s="272">
        <f t="shared" ref="M4:M28" si="1">IF(J4&gt;0,N4/J4,0)</f>
        <v>0.1281655249</v>
      </c>
      <c r="N4" s="273">
        <f>MAX(0,IF(J4/2&lt;='Barème fiscal'!$B$4,0,IF(J4/2&lt;='Barème fiscal'!$B$5,J4*'Barème fiscal'!$C$5-'Barème fiscal'!$D$5*2,IF(J4/2&lt;='Barème fiscal'!$B$6,J4*'Barème fiscal'!$C$6-'Barème fiscal'!$D$6*2,IF(J4/2&lt;='Barème fiscal'!$B$7,J4*'Barème fiscal'!$C$7-'Barème fiscal'!$D$7*2,J4*'Barème fiscal'!$C$8-'Barème fiscal'!$D$8*2)))))-MIN(MAX(IF(J4/2&lt;='Barème fiscal'!$B$4,0,IF(J4/2&lt;='Barème fiscal'!$B$5,J4*'Barème fiscal'!$C$5-'Barème fiscal'!$D$5*2,IF(J4/2&lt;='Barème fiscal'!$B$6,J4*'Barème fiscal'!$C$6-'Barème fiscal'!$D$6*2,IF(J4/2&lt;='Barème fiscal'!$B$7,J4*'Barème fiscal'!$C$7-'Barème fiscal'!$D$7*2,J4*'Barème fiscal'!$C$8-'Barème fiscal'!$D$8*2))))-MAX(0,IF(K4&lt;='Barème fiscal'!$B$4,0,IF(K4&lt;='Barème fiscal'!$B$5,J4*'Barème fiscal'!$C$5-'Barème fiscal'!$D$5*'Hypothèses'!$B$39,IF(K4&lt;='Barème fiscal'!$B$6,J4*'Barème fiscal'!$C$6-'Barème fiscal'!$D$6*'Hypothèses'!$B$39,IF(K4&lt;='Barème fiscal'!$B$7,J4*'Barème fiscal'!$C$7-'Barème fiscal'!$D$7*'Hypothèses'!$B$39,J4*'Barème fiscal'!$C$8-'Barème fiscal'!$D$8*'Hypothèses'!$B$39))))),0),MAX('Hypothèses'!$B$39-2,0)*2*'Barème fiscal'!$B$10)</f>
        <v>11598.98</v>
      </c>
      <c r="O4" s="270">
        <f>MAX(0,I4)*'Hypothèses'!$B$40</f>
        <v>860</v>
      </c>
      <c r="P4" s="273">
        <f t="shared" ref="P4:P28" si="2">N4+O4</f>
        <v>12458.98</v>
      </c>
      <c r="Q4" s="270">
        <f t="shared" ref="Q4:Q28" si="3">B4+I4</f>
        <v>14000</v>
      </c>
      <c r="R4" s="270">
        <f>D4+E4+'Hypothèses'!$B$21</f>
        <v>13127.65902</v>
      </c>
      <c r="S4" s="270">
        <f t="shared" ref="S4:S28" si="4">C4+F4</f>
        <v>9980</v>
      </c>
      <c r="T4" s="270">
        <f t="shared" ref="T4:T28" si="5">Q4-R4-S4</f>
        <v>-9107.659016</v>
      </c>
      <c r="U4" s="273">
        <f>IF(T4&gt;=0,0,IF(Q4&gt;=R4,MAX(T4,-'Barème fiscal'!$B$11),MAX(-S4,-'Barème fiscal'!$B$11)))</f>
        <v>-9107.659016</v>
      </c>
      <c r="V4" s="270">
        <f>IF(T4&gt;=0,0,IF(Q4&gt;=R4,MAX(0,-T4-'Barème fiscal'!$B$11),(R4-Q4)+MAX(0,S4-'Barème fiscal'!$B$11)))</f>
        <v>0</v>
      </c>
      <c r="W4" s="273">
        <f>V4</f>
        <v>0</v>
      </c>
      <c r="X4" s="273">
        <f t="shared" ref="X4:X28" si="6">IF(T4&gt;0,MIN(W4,T4),0)</f>
        <v>0</v>
      </c>
      <c r="Y4" s="270">
        <f t="shared" ref="Y4:Y28" si="7">MAX(0,T4-X4)</f>
        <v>0</v>
      </c>
      <c r="Z4" s="270">
        <f>'Hypothèses'!$B$50+Y4+U4</f>
        <v>76392.34098</v>
      </c>
      <c r="AA4" s="270">
        <f>Z4/'Hypothèses'!$B$39</f>
        <v>30556.93639</v>
      </c>
      <c r="AB4" s="271">
        <f>IF(AA4&lt;='Barème fiscal'!$B$4,'Barème fiscal'!$C$4,IF(AA4&lt;='Barème fiscal'!$B$5,'Barème fiscal'!$C$5,IF(AA4&lt;='Barème fiscal'!$B$6,'Barème fiscal'!$C$6,IF(AA4&lt;='Barème fiscal'!$B$7,'Barème fiscal'!$C$7,'Barème fiscal'!$C$8))))</f>
        <v>0.3</v>
      </c>
      <c r="AC4" s="272">
        <f t="shared" ref="AC4:AC28" si="8">IF(Z4&gt;0,AD4/Z4,0)</f>
        <v>0.09643221035</v>
      </c>
      <c r="AD4" s="273">
        <f>MAX(0,IF(Z4/2&lt;='Barème fiscal'!$B$4,0,IF(Z4/2&lt;='Barème fiscal'!$B$5,Z4*'Barème fiscal'!$C$5-'Barème fiscal'!$D$5*2,IF(Z4/2&lt;='Barème fiscal'!$B$6,Z4*'Barème fiscal'!$C$6-'Barème fiscal'!$D$6*2,IF(Z4/2&lt;='Barème fiscal'!$B$7,Z4*'Barème fiscal'!$C$7-'Barème fiscal'!$D$7*2,Z4*'Barème fiscal'!$C$8-'Barème fiscal'!$D$8*2)))))-MIN(MAX(IF(Z4/2&lt;='Barème fiscal'!$B$4,0,IF(Z4/2&lt;='Barème fiscal'!$B$5,Z4*'Barème fiscal'!$C$5-'Barème fiscal'!$D$5*2,IF(Z4/2&lt;='Barème fiscal'!$B$6,Z4*'Barème fiscal'!$C$6-'Barème fiscal'!$D$6*2,IF(Z4/2&lt;='Barème fiscal'!$B$7,Z4*'Barème fiscal'!$C$7-'Barème fiscal'!$D$7*2,Z4*'Barème fiscal'!$C$8-'Barème fiscal'!$D$8*2))))-MAX(0,IF(AA4&lt;='Barème fiscal'!$B$4,0,IF(AA4&lt;='Barème fiscal'!$B$5,Z4*'Barème fiscal'!$C$5-'Barème fiscal'!$D$5*'Hypothèses'!$B$39,IF(AA4&lt;='Barème fiscal'!$B$6,Z4*'Barème fiscal'!$C$6-'Barème fiscal'!$D$6*'Hypothèses'!$B$39,IF(AA4&lt;='Barème fiscal'!$B$7,Z4*'Barème fiscal'!$C$7-'Barème fiscal'!$D$7*'Hypothèses'!$B$39,Z4*'Barème fiscal'!$C$8-'Barème fiscal'!$D$8*'Hypothèses'!$B$39))))),0),MAX('Hypothèses'!$B$39-2,0)*2*'Barème fiscal'!$B$10)</f>
        <v>7366.682295</v>
      </c>
      <c r="AE4" s="270">
        <f>Y4*'Hypothèses'!$B$40</f>
        <v>0</v>
      </c>
      <c r="AF4" s="273">
        <f t="shared" ref="AF4:AF28" si="9">AD4+AE4</f>
        <v>7366.682295</v>
      </c>
      <c r="AG4" s="273">
        <f t="shared" ref="AG4:AG28" si="10">P4-AF4</f>
        <v>5092.297705</v>
      </c>
      <c r="AH4" s="273">
        <f t="shared" ref="AH4:AH28" si="11">H4-G4-AS4</f>
        <v>13820.61507</v>
      </c>
      <c r="AI4" s="273">
        <f>(B4-'Tableau dAMT financier'!G16-C4+AG4)/12</f>
        <v>-362.9980316</v>
      </c>
      <c r="AJ4" s="274">
        <f>AVERAGE(AI4:AI12)</f>
        <v>-460.6088084</v>
      </c>
      <c r="AK4" s="273">
        <f>-AI4*12-apport</f>
        <v>-10644.02362</v>
      </c>
      <c r="AL4" s="275">
        <f>F4</f>
        <v>7280</v>
      </c>
      <c r="AM4" s="275">
        <f>MAX(0,A4*'Hypothèses'!$B$31*'Hypothèses'!$B$32-AL4)</f>
        <v>0</v>
      </c>
      <c r="AN4" s="275">
        <f>H4-('Hypothèses'!$B$4+MAX('Hypothèses'!$B$4*'Hypothèses'!$B$5,'Hypothèses'!$B$4*'Hypothèses'!$B$43)+IF(A4&gt;5,'Hypothèses'!$B$4*'Hypothèses'!$B$44,0)-AL4)</f>
        <v>-12220</v>
      </c>
      <c r="AO4" s="276">
        <f t="shared" ref="AO4:AO28" si="12">IF(A4&lt;=5,0,IF(A4&lt;=21,(A4-5)*0.06,1))</f>
        <v>0</v>
      </c>
      <c r="AP4" s="275">
        <f t="shared" ref="AP4:AP28" si="13">MAX(0,AN4*(1-AO4))</f>
        <v>0</v>
      </c>
      <c r="AQ4" s="276">
        <f t="shared" ref="AQ4:AQ28" si="14">IF(A4&lt;=5,0,IF(A4&lt;=21,(A4-5)*0.0165,IF(A4=22,(21-5)*0.0165+0.016,IF(A4&lt;=30,(21-5)*0.0165+0.016+(A4-22)*0.09,1))))</f>
        <v>0</v>
      </c>
      <c r="AR4" s="275">
        <f t="shared" ref="AR4:AR28" si="15">MAX(0,AN4*(1-AQ4))</f>
        <v>0</v>
      </c>
      <c r="AS4" s="277">
        <f>IF(AN4&lt;=0,0,AP4*'Hypothèses'!$B$45+AR4*'Hypothèses'!$B$46+IF(AP4&lt;=50000,0,IF(AP4&lt;=60000,AP4*0.02-(60000-AP4)/20,IF(AP4&lt;=100000,AP4*0.02,IF(AP4&lt;=110000,AP4*0.03-(110000-AP4)/10,IF(AP4&lt;=150000,AP4*0.03,IF(AP4&lt;=160000,AP4*0.04-(160000-AP4)*3/20,IF(AP4&lt;=200000,AP4*0.04,IF(AP4&lt;=210000,AP4*0.05-(210000-AP4)/5,IF(AP4&lt;=250000,AP4*0.05,IF(AP4&lt;=260000,AP4*0.06-(260000-AP4)/4,AP4*0.06)))))))))))</f>
        <v>0</v>
      </c>
      <c r="AT4" s="275">
        <v>0.0</v>
      </c>
      <c r="AU4" s="278">
        <f>IFERROR(IRR(B60:C60),"")</f>
        <v>-0.3690240874</v>
      </c>
      <c r="AV4" s="279">
        <f>MAX(0,I4)*'Barème fiscal'!$B$13</f>
        <v>340</v>
      </c>
      <c r="AW4" s="279">
        <f>Y4*'Barème fiscal'!$B$13</f>
        <v>0</v>
      </c>
    </row>
    <row r="5" ht="15.0" customHeight="1">
      <c r="A5" s="280">
        <v>2.0</v>
      </c>
      <c r="B5" s="281">
        <f>B4*(1+'Hypothèses'!$B$27)</f>
        <v>9135</v>
      </c>
      <c r="C5" s="281">
        <f>B5*'Hypothèses'!$B$28</f>
        <v>2740.5</v>
      </c>
      <c r="D5" s="281">
        <f>'Tableau dAMT financier'!E17</f>
        <v>8021.043724</v>
      </c>
      <c r="E5" s="281">
        <f>'Tableau dAMT financier'!F17</f>
        <v>884.8</v>
      </c>
      <c r="F5" s="281">
        <f>MIN('Hypothèses'!$B$34,MAX(0,'Hypothèses'!$B$31-AL4))</f>
        <v>7280</v>
      </c>
      <c r="G5" s="281">
        <f>'Tableau dAMT financier'!H17</f>
        <v>239336.9546</v>
      </c>
      <c r="H5" s="281">
        <f>H4*(1+index)</f>
        <v>260000</v>
      </c>
      <c r="I5" s="281">
        <f>I4*(1+index)</f>
        <v>5000</v>
      </c>
      <c r="J5" s="281">
        <f>'Hypothèses'!$B$50+I5-AV4</f>
        <v>90160</v>
      </c>
      <c r="K5" s="281">
        <f>J5/'Hypothèses'!$B$39</f>
        <v>36064</v>
      </c>
      <c r="L5" s="282">
        <f>IF(K5&lt;='Barème fiscal'!$B$4,'Barème fiscal'!$C$4,IF(K5&lt;='Barème fiscal'!$B$5,'Barème fiscal'!$C$5,IF(K5&lt;='Barème fiscal'!$B$6,'Barème fiscal'!$C$6,IF(K5&lt;='Barème fiscal'!$B$7,'Barème fiscal'!$C$7,'Barème fiscal'!$C$8))))</f>
        <v>0.3</v>
      </c>
      <c r="M5" s="283">
        <f t="shared" si="1"/>
        <v>0.1275175244</v>
      </c>
      <c r="N5" s="284">
        <f>MAX(0,IF(J5/2&lt;='Barème fiscal'!$B$4,0,IF(J5/2&lt;='Barème fiscal'!$B$5,J5*'Barème fiscal'!$C$5-'Barème fiscal'!$D$5*2,IF(J5/2&lt;='Barème fiscal'!$B$6,J5*'Barème fiscal'!$C$6-'Barème fiscal'!$D$6*2,IF(J5/2&lt;='Barème fiscal'!$B$7,J5*'Barème fiscal'!$C$7-'Barème fiscal'!$D$7*2,J5*'Barème fiscal'!$C$8-'Barème fiscal'!$D$8*2)))))-MIN(MAX(IF(J5/2&lt;='Barème fiscal'!$B$4,0,IF(J5/2&lt;='Barème fiscal'!$B$5,J5*'Barème fiscal'!$C$5-'Barème fiscal'!$D$5*2,IF(J5/2&lt;='Barème fiscal'!$B$6,J5*'Barème fiscal'!$C$6-'Barème fiscal'!$D$6*2,IF(J5/2&lt;='Barème fiscal'!$B$7,J5*'Barème fiscal'!$C$7-'Barème fiscal'!$D$7*2,J5*'Barème fiscal'!$C$8-'Barème fiscal'!$D$8*2))))-MAX(0,IF(K5&lt;='Barème fiscal'!$B$4,0,IF(K5&lt;='Barème fiscal'!$B$5,J5*'Barème fiscal'!$C$5-'Barème fiscal'!$D$5*'Hypothèses'!$B$39,IF(K5&lt;='Barème fiscal'!$B$6,J5*'Barème fiscal'!$C$6-'Barème fiscal'!$D$6*'Hypothèses'!$B$39,IF(K5&lt;='Barème fiscal'!$B$7,J5*'Barème fiscal'!$C$7-'Barème fiscal'!$D$7*'Hypothèses'!$B$39,J5*'Barème fiscal'!$C$8-'Barème fiscal'!$D$8*'Hypothèses'!$B$39))))),0),MAX('Hypothèses'!$B$39-2,0)*2*'Barème fiscal'!$B$10)</f>
        <v>11496.98</v>
      </c>
      <c r="O5" s="281">
        <f>MAX(0,I5)*'Hypothèses'!$B$40</f>
        <v>860</v>
      </c>
      <c r="P5" s="284">
        <f t="shared" si="2"/>
        <v>12356.98</v>
      </c>
      <c r="Q5" s="281">
        <f t="shared" si="3"/>
        <v>14135</v>
      </c>
      <c r="R5" s="281">
        <f t="shared" ref="R5:R28" si="16">D5+E5</f>
        <v>8905.843724</v>
      </c>
      <c r="S5" s="281">
        <f t="shared" si="4"/>
        <v>10020.5</v>
      </c>
      <c r="T5" s="281">
        <f t="shared" si="5"/>
        <v>-4791.343724</v>
      </c>
      <c r="U5" s="284">
        <f>IF(T5&gt;=0,0,IF(Q5&gt;=R5,MAX(T5,-'Barème fiscal'!$B$11),MAX(-S5,-'Barème fiscal'!$B$11)))</f>
        <v>-4791.343724</v>
      </c>
      <c r="V5" s="281">
        <f>IF(T5&gt;=0,0,IF(Q5&gt;=R5,MAX(0,-T5-'Barème fiscal'!$B$11),(R5-Q5)+MAX(0,S5-'Barème fiscal'!$B$11)))</f>
        <v>0</v>
      </c>
      <c r="W5" s="284">
        <f t="shared" ref="W5:W28" si="17">W4+V5-X4-AT5</f>
        <v>0</v>
      </c>
      <c r="X5" s="284">
        <f t="shared" si="6"/>
        <v>0</v>
      </c>
      <c r="Y5" s="281">
        <f t="shared" si="7"/>
        <v>0</v>
      </c>
      <c r="Z5" s="281">
        <f>'Hypothèses'!$B$50+Y5+U5-AW4</f>
        <v>80708.65628</v>
      </c>
      <c r="AA5" s="281">
        <f>Z5/'Hypothèses'!$B$39</f>
        <v>32283.46251</v>
      </c>
      <c r="AB5" s="282">
        <f>IF(AA5&lt;='Barème fiscal'!$B$4,'Barème fiscal'!$C$4,IF(AA5&lt;='Barème fiscal'!$B$5,'Barème fiscal'!$C$5,IF(AA5&lt;='Barème fiscal'!$B$6,'Barème fiscal'!$C$6,IF(AA5&lt;='Barème fiscal'!$B$7,'Barème fiscal'!$C$7,'Barème fiscal'!$C$8))))</f>
        <v>0.3</v>
      </c>
      <c r="AC5" s="283">
        <f t="shared" si="8"/>
        <v>0.107319057</v>
      </c>
      <c r="AD5" s="284">
        <f>MAX(0,IF(Z5/2&lt;='Barème fiscal'!$B$4,0,IF(Z5/2&lt;='Barème fiscal'!$B$5,Z5*'Barème fiscal'!$C$5-'Barème fiscal'!$D$5*2,IF(Z5/2&lt;='Barème fiscal'!$B$6,Z5*'Barème fiscal'!$C$6-'Barème fiscal'!$D$6*2,IF(Z5/2&lt;='Barème fiscal'!$B$7,Z5*'Barème fiscal'!$C$7-'Barème fiscal'!$D$7*2,Z5*'Barème fiscal'!$C$8-'Barème fiscal'!$D$8*2)))))-MIN(MAX(IF(Z5/2&lt;='Barème fiscal'!$B$4,0,IF(Z5/2&lt;='Barème fiscal'!$B$5,Z5*'Barème fiscal'!$C$5-'Barème fiscal'!$D$5*2,IF(Z5/2&lt;='Barème fiscal'!$B$6,Z5*'Barème fiscal'!$C$6-'Barème fiscal'!$D$6*2,IF(Z5/2&lt;='Barème fiscal'!$B$7,Z5*'Barème fiscal'!$C$7-'Barème fiscal'!$D$7*2,Z5*'Barème fiscal'!$C$8-'Barème fiscal'!$D$8*2))))-MAX(0,IF(AA5&lt;='Barème fiscal'!$B$4,0,IF(AA5&lt;='Barème fiscal'!$B$5,Z5*'Barème fiscal'!$C$5-'Barème fiscal'!$D$5*'Hypothèses'!$B$39,IF(AA5&lt;='Barème fiscal'!$B$6,Z5*'Barème fiscal'!$C$6-'Barème fiscal'!$D$6*'Hypothèses'!$B$39,IF(AA5&lt;='Barème fiscal'!$B$7,Z5*'Barème fiscal'!$C$7-'Barème fiscal'!$D$7*'Hypothèses'!$B$39,Z5*'Barème fiscal'!$C$8-'Barème fiscal'!$D$8*'Hypothèses'!$B$39))))),0),MAX('Hypothèses'!$B$39-2,0)*2*'Barème fiscal'!$B$10)</f>
        <v>8661.576883</v>
      </c>
      <c r="AE5" s="281">
        <f>Y5*'Hypothèses'!$B$40</f>
        <v>0</v>
      </c>
      <c r="AF5" s="284">
        <f t="shared" si="9"/>
        <v>8661.576883</v>
      </c>
      <c r="AG5" s="284">
        <f t="shared" si="10"/>
        <v>3695.403117</v>
      </c>
      <c r="AH5" s="284">
        <f t="shared" si="11"/>
        <v>20663.04543</v>
      </c>
      <c r="AI5" s="284">
        <f>(B5-'Tableau dAMT financier'!G17-C5+AG5)/12</f>
        <v>-471.5309139</v>
      </c>
      <c r="AJ5" s="112"/>
      <c r="AK5" s="284">
        <f t="shared" ref="AK5:AK28" si="18">AK4+AI5*12</f>
        <v>-16302.39459</v>
      </c>
      <c r="AL5" s="285">
        <f t="shared" ref="AL5:AL28" si="19">AL4+F5</f>
        <v>14560</v>
      </c>
      <c r="AM5" s="285">
        <f>MAX(0,A5*'Hypothèses'!$B$31*'Hypothèses'!$B$32-AL5)</f>
        <v>0</v>
      </c>
      <c r="AN5" s="285">
        <f>H5-('Hypothèses'!$B$4+MAX('Hypothèses'!$B$4*'Hypothèses'!$B$5,'Hypothèses'!$B$4*'Hypothèses'!$B$43)+IF(A5&gt;5,'Hypothèses'!$B$4*'Hypothèses'!$B$44,0)-AL5)</f>
        <v>-4940</v>
      </c>
      <c r="AO5" s="286">
        <f t="shared" si="12"/>
        <v>0</v>
      </c>
      <c r="AP5" s="285">
        <f t="shared" si="13"/>
        <v>0</v>
      </c>
      <c r="AQ5" s="286">
        <f t="shared" si="14"/>
        <v>0</v>
      </c>
      <c r="AR5" s="285">
        <f t="shared" si="15"/>
        <v>0</v>
      </c>
      <c r="AS5" s="287">
        <f>IF(AN5&lt;=0,0,AP5*'Hypothèses'!$B$45+AR5*'Hypothèses'!$B$46+IF(AP5&lt;=50000,0,IF(AP5&lt;=60000,AP5*0.02-(60000-AP5)/20,IF(AP5&lt;=100000,AP5*0.02,IF(AP5&lt;=110000,AP5*0.03-(110000-AP5)/10,IF(AP5&lt;=150000,AP5*0.03,IF(AP5&lt;=160000,AP5*0.04-(160000-AP5)*3/20,IF(AP5&lt;=200000,AP5*0.04,IF(AP5&lt;=210000,AP5*0.05-(210000-AP5)/5,IF(AP5&lt;=250000,AP5*0.05,IF(AP5&lt;=260000,AP5*0.06-(260000-AP5)/4,AP5*0.06)))))))))))</f>
        <v>0</v>
      </c>
      <c r="AT5" s="285">
        <v>0.0</v>
      </c>
      <c r="AU5" s="288">
        <f>IFERROR(IRR(B61:D61),"")</f>
        <v>-0.1345586029</v>
      </c>
      <c r="AV5" s="279">
        <f>MAX(0,I5)*'Barème fiscal'!$B$13</f>
        <v>340</v>
      </c>
      <c r="AW5" s="279">
        <f>Y5*'Barème fiscal'!$B$13</f>
        <v>0</v>
      </c>
    </row>
    <row r="6" ht="15.0" customHeight="1">
      <c r="A6" s="269">
        <v>3.0</v>
      </c>
      <c r="B6" s="270">
        <f>B5*(1+'Hypothèses'!$B$27)</f>
        <v>9272.025</v>
      </c>
      <c r="C6" s="270">
        <f>B6*'Hypothèses'!$B$28</f>
        <v>2781.6075</v>
      </c>
      <c r="D6" s="270">
        <f>'Tableau dAMT financier'!E18</f>
        <v>7791.796794</v>
      </c>
      <c r="E6" s="270">
        <f>'Tableau dAMT financier'!F18</f>
        <v>884.8</v>
      </c>
      <c r="F6" s="270">
        <f>MIN('Hypothèses'!$B$34,MAX(0,'Hypothèses'!$B$31-AL5))</f>
        <v>7280</v>
      </c>
      <c r="G6" s="270">
        <f>'Tableau dAMT financier'!H18</f>
        <v>232265.2773</v>
      </c>
      <c r="H6" s="270">
        <f>H5*(1+index)</f>
        <v>260000</v>
      </c>
      <c r="I6" s="270">
        <f>I5*(1+index)</f>
        <v>5000</v>
      </c>
      <c r="J6" s="270">
        <f>'Hypothèses'!$B$50+I6-AV5</f>
        <v>90160</v>
      </c>
      <c r="K6" s="270">
        <f>J6/'Hypothèses'!$B$39</f>
        <v>36064</v>
      </c>
      <c r="L6" s="271">
        <f>IF(K6&lt;='Barème fiscal'!$B$4,'Barème fiscal'!$C$4,IF(K6&lt;='Barème fiscal'!$B$5,'Barème fiscal'!$C$5,IF(K6&lt;='Barème fiscal'!$B$6,'Barème fiscal'!$C$6,IF(K6&lt;='Barème fiscal'!$B$7,'Barème fiscal'!$C$7,'Barème fiscal'!$C$8))))</f>
        <v>0.3</v>
      </c>
      <c r="M6" s="272">
        <f t="shared" si="1"/>
        <v>0.1275175244</v>
      </c>
      <c r="N6" s="273">
        <f>MAX(0,IF(J6/2&lt;='Barème fiscal'!$B$4,0,IF(J6/2&lt;='Barème fiscal'!$B$5,J6*'Barème fiscal'!$C$5-'Barème fiscal'!$D$5*2,IF(J6/2&lt;='Barème fiscal'!$B$6,J6*'Barème fiscal'!$C$6-'Barème fiscal'!$D$6*2,IF(J6/2&lt;='Barème fiscal'!$B$7,J6*'Barème fiscal'!$C$7-'Barème fiscal'!$D$7*2,J6*'Barème fiscal'!$C$8-'Barème fiscal'!$D$8*2)))))-MIN(MAX(IF(J6/2&lt;='Barème fiscal'!$B$4,0,IF(J6/2&lt;='Barème fiscal'!$B$5,J6*'Barème fiscal'!$C$5-'Barème fiscal'!$D$5*2,IF(J6/2&lt;='Barème fiscal'!$B$6,J6*'Barème fiscal'!$C$6-'Barème fiscal'!$D$6*2,IF(J6/2&lt;='Barème fiscal'!$B$7,J6*'Barème fiscal'!$C$7-'Barème fiscal'!$D$7*2,J6*'Barème fiscal'!$C$8-'Barème fiscal'!$D$8*2))))-MAX(0,IF(K6&lt;='Barème fiscal'!$B$4,0,IF(K6&lt;='Barème fiscal'!$B$5,J6*'Barème fiscal'!$C$5-'Barème fiscal'!$D$5*'Hypothèses'!$B$39,IF(K6&lt;='Barème fiscal'!$B$6,J6*'Barème fiscal'!$C$6-'Barème fiscal'!$D$6*'Hypothèses'!$B$39,IF(K6&lt;='Barème fiscal'!$B$7,J6*'Barème fiscal'!$C$7-'Barème fiscal'!$D$7*'Hypothèses'!$B$39,J6*'Barème fiscal'!$C$8-'Barème fiscal'!$D$8*'Hypothèses'!$B$39))))),0),MAX('Hypothèses'!$B$39-2,0)*2*'Barème fiscal'!$B$10)</f>
        <v>11496.98</v>
      </c>
      <c r="O6" s="270">
        <f>MAX(0,I6)*'Hypothèses'!$B$40</f>
        <v>860</v>
      </c>
      <c r="P6" s="273">
        <f t="shared" si="2"/>
        <v>12356.98</v>
      </c>
      <c r="Q6" s="270">
        <f t="shared" si="3"/>
        <v>14272.025</v>
      </c>
      <c r="R6" s="270">
        <f t="shared" si="16"/>
        <v>8676.596794</v>
      </c>
      <c r="S6" s="270">
        <f t="shared" si="4"/>
        <v>10061.6075</v>
      </c>
      <c r="T6" s="270">
        <f t="shared" si="5"/>
        <v>-4466.179294</v>
      </c>
      <c r="U6" s="273">
        <f>IF(T6&gt;=0,0,IF(Q6&gt;=R6,MAX(T6,-'Barème fiscal'!$B$11),MAX(-S6,-'Barème fiscal'!$B$11)))</f>
        <v>-4466.179294</v>
      </c>
      <c r="V6" s="270">
        <f>IF(T6&gt;=0,0,IF(Q6&gt;=R6,MAX(0,-T6-'Barème fiscal'!$B$11),(R6-Q6)+MAX(0,S6-'Barème fiscal'!$B$11)))</f>
        <v>0</v>
      </c>
      <c r="W6" s="273">
        <f t="shared" si="17"/>
        <v>0</v>
      </c>
      <c r="X6" s="273">
        <f t="shared" si="6"/>
        <v>0</v>
      </c>
      <c r="Y6" s="270">
        <f t="shared" si="7"/>
        <v>0</v>
      </c>
      <c r="Z6" s="270">
        <f>'Hypothèses'!$B$50+Y6+U6-AW5</f>
        <v>81033.82071</v>
      </c>
      <c r="AA6" s="270">
        <f>Z6/'Hypothèses'!$B$39</f>
        <v>32413.52828</v>
      </c>
      <c r="AB6" s="271">
        <f>IF(AA6&lt;='Barème fiscal'!$B$4,'Barème fiscal'!$C$4,IF(AA6&lt;='Barème fiscal'!$B$5,'Barème fiscal'!$C$5,IF(AA6&lt;='Barème fiscal'!$B$6,'Barème fiscal'!$C$6,IF(AA6&lt;='Barème fiscal'!$B$7,'Barème fiscal'!$C$7,'Barème fiscal'!$C$8))))</f>
        <v>0.3</v>
      </c>
      <c r="AC6" s="272">
        <f t="shared" si="8"/>
        <v>0.1080922279</v>
      </c>
      <c r="AD6" s="273">
        <f>MAX(0,IF(Z6/2&lt;='Barème fiscal'!$B$4,0,IF(Z6/2&lt;='Barème fiscal'!$B$5,Z6*'Barème fiscal'!$C$5-'Barème fiscal'!$D$5*2,IF(Z6/2&lt;='Barème fiscal'!$B$6,Z6*'Barème fiscal'!$C$6-'Barème fiscal'!$D$6*2,IF(Z6/2&lt;='Barème fiscal'!$B$7,Z6*'Barème fiscal'!$C$7-'Barème fiscal'!$D$7*2,Z6*'Barème fiscal'!$C$8-'Barème fiscal'!$D$8*2)))))-MIN(MAX(IF(Z6/2&lt;='Barème fiscal'!$B$4,0,IF(Z6/2&lt;='Barème fiscal'!$B$5,Z6*'Barème fiscal'!$C$5-'Barème fiscal'!$D$5*2,IF(Z6/2&lt;='Barème fiscal'!$B$6,Z6*'Barème fiscal'!$C$6-'Barème fiscal'!$D$6*2,IF(Z6/2&lt;='Barème fiscal'!$B$7,Z6*'Barème fiscal'!$C$7-'Barème fiscal'!$D$7*2,Z6*'Barème fiscal'!$C$8-'Barème fiscal'!$D$8*2))))-MAX(0,IF(AA6&lt;='Barème fiscal'!$B$4,0,IF(AA6&lt;='Barème fiscal'!$B$5,Z6*'Barème fiscal'!$C$5-'Barème fiscal'!$D$5*'Hypothèses'!$B$39,IF(AA6&lt;='Barème fiscal'!$B$6,Z6*'Barème fiscal'!$C$6-'Barème fiscal'!$D$6*'Hypothèses'!$B$39,IF(AA6&lt;='Barème fiscal'!$B$7,Z6*'Barème fiscal'!$C$7-'Barème fiscal'!$D$7*'Hypothèses'!$B$39,Z6*'Barème fiscal'!$C$8-'Barème fiscal'!$D$8*'Hypothèses'!$B$39))))),0),MAX('Hypothèses'!$B$39-2,0)*2*'Barème fiscal'!$B$10)</f>
        <v>8759.126212</v>
      </c>
      <c r="AE6" s="270">
        <f>Y6*'Hypothèses'!$B$40</f>
        <v>0</v>
      </c>
      <c r="AF6" s="273">
        <f t="shared" si="9"/>
        <v>8759.126212</v>
      </c>
      <c r="AG6" s="273">
        <f t="shared" si="10"/>
        <v>3597.853788</v>
      </c>
      <c r="AH6" s="273">
        <f t="shared" si="11"/>
        <v>26887.64272</v>
      </c>
      <c r="AI6" s="273">
        <f>(B6-'Tableau dAMT financier'!G18-C6+AG6)/12</f>
        <v>-471.6668997</v>
      </c>
      <c r="AJ6" s="112"/>
      <c r="AK6" s="273">
        <f t="shared" si="18"/>
        <v>-21962.39738</v>
      </c>
      <c r="AL6" s="275">
        <f t="shared" si="19"/>
        <v>21840</v>
      </c>
      <c r="AM6" s="275">
        <f>MAX(0,A6*'Hypothèses'!$B$31*'Hypothèses'!$B$32-AL6)</f>
        <v>0</v>
      </c>
      <c r="AN6" s="275">
        <f>H6-('Hypothèses'!$B$4+MAX('Hypothèses'!$B$4*'Hypothèses'!$B$5,'Hypothèses'!$B$4*'Hypothèses'!$B$43)+IF(A6&gt;5,'Hypothèses'!$B$4*'Hypothèses'!$B$44,0)-AL6)</f>
        <v>2340</v>
      </c>
      <c r="AO6" s="276">
        <f t="shared" si="12"/>
        <v>0</v>
      </c>
      <c r="AP6" s="275">
        <f t="shared" si="13"/>
        <v>2340</v>
      </c>
      <c r="AQ6" s="276">
        <f t="shared" si="14"/>
        <v>0</v>
      </c>
      <c r="AR6" s="275">
        <f t="shared" si="15"/>
        <v>2340</v>
      </c>
      <c r="AS6" s="277">
        <f>IF(AN6&lt;=0,0,AP6*'Hypothèses'!$B$45+AR6*'Hypothèses'!$B$46+IF(AP6&lt;=50000,0,IF(AP6&lt;=60000,AP6*0.02-(60000-AP6)/20,IF(AP6&lt;=100000,AP6*0.02,IF(AP6&lt;=110000,AP6*0.03-(110000-AP6)/10,IF(AP6&lt;=150000,AP6*0.03,IF(AP6&lt;=160000,AP6*0.04-(160000-AP6)*3/20,IF(AP6&lt;=200000,AP6*0.04,IF(AP6&lt;=210000,AP6*0.05-(210000-AP6)/5,IF(AP6&lt;=250000,AP6*0.05,IF(AP6&lt;=260000,AP6*0.06-(260000-AP6)/4,AP6*0.06)))))))))))</f>
        <v>847.08</v>
      </c>
      <c r="AT6" s="275">
        <v>0.0</v>
      </c>
      <c r="AU6" s="278">
        <f>IFERROR(IRR(B62:E62),"")</f>
        <v>-0.06749008815</v>
      </c>
      <c r="AV6" s="279">
        <f>MAX(0,I6)*'Barème fiscal'!$B$13</f>
        <v>340</v>
      </c>
      <c r="AW6" s="279">
        <f>Y6*'Barème fiscal'!$B$13</f>
        <v>0</v>
      </c>
    </row>
    <row r="7" ht="15.0" customHeight="1">
      <c r="A7" s="280">
        <v>4.0</v>
      </c>
      <c r="B7" s="281">
        <f>B6*(1+'Hypothèses'!$B$27)</f>
        <v>9411.105375</v>
      </c>
      <c r="C7" s="281">
        <f>B7*'Hypothèses'!$B$28</f>
        <v>2823.331613</v>
      </c>
      <c r="D7" s="281">
        <f>'Tableau dAMT financier'!E19</f>
        <v>7554.869236</v>
      </c>
      <c r="E7" s="281">
        <f>'Tableau dAMT financier'!F19</f>
        <v>884.8</v>
      </c>
      <c r="F7" s="281">
        <f>MIN('Hypothèses'!$B$34,MAX(0,'Hypothèses'!$B$31-AL6))</f>
        <v>7280</v>
      </c>
      <c r="G7" s="281">
        <f>'Tableau dAMT financier'!H19</f>
        <v>224956.6724</v>
      </c>
      <c r="H7" s="281">
        <f>H6*(1+index)</f>
        <v>260000</v>
      </c>
      <c r="I7" s="281">
        <f>I6*(1+index)</f>
        <v>5000</v>
      </c>
      <c r="J7" s="281">
        <f>'Hypothèses'!$B$50+I7-AV6</f>
        <v>90160</v>
      </c>
      <c r="K7" s="281">
        <f>J7/'Hypothèses'!$B$39</f>
        <v>36064</v>
      </c>
      <c r="L7" s="282">
        <f>IF(K7&lt;='Barème fiscal'!$B$4,'Barème fiscal'!$C$4,IF(K7&lt;='Barème fiscal'!$B$5,'Barème fiscal'!$C$5,IF(K7&lt;='Barème fiscal'!$B$6,'Barème fiscal'!$C$6,IF(K7&lt;='Barème fiscal'!$B$7,'Barème fiscal'!$C$7,'Barème fiscal'!$C$8))))</f>
        <v>0.3</v>
      </c>
      <c r="M7" s="283">
        <f t="shared" si="1"/>
        <v>0.1275175244</v>
      </c>
      <c r="N7" s="284">
        <f>MAX(0,IF(J7/2&lt;='Barème fiscal'!$B$4,0,IF(J7/2&lt;='Barème fiscal'!$B$5,J7*'Barème fiscal'!$C$5-'Barème fiscal'!$D$5*2,IF(J7/2&lt;='Barème fiscal'!$B$6,J7*'Barème fiscal'!$C$6-'Barème fiscal'!$D$6*2,IF(J7/2&lt;='Barème fiscal'!$B$7,J7*'Barème fiscal'!$C$7-'Barème fiscal'!$D$7*2,J7*'Barème fiscal'!$C$8-'Barème fiscal'!$D$8*2)))))-MIN(MAX(IF(J7/2&lt;='Barème fiscal'!$B$4,0,IF(J7/2&lt;='Barème fiscal'!$B$5,J7*'Barème fiscal'!$C$5-'Barème fiscal'!$D$5*2,IF(J7/2&lt;='Barème fiscal'!$B$6,J7*'Barème fiscal'!$C$6-'Barème fiscal'!$D$6*2,IF(J7/2&lt;='Barème fiscal'!$B$7,J7*'Barème fiscal'!$C$7-'Barème fiscal'!$D$7*2,J7*'Barème fiscal'!$C$8-'Barème fiscal'!$D$8*2))))-MAX(0,IF(K7&lt;='Barème fiscal'!$B$4,0,IF(K7&lt;='Barème fiscal'!$B$5,J7*'Barème fiscal'!$C$5-'Barème fiscal'!$D$5*'Hypothèses'!$B$39,IF(K7&lt;='Barème fiscal'!$B$6,J7*'Barème fiscal'!$C$6-'Barème fiscal'!$D$6*'Hypothèses'!$B$39,IF(K7&lt;='Barème fiscal'!$B$7,J7*'Barème fiscal'!$C$7-'Barème fiscal'!$D$7*'Hypothèses'!$B$39,J7*'Barème fiscal'!$C$8-'Barème fiscal'!$D$8*'Hypothèses'!$B$39))))),0),MAX('Hypothèses'!$B$39-2,0)*2*'Barème fiscal'!$B$10)</f>
        <v>11496.98</v>
      </c>
      <c r="O7" s="281">
        <f>MAX(0,I7)*'Hypothèses'!$B$40</f>
        <v>860</v>
      </c>
      <c r="P7" s="284">
        <f t="shared" si="2"/>
        <v>12356.98</v>
      </c>
      <c r="Q7" s="281">
        <f t="shared" si="3"/>
        <v>14411.10538</v>
      </c>
      <c r="R7" s="281">
        <f t="shared" si="16"/>
        <v>8439.669236</v>
      </c>
      <c r="S7" s="281">
        <f t="shared" si="4"/>
        <v>10103.33161</v>
      </c>
      <c r="T7" s="281">
        <f t="shared" si="5"/>
        <v>-4131.895473</v>
      </c>
      <c r="U7" s="284">
        <f>IF(T7&gt;=0,0,IF(Q7&gt;=R7,MAX(T7,-'Barème fiscal'!$B$11),MAX(-S7,-'Barème fiscal'!$B$11)))</f>
        <v>-4131.895473</v>
      </c>
      <c r="V7" s="281">
        <f>IF(T7&gt;=0,0,IF(Q7&gt;=R7,MAX(0,-T7-'Barème fiscal'!$B$11),(R7-Q7)+MAX(0,S7-'Barème fiscal'!$B$11)))</f>
        <v>0</v>
      </c>
      <c r="W7" s="284">
        <f t="shared" si="17"/>
        <v>0</v>
      </c>
      <c r="X7" s="284">
        <f t="shared" si="6"/>
        <v>0</v>
      </c>
      <c r="Y7" s="281">
        <f t="shared" si="7"/>
        <v>0</v>
      </c>
      <c r="Z7" s="281">
        <f>'Hypothèses'!$B$50+Y7+U7-AW6</f>
        <v>81368.10453</v>
      </c>
      <c r="AA7" s="281">
        <f>Z7/'Hypothèses'!$B$39</f>
        <v>32547.24181</v>
      </c>
      <c r="AB7" s="282">
        <f>IF(AA7&lt;='Barème fiscal'!$B$4,'Barème fiscal'!$C$4,IF(AA7&lt;='Barème fiscal'!$B$5,'Barème fiscal'!$C$5,IF(AA7&lt;='Barème fiscal'!$B$6,'Barème fiscal'!$C$6,IF(AA7&lt;='Barème fiscal'!$B$7,'Barème fiscal'!$C$7,'Barème fiscal'!$C$8))))</f>
        <v>0.3</v>
      </c>
      <c r="AC7" s="283">
        <f t="shared" si="8"/>
        <v>0.1088806408</v>
      </c>
      <c r="AD7" s="284">
        <f>MAX(0,IF(Z7/2&lt;='Barème fiscal'!$B$4,0,IF(Z7/2&lt;='Barème fiscal'!$B$5,Z7*'Barème fiscal'!$C$5-'Barème fiscal'!$D$5*2,IF(Z7/2&lt;='Barème fiscal'!$B$6,Z7*'Barème fiscal'!$C$6-'Barème fiscal'!$D$6*2,IF(Z7/2&lt;='Barème fiscal'!$B$7,Z7*'Barème fiscal'!$C$7-'Barème fiscal'!$D$7*2,Z7*'Barème fiscal'!$C$8-'Barème fiscal'!$D$8*2)))))-MIN(MAX(IF(Z7/2&lt;='Barème fiscal'!$B$4,0,IF(Z7/2&lt;='Barème fiscal'!$B$5,Z7*'Barème fiscal'!$C$5-'Barème fiscal'!$D$5*2,IF(Z7/2&lt;='Barème fiscal'!$B$6,Z7*'Barème fiscal'!$C$6-'Barème fiscal'!$D$6*2,IF(Z7/2&lt;='Barème fiscal'!$B$7,Z7*'Barème fiscal'!$C$7-'Barème fiscal'!$D$7*2,Z7*'Barème fiscal'!$C$8-'Barème fiscal'!$D$8*2))))-MAX(0,IF(AA7&lt;='Barème fiscal'!$B$4,0,IF(AA7&lt;='Barème fiscal'!$B$5,Z7*'Barème fiscal'!$C$5-'Barème fiscal'!$D$5*'Hypothèses'!$B$39,IF(AA7&lt;='Barème fiscal'!$B$6,Z7*'Barème fiscal'!$C$6-'Barème fiscal'!$D$6*'Hypothèses'!$B$39,IF(AA7&lt;='Barème fiscal'!$B$7,Z7*'Barème fiscal'!$C$7-'Barème fiscal'!$D$7*'Hypothèses'!$B$39,Z7*'Barème fiscal'!$C$8-'Barème fiscal'!$D$8*'Hypothèses'!$B$39))))),0),MAX('Hypothèses'!$B$39-2,0)*2*'Barème fiscal'!$B$10)</f>
        <v>8859.411358</v>
      </c>
      <c r="AE7" s="281">
        <f>Y7*'Hypothèses'!$B$40</f>
        <v>0</v>
      </c>
      <c r="AF7" s="284">
        <f t="shared" si="9"/>
        <v>8859.411358</v>
      </c>
      <c r="AG7" s="284">
        <f t="shared" si="10"/>
        <v>3497.568642</v>
      </c>
      <c r="AH7" s="284">
        <f t="shared" si="11"/>
        <v>31560.88757</v>
      </c>
      <c r="AI7" s="284">
        <f>(B7-'Tableau dAMT financier'!G19-C7+AG7)/12</f>
        <v>-471.9109733</v>
      </c>
      <c r="AJ7" s="112"/>
      <c r="AK7" s="284">
        <f t="shared" si="18"/>
        <v>-27625.32906</v>
      </c>
      <c r="AL7" s="285">
        <f t="shared" si="19"/>
        <v>29120</v>
      </c>
      <c r="AM7" s="285">
        <f>MAX(0,A7*'Hypothèses'!$B$31*'Hypothèses'!$B$32-AL7)</f>
        <v>0</v>
      </c>
      <c r="AN7" s="285">
        <f>H7-('Hypothèses'!$B$4+MAX('Hypothèses'!$B$4*'Hypothèses'!$B$5,'Hypothèses'!$B$4*'Hypothèses'!$B$43)+IF(A7&gt;5,'Hypothèses'!$B$4*'Hypothèses'!$B$44,0)-AL7)</f>
        <v>9620</v>
      </c>
      <c r="AO7" s="286">
        <f t="shared" si="12"/>
        <v>0</v>
      </c>
      <c r="AP7" s="285">
        <f t="shared" si="13"/>
        <v>9620</v>
      </c>
      <c r="AQ7" s="286">
        <f t="shared" si="14"/>
        <v>0</v>
      </c>
      <c r="AR7" s="285">
        <f t="shared" si="15"/>
        <v>9620</v>
      </c>
      <c r="AS7" s="287">
        <f>IF(AN7&lt;=0,0,AP7*'Hypothèses'!$B$45+AR7*'Hypothèses'!$B$46+IF(AP7&lt;=50000,0,IF(AP7&lt;=60000,AP7*0.02-(60000-AP7)/20,IF(AP7&lt;=100000,AP7*0.02,IF(AP7&lt;=110000,AP7*0.03-(110000-AP7)/10,IF(AP7&lt;=150000,AP7*0.03,IF(AP7&lt;=160000,AP7*0.04-(160000-AP7)*3/20,IF(AP7&lt;=200000,AP7*0.04,IF(AP7&lt;=210000,AP7*0.05-(210000-AP7)/5,IF(AP7&lt;=250000,AP7*0.05,IF(AP7&lt;=260000,AP7*0.06-(260000-AP7)/4,AP7*0.06)))))))))))</f>
        <v>3482.44</v>
      </c>
      <c r="AT7" s="285">
        <v>0.0</v>
      </c>
      <c r="AU7" s="288">
        <f>IFERROR(IRR(B63:F63),"")</f>
        <v>-0.0568127297</v>
      </c>
      <c r="AV7" s="279">
        <f>MAX(0,I7)*'Barème fiscal'!$B$13</f>
        <v>340</v>
      </c>
      <c r="AW7" s="279">
        <f>Y7*'Barème fiscal'!$B$13</f>
        <v>0</v>
      </c>
    </row>
    <row r="8" ht="15.0" customHeight="1">
      <c r="A8" s="269">
        <v>5.0</v>
      </c>
      <c r="B8" s="270">
        <f>B7*(1+'Hypothèses'!$B$27)</f>
        <v>9552.271956</v>
      </c>
      <c r="C8" s="270">
        <f>B8*'Hypothèses'!$B$28</f>
        <v>2865.681587</v>
      </c>
      <c r="D8" s="270">
        <f>'Tableau dAMT financier'!E20</f>
        <v>7310.003722</v>
      </c>
      <c r="E8" s="270">
        <f>'Tableau dAMT financier'!F20</f>
        <v>884.8</v>
      </c>
      <c r="F8" s="270">
        <f>MIN('Hypothèses'!$B$34,MAX(0,'Hypothèses'!$B$31-AL7))</f>
        <v>7280</v>
      </c>
      <c r="G8" s="270">
        <f>'Tableau dAMT financier'!H20</f>
        <v>217403.2021</v>
      </c>
      <c r="H8" s="270">
        <f>H7*(1+index)</f>
        <v>260000</v>
      </c>
      <c r="I8" s="270">
        <f>I7*(1+index)</f>
        <v>5000</v>
      </c>
      <c r="J8" s="270">
        <f>'Hypothèses'!$B$50+I8-AV7</f>
        <v>90160</v>
      </c>
      <c r="K8" s="270">
        <f>J8/'Hypothèses'!$B$39</f>
        <v>36064</v>
      </c>
      <c r="L8" s="271">
        <f>IF(K8&lt;='Barème fiscal'!$B$4,'Barème fiscal'!$C$4,IF(K8&lt;='Barème fiscal'!$B$5,'Barème fiscal'!$C$5,IF(K8&lt;='Barème fiscal'!$B$6,'Barème fiscal'!$C$6,IF(K8&lt;='Barème fiscal'!$B$7,'Barème fiscal'!$C$7,'Barème fiscal'!$C$8))))</f>
        <v>0.3</v>
      </c>
      <c r="M8" s="272">
        <f t="shared" si="1"/>
        <v>0.1275175244</v>
      </c>
      <c r="N8" s="273">
        <f>MAX(0,IF(J8/2&lt;='Barème fiscal'!$B$4,0,IF(J8/2&lt;='Barème fiscal'!$B$5,J8*'Barème fiscal'!$C$5-'Barème fiscal'!$D$5*2,IF(J8/2&lt;='Barème fiscal'!$B$6,J8*'Barème fiscal'!$C$6-'Barème fiscal'!$D$6*2,IF(J8/2&lt;='Barème fiscal'!$B$7,J8*'Barème fiscal'!$C$7-'Barème fiscal'!$D$7*2,J8*'Barème fiscal'!$C$8-'Barème fiscal'!$D$8*2)))))-MIN(MAX(IF(J8/2&lt;='Barème fiscal'!$B$4,0,IF(J8/2&lt;='Barème fiscal'!$B$5,J8*'Barème fiscal'!$C$5-'Barème fiscal'!$D$5*2,IF(J8/2&lt;='Barème fiscal'!$B$6,J8*'Barème fiscal'!$C$6-'Barème fiscal'!$D$6*2,IF(J8/2&lt;='Barème fiscal'!$B$7,J8*'Barème fiscal'!$C$7-'Barème fiscal'!$D$7*2,J8*'Barème fiscal'!$C$8-'Barème fiscal'!$D$8*2))))-MAX(0,IF(K8&lt;='Barème fiscal'!$B$4,0,IF(K8&lt;='Barème fiscal'!$B$5,J8*'Barème fiscal'!$C$5-'Barème fiscal'!$D$5*'Hypothèses'!$B$39,IF(K8&lt;='Barème fiscal'!$B$6,J8*'Barème fiscal'!$C$6-'Barème fiscal'!$D$6*'Hypothèses'!$B$39,IF(K8&lt;='Barème fiscal'!$B$7,J8*'Barème fiscal'!$C$7-'Barème fiscal'!$D$7*'Hypothèses'!$B$39,J8*'Barème fiscal'!$C$8-'Barème fiscal'!$D$8*'Hypothèses'!$B$39))))),0),MAX('Hypothèses'!$B$39-2,0)*2*'Barème fiscal'!$B$10)</f>
        <v>11496.98</v>
      </c>
      <c r="O8" s="270">
        <f>MAX(0,I8)*'Hypothèses'!$B$40</f>
        <v>860</v>
      </c>
      <c r="P8" s="273">
        <f t="shared" si="2"/>
        <v>12356.98</v>
      </c>
      <c r="Q8" s="270">
        <f t="shared" si="3"/>
        <v>14552.27196</v>
      </c>
      <c r="R8" s="270">
        <f t="shared" si="16"/>
        <v>8194.803722</v>
      </c>
      <c r="S8" s="270">
        <f t="shared" si="4"/>
        <v>10145.68159</v>
      </c>
      <c r="T8" s="270">
        <f t="shared" si="5"/>
        <v>-3788.213353</v>
      </c>
      <c r="U8" s="273">
        <f>IF(T8&gt;=0,0,IF(Q8&gt;=R8,MAX(T8,-'Barème fiscal'!$B$11),MAX(-S8,-'Barème fiscal'!$B$11)))</f>
        <v>-3788.213353</v>
      </c>
      <c r="V8" s="270">
        <f>IF(T8&gt;=0,0,IF(Q8&gt;=R8,MAX(0,-T8-'Barème fiscal'!$B$11),(R8-Q8)+MAX(0,S8-'Barème fiscal'!$B$11)))</f>
        <v>0</v>
      </c>
      <c r="W8" s="273">
        <f t="shared" si="17"/>
        <v>0</v>
      </c>
      <c r="X8" s="273">
        <f t="shared" si="6"/>
        <v>0</v>
      </c>
      <c r="Y8" s="270">
        <f t="shared" si="7"/>
        <v>0</v>
      </c>
      <c r="Z8" s="270">
        <f>'Hypothèses'!$B$50+Y8+U8-AW7</f>
        <v>81711.78665</v>
      </c>
      <c r="AA8" s="270">
        <f>Z8/'Hypothèses'!$B$39</f>
        <v>32684.71466</v>
      </c>
      <c r="AB8" s="271">
        <f>IF(AA8&lt;='Barème fiscal'!$B$4,'Barème fiscal'!$C$4,IF(AA8&lt;='Barème fiscal'!$B$5,'Barème fiscal'!$C$5,IF(AA8&lt;='Barème fiscal'!$B$6,'Barème fiscal'!$C$6,IF(AA8&lt;='Barème fiscal'!$B$7,'Barème fiscal'!$C$7,'Barème fiscal'!$C$8))))</f>
        <v>0.3</v>
      </c>
      <c r="AC8" s="272">
        <f t="shared" si="8"/>
        <v>0.1096844943</v>
      </c>
      <c r="AD8" s="273">
        <f>MAX(0,IF(Z8/2&lt;='Barème fiscal'!$B$4,0,IF(Z8/2&lt;='Barème fiscal'!$B$5,Z8*'Barème fiscal'!$C$5-'Barème fiscal'!$D$5*2,IF(Z8/2&lt;='Barème fiscal'!$B$6,Z8*'Barème fiscal'!$C$6-'Barème fiscal'!$D$6*2,IF(Z8/2&lt;='Barème fiscal'!$B$7,Z8*'Barème fiscal'!$C$7-'Barème fiscal'!$D$7*2,Z8*'Barème fiscal'!$C$8-'Barème fiscal'!$D$8*2)))))-MIN(MAX(IF(Z8/2&lt;='Barème fiscal'!$B$4,0,IF(Z8/2&lt;='Barème fiscal'!$B$5,Z8*'Barème fiscal'!$C$5-'Barème fiscal'!$D$5*2,IF(Z8/2&lt;='Barème fiscal'!$B$6,Z8*'Barème fiscal'!$C$6-'Barème fiscal'!$D$6*2,IF(Z8/2&lt;='Barème fiscal'!$B$7,Z8*'Barème fiscal'!$C$7-'Barème fiscal'!$D$7*2,Z8*'Barème fiscal'!$C$8-'Barème fiscal'!$D$8*2))))-MAX(0,IF(AA8&lt;='Barème fiscal'!$B$4,0,IF(AA8&lt;='Barème fiscal'!$B$5,Z8*'Barème fiscal'!$C$5-'Barème fiscal'!$D$5*'Hypothèses'!$B$39,IF(AA8&lt;='Barème fiscal'!$B$6,Z8*'Barème fiscal'!$C$6-'Barème fiscal'!$D$6*'Hypothèses'!$B$39,IF(AA8&lt;='Barème fiscal'!$B$7,Z8*'Barème fiscal'!$C$7-'Barème fiscal'!$D$7*'Hypothèses'!$B$39,Z8*'Barème fiscal'!$C$8-'Barème fiscal'!$D$8*'Hypothèses'!$B$39))))),0),MAX('Hypothèses'!$B$39-2,0)*2*'Barème fiscal'!$B$10)</f>
        <v>8962.515994</v>
      </c>
      <c r="AE8" s="270">
        <f>Y8*'Hypothèses'!$B$40</f>
        <v>0</v>
      </c>
      <c r="AF8" s="273">
        <f t="shared" si="9"/>
        <v>8962.515994</v>
      </c>
      <c r="AG8" s="273">
        <f t="shared" si="10"/>
        <v>3394.464006</v>
      </c>
      <c r="AH8" s="273">
        <f t="shared" si="11"/>
        <v>36478.99793</v>
      </c>
      <c r="AI8" s="273">
        <f>(B8-'Tableau dAMT financier'!G20-C8+AG8)/12</f>
        <v>-472.2683091</v>
      </c>
      <c r="AJ8" s="112"/>
      <c r="AK8" s="273">
        <f t="shared" si="18"/>
        <v>-33292.54877</v>
      </c>
      <c r="AL8" s="275">
        <f t="shared" si="19"/>
        <v>36400</v>
      </c>
      <c r="AM8" s="275">
        <f>MAX(0,A8*'Hypothèses'!$B$31*'Hypothèses'!$B$32-AL8)</f>
        <v>0</v>
      </c>
      <c r="AN8" s="275">
        <f>H8-('Hypothèses'!$B$4+MAX('Hypothèses'!$B$4*'Hypothèses'!$B$5,'Hypothèses'!$B$4*'Hypothèses'!$B$43)+IF(A8&gt;5,'Hypothèses'!$B$4*'Hypothèses'!$B$44,0)-AL8)</f>
        <v>16900</v>
      </c>
      <c r="AO8" s="276">
        <f t="shared" si="12"/>
        <v>0</v>
      </c>
      <c r="AP8" s="275">
        <f t="shared" si="13"/>
        <v>16900</v>
      </c>
      <c r="AQ8" s="276">
        <f t="shared" si="14"/>
        <v>0</v>
      </c>
      <c r="AR8" s="275">
        <f t="shared" si="15"/>
        <v>16900</v>
      </c>
      <c r="AS8" s="277">
        <f>IF(AN8&lt;=0,0,AP8*'Hypothèses'!$B$45+AR8*'Hypothèses'!$B$46+IF(AP8&lt;=50000,0,IF(AP8&lt;=60000,AP8*0.02-(60000-AP8)/20,IF(AP8&lt;=100000,AP8*0.02,IF(AP8&lt;=110000,AP8*0.03-(110000-AP8)/10,IF(AP8&lt;=150000,AP8*0.03,IF(AP8&lt;=160000,AP8*0.04-(160000-AP8)*3/20,IF(AP8&lt;=200000,AP8*0.04,IF(AP8&lt;=210000,AP8*0.05-(210000-AP8)/5,IF(AP8&lt;=250000,AP8*0.05,IF(AP8&lt;=260000,AP8*0.06-(260000-AP8)/4,AP8*0.06)))))))))))</f>
        <v>6117.8</v>
      </c>
      <c r="AT8" s="275">
        <v>0.0</v>
      </c>
      <c r="AU8" s="278">
        <f>IFERROR(IRR(B64:G64),"")</f>
        <v>-0.04706480332</v>
      </c>
      <c r="AV8" s="279">
        <f>MAX(0,I8)*'Barème fiscal'!$B$13</f>
        <v>340</v>
      </c>
      <c r="AW8" s="279">
        <f>Y8*'Barème fiscal'!$B$13</f>
        <v>0</v>
      </c>
    </row>
    <row r="9" ht="15.0" customHeight="1">
      <c r="A9" s="280">
        <v>6.0</v>
      </c>
      <c r="B9" s="281">
        <f>B8*(1+'Hypothèses'!$B$27)</f>
        <v>9695.556035</v>
      </c>
      <c r="C9" s="281">
        <f>B9*'Hypothèses'!$B$28</f>
        <v>2908.66681</v>
      </c>
      <c r="D9" s="281">
        <f>'Tableau dAMT financier'!E21</f>
        <v>7056.934299</v>
      </c>
      <c r="E9" s="281">
        <f>'Tableau dAMT financier'!F21</f>
        <v>884.8</v>
      </c>
      <c r="F9" s="281">
        <f>MIN('Hypothèses'!$B$34,MAX(0,'Hypothèses'!$B$31-AL8))</f>
        <v>7280</v>
      </c>
      <c r="G9" s="281">
        <f>'Tableau dAMT financier'!H21</f>
        <v>209596.6623</v>
      </c>
      <c r="H9" s="281">
        <f>H8*(1+index)</f>
        <v>260000</v>
      </c>
      <c r="I9" s="281">
        <f>I8*(1+index)</f>
        <v>5000</v>
      </c>
      <c r="J9" s="281">
        <f>'Hypothèses'!$B$50+I9-AV8</f>
        <v>90160</v>
      </c>
      <c r="K9" s="281">
        <f>J9/'Hypothèses'!$B$39</f>
        <v>36064</v>
      </c>
      <c r="L9" s="282">
        <f>IF(K9&lt;='Barème fiscal'!$B$4,'Barème fiscal'!$C$4,IF(K9&lt;='Barème fiscal'!$B$5,'Barème fiscal'!$C$5,IF(K9&lt;='Barème fiscal'!$B$6,'Barème fiscal'!$C$6,IF(K9&lt;='Barème fiscal'!$B$7,'Barème fiscal'!$C$7,'Barème fiscal'!$C$8))))</f>
        <v>0.3</v>
      </c>
      <c r="M9" s="283">
        <f t="shared" si="1"/>
        <v>0.1275175244</v>
      </c>
      <c r="N9" s="284">
        <f>MAX(0,IF(J9/2&lt;='Barème fiscal'!$B$4,0,IF(J9/2&lt;='Barème fiscal'!$B$5,J9*'Barème fiscal'!$C$5-'Barème fiscal'!$D$5*2,IF(J9/2&lt;='Barème fiscal'!$B$6,J9*'Barème fiscal'!$C$6-'Barème fiscal'!$D$6*2,IF(J9/2&lt;='Barème fiscal'!$B$7,J9*'Barème fiscal'!$C$7-'Barème fiscal'!$D$7*2,J9*'Barème fiscal'!$C$8-'Barème fiscal'!$D$8*2)))))-MIN(MAX(IF(J9/2&lt;='Barème fiscal'!$B$4,0,IF(J9/2&lt;='Barème fiscal'!$B$5,J9*'Barème fiscal'!$C$5-'Barème fiscal'!$D$5*2,IF(J9/2&lt;='Barème fiscal'!$B$6,J9*'Barème fiscal'!$C$6-'Barème fiscal'!$D$6*2,IF(J9/2&lt;='Barème fiscal'!$B$7,J9*'Barème fiscal'!$C$7-'Barème fiscal'!$D$7*2,J9*'Barème fiscal'!$C$8-'Barème fiscal'!$D$8*2))))-MAX(0,IF(K9&lt;='Barème fiscal'!$B$4,0,IF(K9&lt;='Barème fiscal'!$B$5,J9*'Barème fiscal'!$C$5-'Barème fiscal'!$D$5*'Hypothèses'!$B$39,IF(K9&lt;='Barème fiscal'!$B$6,J9*'Barème fiscal'!$C$6-'Barème fiscal'!$D$6*'Hypothèses'!$B$39,IF(K9&lt;='Barème fiscal'!$B$7,J9*'Barème fiscal'!$C$7-'Barème fiscal'!$D$7*'Hypothèses'!$B$39,J9*'Barème fiscal'!$C$8-'Barème fiscal'!$D$8*'Hypothèses'!$B$39))))),0),MAX('Hypothèses'!$B$39-2,0)*2*'Barème fiscal'!$B$10)</f>
        <v>11496.98</v>
      </c>
      <c r="O9" s="281">
        <f>MAX(0,I9)*'Hypothèses'!$B$40</f>
        <v>860</v>
      </c>
      <c r="P9" s="284">
        <f t="shared" si="2"/>
        <v>12356.98</v>
      </c>
      <c r="Q9" s="281">
        <f t="shared" si="3"/>
        <v>14695.55603</v>
      </c>
      <c r="R9" s="281">
        <f t="shared" si="16"/>
        <v>7941.734299</v>
      </c>
      <c r="S9" s="281">
        <f t="shared" si="4"/>
        <v>10188.66681</v>
      </c>
      <c r="T9" s="281">
        <f t="shared" si="5"/>
        <v>-3434.845075</v>
      </c>
      <c r="U9" s="284">
        <f>IF(T9&gt;=0,0,IF(Q9&gt;=R9,MAX(T9,-'Barème fiscal'!$B$11),MAX(-S9,-'Barème fiscal'!$B$11)))</f>
        <v>-3434.845075</v>
      </c>
      <c r="V9" s="281">
        <f>IF(T9&gt;=0,0,IF(Q9&gt;=R9,MAX(0,-T9-'Barème fiscal'!$B$11),(R9-Q9)+MAX(0,S9-'Barème fiscal'!$B$11)))</f>
        <v>0</v>
      </c>
      <c r="W9" s="284">
        <f t="shared" si="17"/>
        <v>0</v>
      </c>
      <c r="X9" s="284">
        <f t="shared" si="6"/>
        <v>0</v>
      </c>
      <c r="Y9" s="281">
        <f t="shared" si="7"/>
        <v>0</v>
      </c>
      <c r="Z9" s="281">
        <f>'Hypothèses'!$B$50+Y9+U9-AW8</f>
        <v>82065.15492</v>
      </c>
      <c r="AA9" s="281">
        <f>Z9/'Hypothèses'!$B$39</f>
        <v>32826.06197</v>
      </c>
      <c r="AB9" s="282">
        <f>IF(AA9&lt;='Barème fiscal'!$B$4,'Barème fiscal'!$C$4,IF(AA9&lt;='Barème fiscal'!$B$5,'Barème fiscal'!$C$5,IF(AA9&lt;='Barème fiscal'!$B$6,'Barème fiscal'!$C$6,IF(AA9&lt;='Barème fiscal'!$B$7,'Barème fiscal'!$C$7,'Barème fiscal'!$C$8))))</f>
        <v>0.3</v>
      </c>
      <c r="AC9" s="283">
        <f t="shared" si="8"/>
        <v>0.1105039829</v>
      </c>
      <c r="AD9" s="284">
        <f>MAX(0,IF(Z9/2&lt;='Barème fiscal'!$B$4,0,IF(Z9/2&lt;='Barème fiscal'!$B$5,Z9*'Barème fiscal'!$C$5-'Barème fiscal'!$D$5*2,IF(Z9/2&lt;='Barème fiscal'!$B$6,Z9*'Barème fiscal'!$C$6-'Barème fiscal'!$D$6*2,IF(Z9/2&lt;='Barème fiscal'!$B$7,Z9*'Barème fiscal'!$C$7-'Barème fiscal'!$D$7*2,Z9*'Barème fiscal'!$C$8-'Barème fiscal'!$D$8*2)))))-MIN(MAX(IF(Z9/2&lt;='Barème fiscal'!$B$4,0,IF(Z9/2&lt;='Barème fiscal'!$B$5,Z9*'Barème fiscal'!$C$5-'Barème fiscal'!$D$5*2,IF(Z9/2&lt;='Barème fiscal'!$B$6,Z9*'Barème fiscal'!$C$6-'Barème fiscal'!$D$6*2,IF(Z9/2&lt;='Barème fiscal'!$B$7,Z9*'Barème fiscal'!$C$7-'Barème fiscal'!$D$7*2,Z9*'Barème fiscal'!$C$8-'Barème fiscal'!$D$8*2))))-MAX(0,IF(AA9&lt;='Barème fiscal'!$B$4,0,IF(AA9&lt;='Barème fiscal'!$B$5,Z9*'Barème fiscal'!$C$5-'Barème fiscal'!$D$5*'Hypothèses'!$B$39,IF(AA9&lt;='Barème fiscal'!$B$6,Z9*'Barème fiscal'!$C$6-'Barème fiscal'!$D$6*'Hypothèses'!$B$39,IF(AA9&lt;='Barème fiscal'!$B$7,Z9*'Barème fiscal'!$C$7-'Barème fiscal'!$D$7*'Hypothèses'!$B$39,Z9*'Barème fiscal'!$C$8-'Barème fiscal'!$D$8*'Hypothèses'!$B$39))))),0),MAX('Hypothèses'!$B$39-2,0)*2*'Barème fiscal'!$B$10)</f>
        <v>9068.526477</v>
      </c>
      <c r="AE9" s="281">
        <f>Y9*'Hypothèses'!$B$40</f>
        <v>0</v>
      </c>
      <c r="AF9" s="284">
        <f t="shared" si="9"/>
        <v>9068.526477</v>
      </c>
      <c r="AG9" s="284">
        <f t="shared" si="10"/>
        <v>3288.453523</v>
      </c>
      <c r="AH9" s="284">
        <f t="shared" si="11"/>
        <v>50403.33771</v>
      </c>
      <c r="AI9" s="284">
        <f>(B9-'Tableau dAMT financier'!G21-C9+AG9)/12</f>
        <v>-472.7442781</v>
      </c>
      <c r="AJ9" s="112"/>
      <c r="AK9" s="284">
        <f t="shared" si="18"/>
        <v>-38965.48011</v>
      </c>
      <c r="AL9" s="285">
        <f t="shared" si="19"/>
        <v>43680</v>
      </c>
      <c r="AM9" s="285">
        <f>MAX(0,A9*'Hypothèses'!$B$31*'Hypothèses'!$B$32-AL9)</f>
        <v>0</v>
      </c>
      <c r="AN9" s="285">
        <f>H9-('Hypothèses'!$B$4+MAX('Hypothèses'!$B$4*'Hypothèses'!$B$5,'Hypothèses'!$B$4*'Hypothèses'!$B$43)+IF(A9&gt;5,'Hypothèses'!$B$4*'Hypothèses'!$B$44,0)-AL9)</f>
        <v>-14820</v>
      </c>
      <c r="AO9" s="286">
        <f t="shared" si="12"/>
        <v>0.06</v>
      </c>
      <c r="AP9" s="285">
        <f t="shared" si="13"/>
        <v>0</v>
      </c>
      <c r="AQ9" s="286">
        <f t="shared" si="14"/>
        <v>0.0165</v>
      </c>
      <c r="AR9" s="285">
        <f t="shared" si="15"/>
        <v>0</v>
      </c>
      <c r="AS9" s="287">
        <f>IF(AN9&lt;=0,0,AP9*'Hypothèses'!$B$45+AR9*'Hypothèses'!$B$46+IF(AP9&lt;=50000,0,IF(AP9&lt;=60000,AP9*0.02-(60000-AP9)/20,IF(AP9&lt;=100000,AP9*0.02,IF(AP9&lt;=110000,AP9*0.03-(110000-AP9)/10,IF(AP9&lt;=150000,AP9*0.03,IF(AP9&lt;=160000,AP9*0.04-(160000-AP9)*3/20,IF(AP9&lt;=200000,AP9*0.04,IF(AP9&lt;=210000,AP9*0.05-(210000-AP9)/5,IF(AP9&lt;=250000,AP9*0.05,IF(AP9&lt;=260000,AP9*0.06-(260000-AP9)/4,AP9*0.06)))))))))))</f>
        <v>0</v>
      </c>
      <c r="AT9" s="285">
        <v>0.0</v>
      </c>
      <c r="AU9" s="288">
        <f>IFERROR(IRR(B65:H65),"")</f>
        <v>0.01570355587</v>
      </c>
      <c r="AV9" s="279">
        <f>MAX(0,I9)*'Barème fiscal'!$B$13</f>
        <v>340</v>
      </c>
      <c r="AW9" s="279">
        <f>Y9*'Barème fiscal'!$B$13</f>
        <v>0</v>
      </c>
    </row>
    <row r="10" ht="15.0" customHeight="1">
      <c r="A10" s="269">
        <v>7.0</v>
      </c>
      <c r="B10" s="270">
        <f>B9*(1+'Hypothèses'!$B$27)</f>
        <v>9840.989375</v>
      </c>
      <c r="C10" s="270">
        <f>B10*'Hypothèses'!$B$28</f>
        <v>2952.296813</v>
      </c>
      <c r="D10" s="270">
        <f>'Tableau dAMT financier'!E22</f>
        <v>6795.386108</v>
      </c>
      <c r="E10" s="270">
        <f>'Tableau dAMT financier'!F22</f>
        <v>884.8</v>
      </c>
      <c r="F10" s="270">
        <f>MIN('Hypothèses'!$B$34,MAX(0,'Hypothèses'!$B$31-AL9))</f>
        <v>7280</v>
      </c>
      <c r="G10" s="270">
        <f>'Tableau dAMT financier'!H22</f>
        <v>201528.5743</v>
      </c>
      <c r="H10" s="270">
        <f>H9*(1+index)</f>
        <v>260000</v>
      </c>
      <c r="I10" s="270">
        <f>I9*(1+index)</f>
        <v>5000</v>
      </c>
      <c r="J10" s="270">
        <f>'Hypothèses'!$B$50+I10-AV9</f>
        <v>90160</v>
      </c>
      <c r="K10" s="270">
        <f>J10/'Hypothèses'!$B$39</f>
        <v>36064</v>
      </c>
      <c r="L10" s="271">
        <f>IF(K10&lt;='Barème fiscal'!$B$4,'Barème fiscal'!$C$4,IF(K10&lt;='Barème fiscal'!$B$5,'Barème fiscal'!$C$5,IF(K10&lt;='Barème fiscal'!$B$6,'Barème fiscal'!$C$6,IF(K10&lt;='Barème fiscal'!$B$7,'Barème fiscal'!$C$7,'Barème fiscal'!$C$8))))</f>
        <v>0.3</v>
      </c>
      <c r="M10" s="272">
        <f t="shared" si="1"/>
        <v>0.1275175244</v>
      </c>
      <c r="N10" s="273">
        <f>MAX(0,IF(J10/2&lt;='Barème fiscal'!$B$4,0,IF(J10/2&lt;='Barème fiscal'!$B$5,J10*'Barème fiscal'!$C$5-'Barème fiscal'!$D$5*2,IF(J10/2&lt;='Barème fiscal'!$B$6,J10*'Barème fiscal'!$C$6-'Barème fiscal'!$D$6*2,IF(J10/2&lt;='Barème fiscal'!$B$7,J10*'Barème fiscal'!$C$7-'Barème fiscal'!$D$7*2,J10*'Barème fiscal'!$C$8-'Barème fiscal'!$D$8*2)))))-MIN(MAX(IF(J10/2&lt;='Barème fiscal'!$B$4,0,IF(J10/2&lt;='Barème fiscal'!$B$5,J10*'Barème fiscal'!$C$5-'Barème fiscal'!$D$5*2,IF(J10/2&lt;='Barème fiscal'!$B$6,J10*'Barème fiscal'!$C$6-'Barème fiscal'!$D$6*2,IF(J10/2&lt;='Barème fiscal'!$B$7,J10*'Barème fiscal'!$C$7-'Barème fiscal'!$D$7*2,J10*'Barème fiscal'!$C$8-'Barème fiscal'!$D$8*2))))-MAX(0,IF(K10&lt;='Barème fiscal'!$B$4,0,IF(K10&lt;='Barème fiscal'!$B$5,J10*'Barème fiscal'!$C$5-'Barème fiscal'!$D$5*'Hypothèses'!$B$39,IF(K10&lt;='Barème fiscal'!$B$6,J10*'Barème fiscal'!$C$6-'Barème fiscal'!$D$6*'Hypothèses'!$B$39,IF(K10&lt;='Barème fiscal'!$B$7,J10*'Barème fiscal'!$C$7-'Barème fiscal'!$D$7*'Hypothèses'!$B$39,J10*'Barème fiscal'!$C$8-'Barème fiscal'!$D$8*'Hypothèses'!$B$39))))),0),MAX('Hypothèses'!$B$39-2,0)*2*'Barème fiscal'!$B$10)</f>
        <v>11496.98</v>
      </c>
      <c r="O10" s="270">
        <f>MAX(0,I10)*'Hypothèses'!$B$40</f>
        <v>860</v>
      </c>
      <c r="P10" s="273">
        <f t="shared" si="2"/>
        <v>12356.98</v>
      </c>
      <c r="Q10" s="270">
        <f t="shared" si="3"/>
        <v>14840.98938</v>
      </c>
      <c r="R10" s="270">
        <f t="shared" si="16"/>
        <v>7680.186108</v>
      </c>
      <c r="S10" s="270">
        <f t="shared" si="4"/>
        <v>10232.29681</v>
      </c>
      <c r="T10" s="270">
        <f t="shared" si="5"/>
        <v>-3071.493545</v>
      </c>
      <c r="U10" s="273">
        <f>IF(T10&gt;=0,0,IF(Q10&gt;=R10,MAX(T10,-'Barème fiscal'!$B$11),MAX(-S10,-'Barème fiscal'!$B$11)))</f>
        <v>-3071.493545</v>
      </c>
      <c r="V10" s="270">
        <f>IF(T10&gt;=0,0,IF(Q10&gt;=R10,MAX(0,-T10-'Barème fiscal'!$B$11),(R10-Q10)+MAX(0,S10-'Barème fiscal'!$B$11)))</f>
        <v>0</v>
      </c>
      <c r="W10" s="273">
        <f t="shared" si="17"/>
        <v>0</v>
      </c>
      <c r="X10" s="273">
        <f t="shared" si="6"/>
        <v>0</v>
      </c>
      <c r="Y10" s="270">
        <f t="shared" si="7"/>
        <v>0</v>
      </c>
      <c r="Z10" s="270">
        <f>'Hypothèses'!$B$50+Y10+U10-AW9</f>
        <v>82428.50645</v>
      </c>
      <c r="AA10" s="270">
        <f>Z10/'Hypothèses'!$B$39</f>
        <v>32971.40258</v>
      </c>
      <c r="AB10" s="271">
        <f>IF(AA10&lt;='Barème fiscal'!$B$4,'Barème fiscal'!$C$4,IF(AA10&lt;='Barème fiscal'!$B$5,'Barème fiscal'!$C$5,IF(AA10&lt;='Barème fiscal'!$B$6,'Barème fiscal'!$C$6,IF(AA10&lt;='Barème fiscal'!$B$7,'Barème fiscal'!$C$7,'Barème fiscal'!$C$8))))</f>
        <v>0.3</v>
      </c>
      <c r="AC10" s="272">
        <f t="shared" si="8"/>
        <v>0.1113392967</v>
      </c>
      <c r="AD10" s="273">
        <f>MAX(0,IF(Z10/2&lt;='Barème fiscal'!$B$4,0,IF(Z10/2&lt;='Barème fiscal'!$B$5,Z10*'Barème fiscal'!$C$5-'Barème fiscal'!$D$5*2,IF(Z10/2&lt;='Barème fiscal'!$B$6,Z10*'Barème fiscal'!$C$6-'Barème fiscal'!$D$6*2,IF(Z10/2&lt;='Barème fiscal'!$B$7,Z10*'Barème fiscal'!$C$7-'Barème fiscal'!$D$7*2,Z10*'Barème fiscal'!$C$8-'Barème fiscal'!$D$8*2)))))-MIN(MAX(IF(Z10/2&lt;='Barème fiscal'!$B$4,0,IF(Z10/2&lt;='Barème fiscal'!$B$5,Z10*'Barème fiscal'!$C$5-'Barème fiscal'!$D$5*2,IF(Z10/2&lt;='Barème fiscal'!$B$6,Z10*'Barème fiscal'!$C$6-'Barème fiscal'!$D$6*2,IF(Z10/2&lt;='Barème fiscal'!$B$7,Z10*'Barème fiscal'!$C$7-'Barème fiscal'!$D$7*2,Z10*'Barème fiscal'!$C$8-'Barème fiscal'!$D$8*2))))-MAX(0,IF(AA10&lt;='Barème fiscal'!$B$4,0,IF(AA10&lt;='Barème fiscal'!$B$5,Z10*'Barème fiscal'!$C$5-'Barème fiscal'!$D$5*'Hypothèses'!$B$39,IF(AA10&lt;='Barème fiscal'!$B$6,Z10*'Barème fiscal'!$C$6-'Barème fiscal'!$D$6*'Hypothèses'!$B$39,IF(AA10&lt;='Barème fiscal'!$B$7,Z10*'Barème fiscal'!$C$7-'Barème fiscal'!$D$7*'Hypothèses'!$B$39,Z10*'Barème fiscal'!$C$8-'Barème fiscal'!$D$8*'Hypothèses'!$B$39))))),0),MAX('Hypothèses'!$B$39-2,0)*2*'Barème fiscal'!$B$10)</f>
        <v>9177.531936</v>
      </c>
      <c r="AE10" s="270">
        <f>Y10*'Hypothèses'!$B$40</f>
        <v>0</v>
      </c>
      <c r="AF10" s="273">
        <f t="shared" si="9"/>
        <v>9177.531936</v>
      </c>
      <c r="AG10" s="273">
        <f t="shared" si="10"/>
        <v>3179.448064</v>
      </c>
      <c r="AH10" s="273">
        <f t="shared" si="11"/>
        <v>58471.42569</v>
      </c>
      <c r="AI10" s="273">
        <f>(B10-'Tableau dAMT financier'!G22-C10+AG10)/12</f>
        <v>-473.3444548</v>
      </c>
      <c r="AJ10" s="112"/>
      <c r="AK10" s="273">
        <f t="shared" si="18"/>
        <v>-44645.61357</v>
      </c>
      <c r="AL10" s="275">
        <f t="shared" si="19"/>
        <v>50960</v>
      </c>
      <c r="AM10" s="275">
        <f>MAX(0,A10*'Hypothèses'!$B$31*'Hypothèses'!$B$32-AL10)</f>
        <v>0</v>
      </c>
      <c r="AN10" s="275">
        <f>H10-('Hypothèses'!$B$4+MAX('Hypothèses'!$B$4*'Hypothèses'!$B$5,'Hypothèses'!$B$4*'Hypothèses'!$B$43)+IF(A10&gt;5,'Hypothèses'!$B$4*'Hypothèses'!$B$44,0)-AL10)</f>
        <v>-7540</v>
      </c>
      <c r="AO10" s="276">
        <f t="shared" si="12"/>
        <v>0.12</v>
      </c>
      <c r="AP10" s="275">
        <f t="shared" si="13"/>
        <v>0</v>
      </c>
      <c r="AQ10" s="276">
        <f t="shared" si="14"/>
        <v>0.033</v>
      </c>
      <c r="AR10" s="275">
        <f t="shared" si="15"/>
        <v>0</v>
      </c>
      <c r="AS10" s="277">
        <f>IF(AN10&lt;=0,0,AP10*'Hypothèses'!$B$45+AR10*'Hypothèses'!$B$46+IF(AP10&lt;=50000,0,IF(AP10&lt;=60000,AP10*0.02-(60000-AP10)/20,IF(AP10&lt;=100000,AP10*0.02,IF(AP10&lt;=110000,AP10*0.03-(110000-AP10)/10,IF(AP10&lt;=150000,AP10*0.03,IF(AP10&lt;=160000,AP10*0.04-(160000-AP10)*3/20,IF(AP10&lt;=200000,AP10*0.04,IF(AP10&lt;=210000,AP10*0.05-(210000-AP10)/5,IF(AP10&lt;=250000,AP10*0.05,IF(AP10&lt;=260000,AP10*0.06-(260000-AP10)/4,AP10*0.06)))))))))))</f>
        <v>0</v>
      </c>
      <c r="AT10" s="275">
        <v>0.0</v>
      </c>
      <c r="AU10" s="278">
        <f>IFERROR(IRR(B66:I66),"")</f>
        <v>0.02247687958</v>
      </c>
      <c r="AV10" s="279">
        <f>MAX(0,I10)*'Barème fiscal'!$B$13</f>
        <v>340</v>
      </c>
      <c r="AW10" s="279">
        <f>Y10*'Barème fiscal'!$B$13</f>
        <v>0</v>
      </c>
    </row>
    <row r="11" ht="15.0" customHeight="1">
      <c r="A11" s="280">
        <v>8.0</v>
      </c>
      <c r="B11" s="281">
        <f>B10*(1+'Hypothèses'!$B$27)</f>
        <v>9988.604216</v>
      </c>
      <c r="C11" s="281">
        <f>B11*'Hypothèses'!$B$28</f>
        <v>2996.581265</v>
      </c>
      <c r="D11" s="281">
        <f>'Tableau dAMT financier'!E23</f>
        <v>6525.075077</v>
      </c>
      <c r="E11" s="281">
        <f>'Tableau dAMT financier'!F23</f>
        <v>884.8</v>
      </c>
      <c r="F11" s="281">
        <f>MIN('Hypothèses'!$B$34,MAX(0,'Hypothèses'!$B$31-AL10))</f>
        <v>7280</v>
      </c>
      <c r="G11" s="281">
        <f>'Tableau dAMT financier'!H23</f>
        <v>193190.1753</v>
      </c>
      <c r="H11" s="281">
        <f>H10*(1+index)</f>
        <v>260000</v>
      </c>
      <c r="I11" s="281">
        <f>I10*(1+index)</f>
        <v>5000</v>
      </c>
      <c r="J11" s="281">
        <f>'Hypothèses'!$B$50+I11-AV10</f>
        <v>90160</v>
      </c>
      <c r="K11" s="281">
        <f>J11/'Hypothèses'!$B$39</f>
        <v>36064</v>
      </c>
      <c r="L11" s="282">
        <f>IF(K11&lt;='Barème fiscal'!$B$4,'Barème fiscal'!$C$4,IF(K11&lt;='Barème fiscal'!$B$5,'Barème fiscal'!$C$5,IF(K11&lt;='Barème fiscal'!$B$6,'Barème fiscal'!$C$6,IF(K11&lt;='Barème fiscal'!$B$7,'Barème fiscal'!$C$7,'Barème fiscal'!$C$8))))</f>
        <v>0.3</v>
      </c>
      <c r="M11" s="283">
        <f t="shared" si="1"/>
        <v>0.1275175244</v>
      </c>
      <c r="N11" s="284">
        <f>MAX(0,IF(J11/2&lt;='Barème fiscal'!$B$4,0,IF(J11/2&lt;='Barème fiscal'!$B$5,J11*'Barème fiscal'!$C$5-'Barème fiscal'!$D$5*2,IF(J11/2&lt;='Barème fiscal'!$B$6,J11*'Barème fiscal'!$C$6-'Barème fiscal'!$D$6*2,IF(J11/2&lt;='Barème fiscal'!$B$7,J11*'Barème fiscal'!$C$7-'Barème fiscal'!$D$7*2,J11*'Barème fiscal'!$C$8-'Barème fiscal'!$D$8*2)))))-MIN(MAX(IF(J11/2&lt;='Barème fiscal'!$B$4,0,IF(J11/2&lt;='Barème fiscal'!$B$5,J11*'Barème fiscal'!$C$5-'Barème fiscal'!$D$5*2,IF(J11/2&lt;='Barème fiscal'!$B$6,J11*'Barème fiscal'!$C$6-'Barème fiscal'!$D$6*2,IF(J11/2&lt;='Barème fiscal'!$B$7,J11*'Barème fiscal'!$C$7-'Barème fiscal'!$D$7*2,J11*'Barème fiscal'!$C$8-'Barème fiscal'!$D$8*2))))-MAX(0,IF(K11&lt;='Barème fiscal'!$B$4,0,IF(K11&lt;='Barème fiscal'!$B$5,J11*'Barème fiscal'!$C$5-'Barème fiscal'!$D$5*'Hypothèses'!$B$39,IF(K11&lt;='Barème fiscal'!$B$6,J11*'Barème fiscal'!$C$6-'Barème fiscal'!$D$6*'Hypothèses'!$B$39,IF(K11&lt;='Barème fiscal'!$B$7,J11*'Barème fiscal'!$C$7-'Barème fiscal'!$D$7*'Hypothèses'!$B$39,J11*'Barème fiscal'!$C$8-'Barème fiscal'!$D$8*'Hypothèses'!$B$39))))),0),MAX('Hypothèses'!$B$39-2,0)*2*'Barème fiscal'!$B$10)</f>
        <v>11496.98</v>
      </c>
      <c r="O11" s="281">
        <f>MAX(0,I11)*'Hypothèses'!$B$40</f>
        <v>860</v>
      </c>
      <c r="P11" s="284">
        <f t="shared" si="2"/>
        <v>12356.98</v>
      </c>
      <c r="Q11" s="281">
        <f t="shared" si="3"/>
        <v>14988.60422</v>
      </c>
      <c r="R11" s="281">
        <f t="shared" si="16"/>
        <v>7409.875077</v>
      </c>
      <c r="S11" s="281">
        <f t="shared" si="4"/>
        <v>10276.58126</v>
      </c>
      <c r="T11" s="281">
        <f t="shared" si="5"/>
        <v>-2697.852126</v>
      </c>
      <c r="U11" s="284">
        <f>IF(T11&gt;=0,0,IF(Q11&gt;=R11,MAX(T11,-'Barème fiscal'!$B$11),MAX(-S11,-'Barème fiscal'!$B$11)))</f>
        <v>-2697.852126</v>
      </c>
      <c r="V11" s="281">
        <f>IF(T11&gt;=0,0,IF(Q11&gt;=R11,MAX(0,-T11-'Barème fiscal'!$B$11),(R11-Q11)+MAX(0,S11-'Barème fiscal'!$B$11)))</f>
        <v>0</v>
      </c>
      <c r="W11" s="284">
        <f t="shared" si="17"/>
        <v>0</v>
      </c>
      <c r="X11" s="284">
        <f t="shared" si="6"/>
        <v>0</v>
      </c>
      <c r="Y11" s="281">
        <f t="shared" si="7"/>
        <v>0</v>
      </c>
      <c r="Z11" s="281">
        <f>'Hypothèses'!$B$50+Y11+U11-AW10</f>
        <v>82802.14787</v>
      </c>
      <c r="AA11" s="281">
        <f>Z11/'Hypothèses'!$B$39</f>
        <v>33120.85915</v>
      </c>
      <c r="AB11" s="282">
        <f>IF(AA11&lt;='Barème fiscal'!$B$4,'Barème fiscal'!$C$4,IF(AA11&lt;='Barème fiscal'!$B$5,'Barème fiscal'!$C$5,IF(AA11&lt;='Barème fiscal'!$B$6,'Barème fiscal'!$C$6,IF(AA11&lt;='Barème fiscal'!$B$7,'Barème fiscal'!$C$7,'Barème fiscal'!$C$8))))</f>
        <v>0.3</v>
      </c>
      <c r="AC11" s="283">
        <f t="shared" si="8"/>
        <v>0.1121906207</v>
      </c>
      <c r="AD11" s="284">
        <f>MAX(0,IF(Z11/2&lt;='Barème fiscal'!$B$4,0,IF(Z11/2&lt;='Barème fiscal'!$B$5,Z11*'Barème fiscal'!$C$5-'Barème fiscal'!$D$5*2,IF(Z11/2&lt;='Barème fiscal'!$B$6,Z11*'Barème fiscal'!$C$6-'Barème fiscal'!$D$6*2,IF(Z11/2&lt;='Barème fiscal'!$B$7,Z11*'Barème fiscal'!$C$7-'Barème fiscal'!$D$7*2,Z11*'Barème fiscal'!$C$8-'Barème fiscal'!$D$8*2)))))-MIN(MAX(IF(Z11/2&lt;='Barème fiscal'!$B$4,0,IF(Z11/2&lt;='Barème fiscal'!$B$5,Z11*'Barème fiscal'!$C$5-'Barème fiscal'!$D$5*2,IF(Z11/2&lt;='Barème fiscal'!$B$6,Z11*'Barème fiscal'!$C$6-'Barème fiscal'!$D$6*2,IF(Z11/2&lt;='Barème fiscal'!$B$7,Z11*'Barème fiscal'!$C$7-'Barème fiscal'!$D$7*2,Z11*'Barème fiscal'!$C$8-'Barème fiscal'!$D$8*2))))-MAX(0,IF(AA11&lt;='Barème fiscal'!$B$4,0,IF(AA11&lt;='Barème fiscal'!$B$5,Z11*'Barème fiscal'!$C$5-'Barème fiscal'!$D$5*'Hypothèses'!$B$39,IF(AA11&lt;='Barème fiscal'!$B$6,Z11*'Barème fiscal'!$C$6-'Barème fiscal'!$D$6*'Hypothèses'!$B$39,IF(AA11&lt;='Barème fiscal'!$B$7,Z11*'Barème fiscal'!$C$7-'Barème fiscal'!$D$7*'Hypothèses'!$B$39,Z11*'Barème fiscal'!$C$8-'Barème fiscal'!$D$8*'Hypothèses'!$B$39))))),0),MAX('Hypothèses'!$B$39-2,0)*2*'Barème fiscal'!$B$10)</f>
        <v>9289.624362</v>
      </c>
      <c r="AE11" s="281">
        <f>Y11*'Hypothèses'!$B$40</f>
        <v>0</v>
      </c>
      <c r="AF11" s="284">
        <f t="shared" si="9"/>
        <v>9289.624362</v>
      </c>
      <c r="AG11" s="284">
        <f t="shared" si="10"/>
        <v>3067.355638</v>
      </c>
      <c r="AH11" s="284">
        <f t="shared" si="11"/>
        <v>66809.8247</v>
      </c>
      <c r="AI11" s="284">
        <f>(B11-'Tableau dAMT financier'!G23-C11+AG11)/12</f>
        <v>-474.0746246</v>
      </c>
      <c r="AJ11" s="112"/>
      <c r="AK11" s="284">
        <f t="shared" si="18"/>
        <v>-50334.50906</v>
      </c>
      <c r="AL11" s="285">
        <f t="shared" si="19"/>
        <v>58240</v>
      </c>
      <c r="AM11" s="285">
        <f>MAX(0,A11*'Hypothèses'!$B$31*'Hypothèses'!$B$32-AL11)</f>
        <v>0</v>
      </c>
      <c r="AN11" s="285">
        <f>H11-('Hypothèses'!$B$4+MAX('Hypothèses'!$B$4*'Hypothèses'!$B$5,'Hypothèses'!$B$4*'Hypothèses'!$B$43)+IF(A11&gt;5,'Hypothèses'!$B$4*'Hypothèses'!$B$44,0)-AL11)</f>
        <v>-260</v>
      </c>
      <c r="AO11" s="286">
        <f t="shared" si="12"/>
        <v>0.18</v>
      </c>
      <c r="AP11" s="285">
        <f t="shared" si="13"/>
        <v>0</v>
      </c>
      <c r="AQ11" s="286">
        <f t="shared" si="14"/>
        <v>0.0495</v>
      </c>
      <c r="AR11" s="285">
        <f t="shared" si="15"/>
        <v>0</v>
      </c>
      <c r="AS11" s="287">
        <f>IF(AN11&lt;=0,0,AP11*'Hypothèses'!$B$45+AR11*'Hypothèses'!$B$46+IF(AP11&lt;=50000,0,IF(AP11&lt;=60000,AP11*0.02-(60000-AP11)/20,IF(AP11&lt;=100000,AP11*0.02,IF(AP11&lt;=110000,AP11*0.03-(110000-AP11)/10,IF(AP11&lt;=150000,AP11*0.03,IF(AP11&lt;=160000,AP11*0.04-(160000-AP11)*3/20,IF(AP11&lt;=200000,AP11*0.04,IF(AP11&lt;=210000,AP11*0.05-(210000-AP11)/5,IF(AP11&lt;=250000,AP11*0.05,IF(AP11&lt;=260000,AP11*0.06-(260000-AP11)/4,AP11*0.06)))))))))))</f>
        <v>0</v>
      </c>
      <c r="AT11" s="285">
        <v>0.0</v>
      </c>
      <c r="AU11" s="288">
        <f>IFERROR(IRR(B67:J67),"")</f>
        <v>0.02683092225</v>
      </c>
      <c r="AV11" s="279">
        <f>MAX(0,I11)*'Barème fiscal'!$B$13</f>
        <v>340</v>
      </c>
      <c r="AW11" s="279">
        <f>Y11*'Barème fiscal'!$B$13</f>
        <v>0</v>
      </c>
    </row>
    <row r="12" ht="15.0" customHeight="1">
      <c r="A12" s="269">
        <v>9.0</v>
      </c>
      <c r="B12" s="270">
        <f>B11*(1+'Hypothèses'!$B$27)</f>
        <v>10138.43328</v>
      </c>
      <c r="C12" s="270">
        <f>B12*'Hypothèses'!$B$28</f>
        <v>3041.529984</v>
      </c>
      <c r="D12" s="270">
        <f>'Tableau dAMT financier'!E24</f>
        <v>6245.707619</v>
      </c>
      <c r="E12" s="270">
        <f>'Tableau dAMT financier'!F24</f>
        <v>884.8</v>
      </c>
      <c r="F12" s="270">
        <f>MIN('Hypothèses'!$B$34,MAX(0,'Hypothèses'!$B$31-AL11))</f>
        <v>7280</v>
      </c>
      <c r="G12" s="270">
        <f>'Tableau dAMT financier'!H24</f>
        <v>184572.4088</v>
      </c>
      <c r="H12" s="270">
        <f>H11*(1+index)</f>
        <v>260000</v>
      </c>
      <c r="I12" s="270">
        <f>I11*(1+index)</f>
        <v>5000</v>
      </c>
      <c r="J12" s="270">
        <f>'Hypothèses'!$B$50+I12-AV11</f>
        <v>90160</v>
      </c>
      <c r="K12" s="270">
        <f>J12/'Hypothèses'!$B$39</f>
        <v>36064</v>
      </c>
      <c r="L12" s="271">
        <f>IF(K12&lt;='Barème fiscal'!$B$4,'Barème fiscal'!$C$4,IF(K12&lt;='Barème fiscal'!$B$5,'Barème fiscal'!$C$5,IF(K12&lt;='Barème fiscal'!$B$6,'Barème fiscal'!$C$6,IF(K12&lt;='Barème fiscal'!$B$7,'Barème fiscal'!$C$7,'Barème fiscal'!$C$8))))</f>
        <v>0.3</v>
      </c>
      <c r="M12" s="272">
        <f t="shared" si="1"/>
        <v>0.1275175244</v>
      </c>
      <c r="N12" s="273">
        <f>MAX(0,IF(J12/2&lt;='Barème fiscal'!$B$4,0,IF(J12/2&lt;='Barème fiscal'!$B$5,J12*'Barème fiscal'!$C$5-'Barème fiscal'!$D$5*2,IF(J12/2&lt;='Barème fiscal'!$B$6,J12*'Barème fiscal'!$C$6-'Barème fiscal'!$D$6*2,IF(J12/2&lt;='Barème fiscal'!$B$7,J12*'Barème fiscal'!$C$7-'Barème fiscal'!$D$7*2,J12*'Barème fiscal'!$C$8-'Barème fiscal'!$D$8*2)))))-MIN(MAX(IF(J12/2&lt;='Barème fiscal'!$B$4,0,IF(J12/2&lt;='Barème fiscal'!$B$5,J12*'Barème fiscal'!$C$5-'Barème fiscal'!$D$5*2,IF(J12/2&lt;='Barème fiscal'!$B$6,J12*'Barème fiscal'!$C$6-'Barème fiscal'!$D$6*2,IF(J12/2&lt;='Barème fiscal'!$B$7,J12*'Barème fiscal'!$C$7-'Barème fiscal'!$D$7*2,J12*'Barème fiscal'!$C$8-'Barème fiscal'!$D$8*2))))-MAX(0,IF(K12&lt;='Barème fiscal'!$B$4,0,IF(K12&lt;='Barème fiscal'!$B$5,J12*'Barème fiscal'!$C$5-'Barème fiscal'!$D$5*'Hypothèses'!$B$39,IF(K12&lt;='Barème fiscal'!$B$6,J12*'Barème fiscal'!$C$6-'Barème fiscal'!$D$6*'Hypothèses'!$B$39,IF(K12&lt;='Barème fiscal'!$B$7,J12*'Barème fiscal'!$C$7-'Barème fiscal'!$D$7*'Hypothèses'!$B$39,J12*'Barème fiscal'!$C$8-'Barème fiscal'!$D$8*'Hypothèses'!$B$39))))),0),MAX('Hypothèses'!$B$39-2,0)*2*'Barème fiscal'!$B$10)</f>
        <v>11496.98</v>
      </c>
      <c r="O12" s="270">
        <f>MAX(0,I12)*'Hypothèses'!$B$40</f>
        <v>860</v>
      </c>
      <c r="P12" s="273">
        <f t="shared" si="2"/>
        <v>12356.98</v>
      </c>
      <c r="Q12" s="270">
        <f t="shared" si="3"/>
        <v>15138.43328</v>
      </c>
      <c r="R12" s="270">
        <f t="shared" si="16"/>
        <v>7130.507619</v>
      </c>
      <c r="S12" s="270">
        <f t="shared" si="4"/>
        <v>10321.52998</v>
      </c>
      <c r="T12" s="270">
        <f t="shared" si="5"/>
        <v>-2313.604323</v>
      </c>
      <c r="U12" s="273">
        <f>IF(T12&gt;=0,0,IF(Q12&gt;=R12,MAX(T12,-'Barème fiscal'!$B$11),MAX(-S12,-'Barème fiscal'!$B$11)))</f>
        <v>-2313.604323</v>
      </c>
      <c r="V12" s="270">
        <f>IF(T12&gt;=0,0,IF(Q12&gt;=R12,MAX(0,-T12-'Barème fiscal'!$B$11),(R12-Q12)+MAX(0,S12-'Barème fiscal'!$B$11)))</f>
        <v>0</v>
      </c>
      <c r="W12" s="273">
        <f t="shared" si="17"/>
        <v>0</v>
      </c>
      <c r="X12" s="273">
        <f t="shared" si="6"/>
        <v>0</v>
      </c>
      <c r="Y12" s="270">
        <f t="shared" si="7"/>
        <v>0</v>
      </c>
      <c r="Z12" s="270">
        <f>'Hypothèses'!$B$50+Y12+U12-AW11</f>
        <v>83186.39568</v>
      </c>
      <c r="AA12" s="270">
        <f>Z12/'Hypothèses'!$B$39</f>
        <v>33274.55827</v>
      </c>
      <c r="AB12" s="271">
        <f>IF(AA12&lt;='Barème fiscal'!$B$4,'Barème fiscal'!$C$4,IF(AA12&lt;='Barème fiscal'!$B$5,'Barème fiscal'!$C$5,IF(AA12&lt;='Barème fiscal'!$B$6,'Barème fiscal'!$C$6,IF(AA12&lt;='Barème fiscal'!$B$7,'Barème fiscal'!$C$7,'Barème fiscal'!$C$8))))</f>
        <v>0.3</v>
      </c>
      <c r="AC12" s="272">
        <f t="shared" si="8"/>
        <v>0.1130581344</v>
      </c>
      <c r="AD12" s="273">
        <f>MAX(0,IF(Z12/2&lt;='Barème fiscal'!$B$4,0,IF(Z12/2&lt;='Barème fiscal'!$B$5,Z12*'Barème fiscal'!$C$5-'Barème fiscal'!$D$5*2,IF(Z12/2&lt;='Barème fiscal'!$B$6,Z12*'Barème fiscal'!$C$6-'Barème fiscal'!$D$6*2,IF(Z12/2&lt;='Barème fiscal'!$B$7,Z12*'Barème fiscal'!$C$7-'Barème fiscal'!$D$7*2,Z12*'Barème fiscal'!$C$8-'Barème fiscal'!$D$8*2)))))-MIN(MAX(IF(Z12/2&lt;='Barème fiscal'!$B$4,0,IF(Z12/2&lt;='Barème fiscal'!$B$5,Z12*'Barème fiscal'!$C$5-'Barème fiscal'!$D$5*2,IF(Z12/2&lt;='Barème fiscal'!$B$6,Z12*'Barème fiscal'!$C$6-'Barème fiscal'!$D$6*2,IF(Z12/2&lt;='Barème fiscal'!$B$7,Z12*'Barème fiscal'!$C$7-'Barème fiscal'!$D$7*2,Z12*'Barème fiscal'!$C$8-'Barème fiscal'!$D$8*2))))-MAX(0,IF(AA12&lt;='Barème fiscal'!$B$4,0,IF(AA12&lt;='Barème fiscal'!$B$5,Z12*'Barème fiscal'!$C$5-'Barème fiscal'!$D$5*'Hypothèses'!$B$39,IF(AA12&lt;='Barème fiscal'!$B$6,Z12*'Barème fiscal'!$C$6-'Barème fiscal'!$D$6*'Hypothèses'!$B$39,IF(AA12&lt;='Barème fiscal'!$B$7,Z12*'Barème fiscal'!$C$7-'Barème fiscal'!$D$7*'Hypothèses'!$B$39,Z12*'Barème fiscal'!$C$8-'Barème fiscal'!$D$8*'Hypothèses'!$B$39))))),0),MAX('Hypothèses'!$B$39-2,0)*2*'Barème fiscal'!$B$10)</f>
        <v>9404.898703</v>
      </c>
      <c r="AE12" s="270">
        <f>Y12*'Hypothèses'!$B$40</f>
        <v>0</v>
      </c>
      <c r="AF12" s="273">
        <f t="shared" si="9"/>
        <v>9404.898703</v>
      </c>
      <c r="AG12" s="273">
        <f t="shared" si="10"/>
        <v>2952.081297</v>
      </c>
      <c r="AH12" s="273">
        <f t="shared" si="11"/>
        <v>73286.1542</v>
      </c>
      <c r="AI12" s="273">
        <f>(B12-'Tableau dAMT financier'!G24-C12+AG12)/12</f>
        <v>-474.940791</v>
      </c>
      <c r="AJ12" s="120"/>
      <c r="AK12" s="273">
        <f t="shared" si="18"/>
        <v>-56033.79855</v>
      </c>
      <c r="AL12" s="275">
        <f t="shared" si="19"/>
        <v>65520</v>
      </c>
      <c r="AM12" s="275">
        <f>MAX(0,A12*'Hypothèses'!$B$31*'Hypothèses'!$B$32-AL12)</f>
        <v>0</v>
      </c>
      <c r="AN12" s="275">
        <f>H12-('Hypothèses'!$B$4+MAX('Hypothèses'!$B$4*'Hypothèses'!$B$5,'Hypothèses'!$B$4*'Hypothèses'!$B$43)+IF(A12&gt;5,'Hypothèses'!$B$4*'Hypothèses'!$B$44,0)-AL12)</f>
        <v>7020</v>
      </c>
      <c r="AO12" s="276">
        <f t="shared" si="12"/>
        <v>0.24</v>
      </c>
      <c r="AP12" s="275">
        <f t="shared" si="13"/>
        <v>5335.2</v>
      </c>
      <c r="AQ12" s="276">
        <f t="shared" si="14"/>
        <v>0.066</v>
      </c>
      <c r="AR12" s="275">
        <f t="shared" si="15"/>
        <v>6556.68</v>
      </c>
      <c r="AS12" s="277">
        <f>IF(AN12&lt;=0,0,AP12*'Hypothèses'!$B$45+AR12*'Hypothèses'!$B$46+IF(AP12&lt;=50000,0,IF(AP12&lt;=60000,AP12*0.02-(60000-AP12)/20,IF(AP12&lt;=100000,AP12*0.02,IF(AP12&lt;=110000,AP12*0.03-(110000-AP12)/10,IF(AP12&lt;=150000,AP12*0.03,IF(AP12&lt;=160000,AP12*0.04-(160000-AP12)*3/20,IF(AP12&lt;=200000,AP12*0.04,IF(AP12&lt;=210000,AP12*0.05-(210000-AP12)/5,IF(AP12&lt;=250000,AP12*0.05,IF(AP12&lt;=260000,AP12*0.06-(260000-AP12)/4,AP12*0.06)))))))))))</f>
        <v>2141.43696</v>
      </c>
      <c r="AT12" s="275">
        <v>0.0</v>
      </c>
      <c r="AU12" s="278">
        <f>IFERROR(IRR(B68:K68),"")</f>
        <v>0.02417446031</v>
      </c>
      <c r="AV12" s="279">
        <f>MAX(0,I12)*'Barème fiscal'!$B$13</f>
        <v>340</v>
      </c>
      <c r="AW12" s="279">
        <f>Y12*'Barème fiscal'!$B$13</f>
        <v>0</v>
      </c>
    </row>
    <row r="13" ht="15.0" customHeight="1">
      <c r="A13" s="280">
        <v>10.0</v>
      </c>
      <c r="B13" s="281">
        <f>B12*(1+'Hypothèses'!$B$27)</f>
        <v>10290.50978</v>
      </c>
      <c r="C13" s="281">
        <f>B13*'Hypothèses'!$B$28</f>
        <v>3087.152934</v>
      </c>
      <c r="D13" s="281">
        <f>'Tableau dAMT financier'!E25</f>
        <v>5956.980308</v>
      </c>
      <c r="E13" s="281">
        <f>'Tableau dAMT financier'!F25</f>
        <v>884.8</v>
      </c>
      <c r="F13" s="281">
        <f>MIN('Hypothèses'!$B$34,MAX(0,'Hypothèses'!$B$31-AL12))</f>
        <v>7280</v>
      </c>
      <c r="G13" s="281">
        <f>'Tableau dAMT financier'!H25</f>
        <v>175665.9151</v>
      </c>
      <c r="H13" s="281">
        <f>H12*(1+index)</f>
        <v>260000</v>
      </c>
      <c r="I13" s="281">
        <f>I12*(1+index)</f>
        <v>5000</v>
      </c>
      <c r="J13" s="281">
        <f>'Hypothèses'!$B$50+I13-AV12</f>
        <v>90160</v>
      </c>
      <c r="K13" s="281">
        <f>J13/'Hypothèses'!$B$39</f>
        <v>36064</v>
      </c>
      <c r="L13" s="282">
        <f>IF(K13&lt;='Barème fiscal'!$B$4,'Barème fiscal'!$C$4,IF(K13&lt;='Barème fiscal'!$B$5,'Barème fiscal'!$C$5,IF(K13&lt;='Barème fiscal'!$B$6,'Barème fiscal'!$C$6,IF(K13&lt;='Barème fiscal'!$B$7,'Barème fiscal'!$C$7,'Barème fiscal'!$C$8))))</f>
        <v>0.3</v>
      </c>
      <c r="M13" s="283">
        <f t="shared" si="1"/>
        <v>0.1275175244</v>
      </c>
      <c r="N13" s="284">
        <f>MAX(0,IF(J13/2&lt;='Barème fiscal'!$B$4,0,IF(J13/2&lt;='Barème fiscal'!$B$5,J13*'Barème fiscal'!$C$5-'Barème fiscal'!$D$5*2,IF(J13/2&lt;='Barème fiscal'!$B$6,J13*'Barème fiscal'!$C$6-'Barème fiscal'!$D$6*2,IF(J13/2&lt;='Barème fiscal'!$B$7,J13*'Barème fiscal'!$C$7-'Barème fiscal'!$D$7*2,J13*'Barème fiscal'!$C$8-'Barème fiscal'!$D$8*2)))))-MIN(MAX(IF(J13/2&lt;='Barème fiscal'!$B$4,0,IF(J13/2&lt;='Barème fiscal'!$B$5,J13*'Barème fiscal'!$C$5-'Barème fiscal'!$D$5*2,IF(J13/2&lt;='Barème fiscal'!$B$6,J13*'Barème fiscal'!$C$6-'Barème fiscal'!$D$6*2,IF(J13/2&lt;='Barème fiscal'!$B$7,J13*'Barème fiscal'!$C$7-'Barème fiscal'!$D$7*2,J13*'Barème fiscal'!$C$8-'Barème fiscal'!$D$8*2))))-MAX(0,IF(K13&lt;='Barème fiscal'!$B$4,0,IF(K13&lt;='Barème fiscal'!$B$5,J13*'Barème fiscal'!$C$5-'Barème fiscal'!$D$5*'Hypothèses'!$B$39,IF(K13&lt;='Barème fiscal'!$B$6,J13*'Barème fiscal'!$C$6-'Barème fiscal'!$D$6*'Hypothèses'!$B$39,IF(K13&lt;='Barème fiscal'!$B$7,J13*'Barème fiscal'!$C$7-'Barème fiscal'!$D$7*'Hypothèses'!$B$39,J13*'Barème fiscal'!$C$8-'Barème fiscal'!$D$8*'Hypothèses'!$B$39))))),0),MAX('Hypothèses'!$B$39-2,0)*2*'Barème fiscal'!$B$10)</f>
        <v>11496.98</v>
      </c>
      <c r="O13" s="281">
        <f>MAX(0,I13)*'Hypothèses'!$B$40</f>
        <v>860</v>
      </c>
      <c r="P13" s="284">
        <f t="shared" si="2"/>
        <v>12356.98</v>
      </c>
      <c r="Q13" s="281">
        <f t="shared" si="3"/>
        <v>15290.50978</v>
      </c>
      <c r="R13" s="281">
        <f t="shared" si="16"/>
        <v>6841.780308</v>
      </c>
      <c r="S13" s="281">
        <f t="shared" si="4"/>
        <v>10367.15293</v>
      </c>
      <c r="T13" s="281">
        <f t="shared" si="5"/>
        <v>-1918.423463</v>
      </c>
      <c r="U13" s="284">
        <f>IF(T13&gt;=0,0,IF(Q13&gt;=R13,MAX(T13,-'Barème fiscal'!$B$11),MAX(-S13,-'Barème fiscal'!$B$11)))</f>
        <v>-1918.423463</v>
      </c>
      <c r="V13" s="281">
        <f>IF(T13&gt;=0,0,IF(Q13&gt;=R13,MAX(0,-T13-'Barème fiscal'!$B$11),(R13-Q13)+MAX(0,S13-'Barème fiscal'!$B$11)))</f>
        <v>0</v>
      </c>
      <c r="W13" s="284">
        <f t="shared" si="17"/>
        <v>0</v>
      </c>
      <c r="X13" s="284">
        <f t="shared" si="6"/>
        <v>0</v>
      </c>
      <c r="Y13" s="281">
        <f t="shared" si="7"/>
        <v>0</v>
      </c>
      <c r="Z13" s="281">
        <f>'Hypothèses'!$B$50+Y13+U13-AW12</f>
        <v>83581.57654</v>
      </c>
      <c r="AA13" s="281">
        <f>Z13/'Hypothèses'!$B$39</f>
        <v>33432.63061</v>
      </c>
      <c r="AB13" s="282">
        <f>IF(AA13&lt;='Barème fiscal'!$B$4,'Barème fiscal'!$C$4,IF(AA13&lt;='Barème fiscal'!$B$5,'Barème fiscal'!$C$5,IF(AA13&lt;='Barème fiscal'!$B$6,'Barème fiscal'!$C$6,IF(AA13&lt;='Barème fiscal'!$B$7,'Barème fiscal'!$C$7,'Barème fiscal'!$C$8))))</f>
        <v>0.3</v>
      </c>
      <c r="AC13" s="283">
        <f t="shared" si="8"/>
        <v>0.1139420116</v>
      </c>
      <c r="AD13" s="284">
        <f>MAX(0,IF(Z13/2&lt;='Barème fiscal'!$B$4,0,IF(Z13/2&lt;='Barème fiscal'!$B$5,Z13*'Barème fiscal'!$C$5-'Barème fiscal'!$D$5*2,IF(Z13/2&lt;='Barème fiscal'!$B$6,Z13*'Barème fiscal'!$C$6-'Barème fiscal'!$D$6*2,IF(Z13/2&lt;='Barème fiscal'!$B$7,Z13*'Barème fiscal'!$C$7-'Barème fiscal'!$D$7*2,Z13*'Barème fiscal'!$C$8-'Barème fiscal'!$D$8*2)))))-MIN(MAX(IF(Z13/2&lt;='Barème fiscal'!$B$4,0,IF(Z13/2&lt;='Barème fiscal'!$B$5,Z13*'Barème fiscal'!$C$5-'Barème fiscal'!$D$5*2,IF(Z13/2&lt;='Barème fiscal'!$B$6,Z13*'Barème fiscal'!$C$6-'Barème fiscal'!$D$6*2,IF(Z13/2&lt;='Barème fiscal'!$B$7,Z13*'Barème fiscal'!$C$7-'Barème fiscal'!$D$7*2,Z13*'Barème fiscal'!$C$8-'Barème fiscal'!$D$8*2))))-MAX(0,IF(AA13&lt;='Barème fiscal'!$B$4,0,IF(AA13&lt;='Barème fiscal'!$B$5,Z13*'Barème fiscal'!$C$5-'Barème fiscal'!$D$5*'Hypothèses'!$B$39,IF(AA13&lt;='Barème fiscal'!$B$6,Z13*'Barème fiscal'!$C$6-'Barème fiscal'!$D$6*'Hypothèses'!$B$39,IF(AA13&lt;='Barème fiscal'!$B$7,Z13*'Barème fiscal'!$C$7-'Barème fiscal'!$D$7*'Hypothèses'!$B$39,Z13*'Barème fiscal'!$C$8-'Barème fiscal'!$D$8*'Hypothèses'!$B$39))))),0),MAX('Hypothèses'!$B$39-2,0)*2*'Barème fiscal'!$B$10)</f>
        <v>9523.452961</v>
      </c>
      <c r="AE13" s="281">
        <f>Y13*'Hypothèses'!$B$40</f>
        <v>0</v>
      </c>
      <c r="AF13" s="284">
        <f t="shared" si="9"/>
        <v>9523.452961</v>
      </c>
      <c r="AG13" s="284">
        <f t="shared" si="10"/>
        <v>2833.527039</v>
      </c>
      <c r="AH13" s="284">
        <f t="shared" si="11"/>
        <v>80175.50194</v>
      </c>
      <c r="AI13" s="284">
        <f>(B13-'Tableau dAMT financier'!G25-C13+AG13)/12</f>
        <v>-475.9491833</v>
      </c>
      <c r="AJ13" s="289">
        <f>AVERAGE(AI13:AI28)</f>
        <v>-515.7681096</v>
      </c>
      <c r="AK13" s="284">
        <f t="shared" si="18"/>
        <v>-61745.18875</v>
      </c>
      <c r="AL13" s="285">
        <f t="shared" si="19"/>
        <v>72800</v>
      </c>
      <c r="AM13" s="285">
        <f>MAX(0,A13*'Hypothèses'!$B$31*'Hypothèses'!$B$32-AL13)</f>
        <v>0</v>
      </c>
      <c r="AN13" s="285">
        <f>H13-('Hypothèses'!$B$4+MAX('Hypothèses'!$B$4*'Hypothèses'!$B$5,'Hypothèses'!$B$4*'Hypothèses'!$B$43)+IF(A13&gt;5,'Hypothèses'!$B$4*'Hypothèses'!$B$44,0)-AL13)</f>
        <v>14300</v>
      </c>
      <c r="AO13" s="286">
        <f t="shared" si="12"/>
        <v>0.3</v>
      </c>
      <c r="AP13" s="285">
        <f t="shared" si="13"/>
        <v>10010</v>
      </c>
      <c r="AQ13" s="286">
        <f t="shared" si="14"/>
        <v>0.0825</v>
      </c>
      <c r="AR13" s="285">
        <f t="shared" si="15"/>
        <v>13120.25</v>
      </c>
      <c r="AS13" s="287">
        <f>IF(AN13&lt;=0,0,AP13*'Hypothèses'!$B$45+AR13*'Hypothèses'!$B$46+IF(AP13&lt;=50000,0,IF(AP13&lt;=60000,AP13*0.02-(60000-AP13)/20,IF(AP13&lt;=100000,AP13*0.02,IF(AP13&lt;=110000,AP13*0.03-(110000-AP13)/10,IF(AP13&lt;=150000,AP13*0.03,IF(AP13&lt;=160000,AP13*0.04-(160000-AP13)*3/20,IF(AP13&lt;=200000,AP13*0.04,IF(AP13&lt;=210000,AP13*0.05-(210000-AP13)/5,IF(AP13&lt;=250000,AP13*0.05,IF(AP13&lt;=260000,AP13*0.06-(260000-AP13)/4,AP13*0.06)))))))))))</f>
        <v>4158.583</v>
      </c>
      <c r="AT13" s="285">
        <v>0.0</v>
      </c>
      <c r="AU13" s="288">
        <f>IFERROR(IRR(B69:L69),"")</f>
        <v>0.02288314857</v>
      </c>
      <c r="AV13" s="279">
        <f>MAX(0,I13)*'Barème fiscal'!$B$13</f>
        <v>340</v>
      </c>
      <c r="AW13" s="279">
        <f>Y13*'Barème fiscal'!$B$13</f>
        <v>0</v>
      </c>
    </row>
    <row r="14" ht="15.0" customHeight="1">
      <c r="A14" s="269">
        <v>11.0</v>
      </c>
      <c r="B14" s="270">
        <f>B13*(1+'Hypothèses'!$B$27)</f>
        <v>10444.86743</v>
      </c>
      <c r="C14" s="270">
        <f>B14*'Hypothèses'!$B$28</f>
        <v>3133.460228</v>
      </c>
      <c r="D14" s="270">
        <f>'Tableau dAMT financier'!E26</f>
        <v>5658.579557</v>
      </c>
      <c r="E14" s="270">
        <f>'Tableau dAMT financier'!F26</f>
        <v>884.8</v>
      </c>
      <c r="F14" s="270">
        <f>MIN('Hypothèses'!$B$34,MAX(0,'Hypothèses'!$B$31-AL13))</f>
        <v>7280</v>
      </c>
      <c r="G14" s="270">
        <f>'Tableau dAMT financier'!H26</f>
        <v>166461.0205</v>
      </c>
      <c r="H14" s="270">
        <f>H13*(1+index)</f>
        <v>260000</v>
      </c>
      <c r="I14" s="270">
        <f>I13*(1+index)</f>
        <v>5000</v>
      </c>
      <c r="J14" s="270">
        <f>'Hypothèses'!$B$50+I14-AV13</f>
        <v>90160</v>
      </c>
      <c r="K14" s="270">
        <f>J14/'Hypothèses'!$B$39</f>
        <v>36064</v>
      </c>
      <c r="L14" s="271">
        <f>IF(K14&lt;='Barème fiscal'!$B$4,'Barème fiscal'!$C$4,IF(K14&lt;='Barème fiscal'!$B$5,'Barème fiscal'!$C$5,IF(K14&lt;='Barème fiscal'!$B$6,'Barème fiscal'!$C$6,IF(K14&lt;='Barème fiscal'!$B$7,'Barème fiscal'!$C$7,'Barème fiscal'!$C$8))))</f>
        <v>0.3</v>
      </c>
      <c r="M14" s="272">
        <f t="shared" si="1"/>
        <v>0.1275175244</v>
      </c>
      <c r="N14" s="273">
        <f>MAX(0,IF(J14/2&lt;='Barème fiscal'!$B$4,0,IF(J14/2&lt;='Barème fiscal'!$B$5,J14*'Barème fiscal'!$C$5-'Barème fiscal'!$D$5*2,IF(J14/2&lt;='Barème fiscal'!$B$6,J14*'Barème fiscal'!$C$6-'Barème fiscal'!$D$6*2,IF(J14/2&lt;='Barème fiscal'!$B$7,J14*'Barème fiscal'!$C$7-'Barème fiscal'!$D$7*2,J14*'Barème fiscal'!$C$8-'Barème fiscal'!$D$8*2)))))-MIN(MAX(IF(J14/2&lt;='Barème fiscal'!$B$4,0,IF(J14/2&lt;='Barème fiscal'!$B$5,J14*'Barème fiscal'!$C$5-'Barème fiscal'!$D$5*2,IF(J14/2&lt;='Barème fiscal'!$B$6,J14*'Barème fiscal'!$C$6-'Barème fiscal'!$D$6*2,IF(J14/2&lt;='Barème fiscal'!$B$7,J14*'Barème fiscal'!$C$7-'Barème fiscal'!$D$7*2,J14*'Barème fiscal'!$C$8-'Barème fiscal'!$D$8*2))))-MAX(0,IF(K14&lt;='Barème fiscal'!$B$4,0,IF(K14&lt;='Barème fiscal'!$B$5,J14*'Barème fiscal'!$C$5-'Barème fiscal'!$D$5*'Hypothèses'!$B$39,IF(K14&lt;='Barème fiscal'!$B$6,J14*'Barème fiscal'!$C$6-'Barème fiscal'!$D$6*'Hypothèses'!$B$39,IF(K14&lt;='Barème fiscal'!$B$7,J14*'Barème fiscal'!$C$7-'Barème fiscal'!$D$7*'Hypothèses'!$B$39,J14*'Barème fiscal'!$C$8-'Barème fiscal'!$D$8*'Hypothèses'!$B$39))))),0),MAX('Hypothèses'!$B$39-2,0)*2*'Barème fiscal'!$B$10)</f>
        <v>11496.98</v>
      </c>
      <c r="O14" s="270">
        <f>MAX(0,I14)*'Hypothèses'!$B$40</f>
        <v>860</v>
      </c>
      <c r="P14" s="273">
        <f t="shared" si="2"/>
        <v>12356.98</v>
      </c>
      <c r="Q14" s="270">
        <f t="shared" si="3"/>
        <v>15444.86743</v>
      </c>
      <c r="R14" s="270">
        <f t="shared" si="16"/>
        <v>6543.379557</v>
      </c>
      <c r="S14" s="270">
        <f t="shared" si="4"/>
        <v>10413.46023</v>
      </c>
      <c r="T14" s="270">
        <f t="shared" si="5"/>
        <v>-1511.972359</v>
      </c>
      <c r="U14" s="273">
        <f>IF(T14&gt;=0,0,IF(Q14&gt;=R14,MAX(T14,-'Barème fiscal'!$B$11),MAX(-S14,-'Barème fiscal'!$B$11)))</f>
        <v>-1511.972359</v>
      </c>
      <c r="V14" s="270">
        <f>IF(T14&gt;=0,0,IF(Q14&gt;=R14,MAX(0,-T14-'Barème fiscal'!$B$11),(R14-Q14)+MAX(0,S14-'Barème fiscal'!$B$11)))</f>
        <v>0</v>
      </c>
      <c r="W14" s="273">
        <f t="shared" si="17"/>
        <v>0</v>
      </c>
      <c r="X14" s="273">
        <f t="shared" si="6"/>
        <v>0</v>
      </c>
      <c r="Y14" s="270">
        <f t="shared" si="7"/>
        <v>0</v>
      </c>
      <c r="Z14" s="270">
        <f>'Hypothèses'!$B$50+Y14+U14-AW13</f>
        <v>83988.02764</v>
      </c>
      <c r="AA14" s="270">
        <f>Z14/'Hypothèses'!$B$39</f>
        <v>33595.21106</v>
      </c>
      <c r="AB14" s="271">
        <f>IF(AA14&lt;='Barème fiscal'!$B$4,'Barème fiscal'!$C$4,IF(AA14&lt;='Barème fiscal'!$B$5,'Barème fiscal'!$C$5,IF(AA14&lt;='Barème fiscal'!$B$6,'Barème fiscal'!$C$6,IF(AA14&lt;='Barème fiscal'!$B$7,'Barème fiscal'!$C$7,'Barème fiscal'!$C$8))))</f>
        <v>0.3</v>
      </c>
      <c r="AC14" s="272">
        <f t="shared" si="8"/>
        <v>0.1148424194</v>
      </c>
      <c r="AD14" s="273">
        <f>MAX(0,IF(Z14/2&lt;='Barème fiscal'!$B$4,0,IF(Z14/2&lt;='Barème fiscal'!$B$5,Z14*'Barème fiscal'!$C$5-'Barème fiscal'!$D$5*2,IF(Z14/2&lt;='Barème fiscal'!$B$6,Z14*'Barème fiscal'!$C$6-'Barème fiscal'!$D$6*2,IF(Z14/2&lt;='Barème fiscal'!$B$7,Z14*'Barème fiscal'!$C$7-'Barème fiscal'!$D$7*2,Z14*'Barème fiscal'!$C$8-'Barème fiscal'!$D$8*2)))))-MIN(MAX(IF(Z14/2&lt;='Barème fiscal'!$B$4,0,IF(Z14/2&lt;='Barème fiscal'!$B$5,Z14*'Barème fiscal'!$C$5-'Barème fiscal'!$D$5*2,IF(Z14/2&lt;='Barème fiscal'!$B$6,Z14*'Barème fiscal'!$C$6-'Barème fiscal'!$D$6*2,IF(Z14/2&lt;='Barème fiscal'!$B$7,Z14*'Barème fiscal'!$C$7-'Barème fiscal'!$D$7*2,Z14*'Barème fiscal'!$C$8-'Barème fiscal'!$D$8*2))))-MAX(0,IF(AA14&lt;='Barème fiscal'!$B$4,0,IF(AA14&lt;='Barème fiscal'!$B$5,Z14*'Barème fiscal'!$C$5-'Barème fiscal'!$D$5*'Hypothèses'!$B$39,IF(AA14&lt;='Barème fiscal'!$B$6,Z14*'Barème fiscal'!$C$6-'Barème fiscal'!$D$6*'Hypothèses'!$B$39,IF(AA14&lt;='Barème fiscal'!$B$7,Z14*'Barème fiscal'!$C$7-'Barème fiscal'!$D$7*'Hypothèses'!$B$39,Z14*'Barème fiscal'!$C$8-'Barème fiscal'!$D$8*'Hypothèses'!$B$39))))),0),MAX('Hypothèses'!$B$39-2,0)*2*'Barème fiscal'!$B$10)</f>
        <v>9645.388292</v>
      </c>
      <c r="AE14" s="270">
        <f>Y14*'Hypothèses'!$B$40</f>
        <v>0</v>
      </c>
      <c r="AF14" s="273">
        <f t="shared" si="9"/>
        <v>9645.388292</v>
      </c>
      <c r="AG14" s="273">
        <f t="shared" si="10"/>
        <v>2711.591708</v>
      </c>
      <c r="AH14" s="273">
        <f t="shared" si="11"/>
        <v>87570.5557</v>
      </c>
      <c r="AI14" s="273">
        <f>(B14-'Tableau dAMT financier'!G26-C14+AG14)/12</f>
        <v>-477.1062649</v>
      </c>
      <c r="AJ14" s="112"/>
      <c r="AK14" s="273">
        <f t="shared" si="18"/>
        <v>-67470.46393</v>
      </c>
      <c r="AL14" s="275">
        <f t="shared" si="19"/>
        <v>80080</v>
      </c>
      <c r="AM14" s="275">
        <f>MAX(0,A14*'Hypothèses'!$B$31*'Hypothèses'!$B$32-AL14)</f>
        <v>0</v>
      </c>
      <c r="AN14" s="275">
        <f>H14-('Hypothèses'!$B$4+MAX('Hypothèses'!$B$4*'Hypothèses'!$B$5,'Hypothèses'!$B$4*'Hypothèses'!$B$43)+IF(A14&gt;5,'Hypothèses'!$B$4*'Hypothèses'!$B$44,0)-AL14)</f>
        <v>21580</v>
      </c>
      <c r="AO14" s="276">
        <f t="shared" si="12"/>
        <v>0.36</v>
      </c>
      <c r="AP14" s="275">
        <f t="shared" si="13"/>
        <v>13811.2</v>
      </c>
      <c r="AQ14" s="276">
        <f t="shared" si="14"/>
        <v>0.099</v>
      </c>
      <c r="AR14" s="275">
        <f t="shared" si="15"/>
        <v>19443.58</v>
      </c>
      <c r="AS14" s="277">
        <f>IF(AN14&lt;=0,0,AP14*'Hypothèses'!$B$45+AR14*'Hypothèses'!$B$46+IF(AP14&lt;=50000,0,IF(AP14&lt;=60000,AP14*0.02-(60000-AP14)/20,IF(AP14&lt;=100000,AP14*0.02,IF(AP14&lt;=110000,AP14*0.03-(110000-AP14)/10,IF(AP14&lt;=150000,AP14*0.03,IF(AP14&lt;=160000,AP14*0.04-(160000-AP14)*3/20,IF(AP14&lt;=200000,AP14*0.04,IF(AP14&lt;=210000,AP14*0.05-(210000-AP14)/5,IF(AP14&lt;=250000,AP14*0.05,IF(AP14&lt;=260000,AP14*0.06-(260000-AP14)/4,AP14*0.06)))))))))))</f>
        <v>5968.42376</v>
      </c>
      <c r="AT14" s="275">
        <v>0.0</v>
      </c>
      <c r="AU14" s="278">
        <f>IFERROR(IRR(B70:M70),"")</f>
        <v>0.02258216774</v>
      </c>
      <c r="AV14" s="279">
        <f>MAX(0,I14)*'Barème fiscal'!$B$13</f>
        <v>340</v>
      </c>
      <c r="AW14" s="279">
        <f>Y14*'Barème fiscal'!$B$13</f>
        <v>0</v>
      </c>
    </row>
    <row r="15" ht="15.0" customHeight="1">
      <c r="A15" s="280">
        <v>12.0</v>
      </c>
      <c r="B15" s="281">
        <f>B14*(1+'Hypothèses'!$B$27)</f>
        <v>10601.54044</v>
      </c>
      <c r="C15" s="281">
        <f>B15*'Hypothèses'!$B$28</f>
        <v>3180.462131</v>
      </c>
      <c r="D15" s="281">
        <f>'Tableau dAMT financier'!E27</f>
        <v>5350.181268</v>
      </c>
      <c r="E15" s="281">
        <f>'Tableau dAMT financier'!F27</f>
        <v>884.8</v>
      </c>
      <c r="F15" s="281">
        <f>MIN('Hypothèses'!$B$34,MAX(0,'Hypothèses'!$B$31-AL14))</f>
        <v>7280</v>
      </c>
      <c r="G15" s="281">
        <f>'Tableau dAMT financier'!H27</f>
        <v>156947.7277</v>
      </c>
      <c r="H15" s="281">
        <f>H14*(1+index)</f>
        <v>260000</v>
      </c>
      <c r="I15" s="281">
        <f>I14*(1+index)</f>
        <v>5000</v>
      </c>
      <c r="J15" s="281">
        <f>'Hypothèses'!$B$50+I15-AV14</f>
        <v>90160</v>
      </c>
      <c r="K15" s="281">
        <f>J15/'Hypothèses'!$B$39</f>
        <v>36064</v>
      </c>
      <c r="L15" s="282">
        <f>IF(K15&lt;='Barème fiscal'!$B$4,'Barème fiscal'!$C$4,IF(K15&lt;='Barème fiscal'!$B$5,'Barème fiscal'!$C$5,IF(K15&lt;='Barème fiscal'!$B$6,'Barème fiscal'!$C$6,IF(K15&lt;='Barème fiscal'!$B$7,'Barème fiscal'!$C$7,'Barème fiscal'!$C$8))))</f>
        <v>0.3</v>
      </c>
      <c r="M15" s="283">
        <f t="shared" si="1"/>
        <v>0.1275175244</v>
      </c>
      <c r="N15" s="284">
        <f>MAX(0,IF(J15/2&lt;='Barème fiscal'!$B$4,0,IF(J15/2&lt;='Barème fiscal'!$B$5,J15*'Barème fiscal'!$C$5-'Barème fiscal'!$D$5*2,IF(J15/2&lt;='Barème fiscal'!$B$6,J15*'Barème fiscal'!$C$6-'Barème fiscal'!$D$6*2,IF(J15/2&lt;='Barème fiscal'!$B$7,J15*'Barème fiscal'!$C$7-'Barème fiscal'!$D$7*2,J15*'Barème fiscal'!$C$8-'Barème fiscal'!$D$8*2)))))-MIN(MAX(IF(J15/2&lt;='Barème fiscal'!$B$4,0,IF(J15/2&lt;='Barème fiscal'!$B$5,J15*'Barème fiscal'!$C$5-'Barème fiscal'!$D$5*2,IF(J15/2&lt;='Barème fiscal'!$B$6,J15*'Barème fiscal'!$C$6-'Barème fiscal'!$D$6*2,IF(J15/2&lt;='Barème fiscal'!$B$7,J15*'Barème fiscal'!$C$7-'Barème fiscal'!$D$7*2,J15*'Barème fiscal'!$C$8-'Barème fiscal'!$D$8*2))))-MAX(0,IF(K15&lt;='Barème fiscal'!$B$4,0,IF(K15&lt;='Barème fiscal'!$B$5,J15*'Barème fiscal'!$C$5-'Barème fiscal'!$D$5*'Hypothèses'!$B$39,IF(K15&lt;='Barème fiscal'!$B$6,J15*'Barème fiscal'!$C$6-'Barème fiscal'!$D$6*'Hypothèses'!$B$39,IF(K15&lt;='Barème fiscal'!$B$7,J15*'Barème fiscal'!$C$7-'Barème fiscal'!$D$7*'Hypothèses'!$B$39,J15*'Barème fiscal'!$C$8-'Barème fiscal'!$D$8*'Hypothèses'!$B$39))))),0),MAX('Hypothèses'!$B$39-2,0)*2*'Barème fiscal'!$B$10)</f>
        <v>11496.98</v>
      </c>
      <c r="O15" s="281">
        <f>MAX(0,I15)*'Hypothèses'!$B$40</f>
        <v>860</v>
      </c>
      <c r="P15" s="284">
        <f t="shared" si="2"/>
        <v>12356.98</v>
      </c>
      <c r="Q15" s="281">
        <f t="shared" si="3"/>
        <v>15601.54044</v>
      </c>
      <c r="R15" s="281">
        <f t="shared" si="16"/>
        <v>6234.981268</v>
      </c>
      <c r="S15" s="281">
        <f t="shared" si="4"/>
        <v>10460.46213</v>
      </c>
      <c r="T15" s="281">
        <f t="shared" si="5"/>
        <v>-1093.902962</v>
      </c>
      <c r="U15" s="284">
        <f>IF(T15&gt;=0,0,IF(Q15&gt;=R15,MAX(T15,-'Barème fiscal'!$B$11),MAX(-S15,-'Barème fiscal'!$B$11)))</f>
        <v>-1093.902962</v>
      </c>
      <c r="V15" s="281">
        <f>IF(T15&gt;=0,0,IF(Q15&gt;=R15,MAX(0,-T15-'Barème fiscal'!$B$11),(R15-Q15)+MAX(0,S15-'Barème fiscal'!$B$11)))</f>
        <v>0</v>
      </c>
      <c r="W15" s="284">
        <f t="shared" si="17"/>
        <v>0</v>
      </c>
      <c r="X15" s="284">
        <f t="shared" si="6"/>
        <v>0</v>
      </c>
      <c r="Y15" s="281">
        <f t="shared" si="7"/>
        <v>0</v>
      </c>
      <c r="Z15" s="281">
        <f>'Hypothèses'!$B$50+Y15+U15-AW14</f>
        <v>84406.09704</v>
      </c>
      <c r="AA15" s="281">
        <f>Z15/'Hypothèses'!$B$39</f>
        <v>33762.43882</v>
      </c>
      <c r="AB15" s="282">
        <f>IF(AA15&lt;='Barème fiscal'!$B$4,'Barème fiscal'!$C$4,IF(AA15&lt;='Barème fiscal'!$B$5,'Barème fiscal'!$C$5,IF(AA15&lt;='Barème fiscal'!$B$6,'Barème fiscal'!$C$6,IF(AA15&lt;='Barème fiscal'!$B$7,'Barème fiscal'!$C$7,'Barème fiscal'!$C$8))))</f>
        <v>0.3</v>
      </c>
      <c r="AC15" s="283">
        <f t="shared" si="8"/>
        <v>0.115759518</v>
      </c>
      <c r="AD15" s="284">
        <f>MAX(0,IF(Z15/2&lt;='Barème fiscal'!$B$4,0,IF(Z15/2&lt;='Barème fiscal'!$B$5,Z15*'Barème fiscal'!$C$5-'Barème fiscal'!$D$5*2,IF(Z15/2&lt;='Barème fiscal'!$B$6,Z15*'Barème fiscal'!$C$6-'Barème fiscal'!$D$6*2,IF(Z15/2&lt;='Barème fiscal'!$B$7,Z15*'Barème fiscal'!$C$7-'Barème fiscal'!$D$7*2,Z15*'Barème fiscal'!$C$8-'Barème fiscal'!$D$8*2)))))-MIN(MAX(IF(Z15/2&lt;='Barème fiscal'!$B$4,0,IF(Z15/2&lt;='Barème fiscal'!$B$5,Z15*'Barème fiscal'!$C$5-'Barème fiscal'!$D$5*2,IF(Z15/2&lt;='Barème fiscal'!$B$6,Z15*'Barème fiscal'!$C$6-'Barème fiscal'!$D$6*2,IF(Z15/2&lt;='Barème fiscal'!$B$7,Z15*'Barème fiscal'!$C$7-'Barème fiscal'!$D$7*2,Z15*'Barème fiscal'!$C$8-'Barème fiscal'!$D$8*2))))-MAX(0,IF(AA15&lt;='Barème fiscal'!$B$4,0,IF(AA15&lt;='Barème fiscal'!$B$5,Z15*'Barème fiscal'!$C$5-'Barème fiscal'!$D$5*'Hypothèses'!$B$39,IF(AA15&lt;='Barème fiscal'!$B$6,Z15*'Barème fiscal'!$C$6-'Barème fiscal'!$D$6*'Hypothèses'!$B$39,IF(AA15&lt;='Barème fiscal'!$B$7,Z15*'Barème fiscal'!$C$7-'Barème fiscal'!$D$7*'Hypothèses'!$B$39,Z15*'Barème fiscal'!$C$8-'Barème fiscal'!$D$8*'Hypothèses'!$B$39))))),0),MAX('Hypothèses'!$B$39-2,0)*2*'Barème fiscal'!$B$10)</f>
        <v>9770.809111</v>
      </c>
      <c r="AE15" s="281">
        <f>Y15*'Hypothèses'!$B$40</f>
        <v>0</v>
      </c>
      <c r="AF15" s="284">
        <f t="shared" si="9"/>
        <v>9770.809111</v>
      </c>
      <c r="AG15" s="284">
        <f t="shared" si="10"/>
        <v>2586.170889</v>
      </c>
      <c r="AH15" s="284">
        <f t="shared" si="11"/>
        <v>95481.31304</v>
      </c>
      <c r="AI15" s="284">
        <f>(B15-'Tableau dAMT financier'!G27-C15+AG15)/12</f>
        <v>-478.4187408</v>
      </c>
      <c r="AJ15" s="112"/>
      <c r="AK15" s="284">
        <f t="shared" si="18"/>
        <v>-73211.48882</v>
      </c>
      <c r="AL15" s="285">
        <f t="shared" si="19"/>
        <v>87360</v>
      </c>
      <c r="AM15" s="285">
        <f>MAX(0,A15*'Hypothèses'!$B$31*'Hypothèses'!$B$32-AL15)</f>
        <v>0</v>
      </c>
      <c r="AN15" s="285">
        <f>H15-('Hypothèses'!$B$4+MAX('Hypothèses'!$B$4*'Hypothèses'!$B$5,'Hypothèses'!$B$4*'Hypothèses'!$B$43)+IF(A15&gt;5,'Hypothèses'!$B$4*'Hypothèses'!$B$44,0)-AL15)</f>
        <v>28860</v>
      </c>
      <c r="AO15" s="286">
        <f t="shared" si="12"/>
        <v>0.42</v>
      </c>
      <c r="AP15" s="285">
        <f t="shared" si="13"/>
        <v>16738.8</v>
      </c>
      <c r="AQ15" s="286">
        <f t="shared" si="14"/>
        <v>0.1155</v>
      </c>
      <c r="AR15" s="285">
        <f t="shared" si="15"/>
        <v>25526.67</v>
      </c>
      <c r="AS15" s="287">
        <f>IF(AN15&lt;=0,0,AP15*'Hypothèses'!$B$45+AR15*'Hypothèses'!$B$46+IF(AP15&lt;=50000,0,IF(AP15&lt;=60000,AP15*0.02-(60000-AP15)/20,IF(AP15&lt;=100000,AP15*0.02,IF(AP15&lt;=110000,AP15*0.03-(110000-AP15)/10,IF(AP15&lt;=150000,AP15*0.03,IF(AP15&lt;=160000,AP15*0.04-(160000-AP15)*3/20,IF(AP15&lt;=200000,AP15*0.04,IF(AP15&lt;=210000,AP15*0.05-(210000-AP15)/5,IF(AP15&lt;=250000,AP15*0.05,IF(AP15&lt;=260000,AP15*0.06-(260000-AP15)/4,AP15*0.06)))))))))))</f>
        <v>7570.95924</v>
      </c>
      <c r="AT15" s="285">
        <f t="shared" ref="AT15:AT28" si="20">V4</f>
        <v>0</v>
      </c>
      <c r="AU15" s="288">
        <f>IFERROR(IRR(B71:N71),"")</f>
        <v>0.02287880137</v>
      </c>
      <c r="AV15" s="279">
        <f>MAX(0,I15)*'Barème fiscal'!$B$13</f>
        <v>340</v>
      </c>
      <c r="AW15" s="279">
        <f>Y15*'Barème fiscal'!$B$13</f>
        <v>0</v>
      </c>
    </row>
    <row r="16" ht="15.0" customHeight="1">
      <c r="A16" s="269">
        <v>13.0</v>
      </c>
      <c r="B16" s="270">
        <f>B15*(1+'Hypothèses'!$B$27)</f>
        <v>10760.56354</v>
      </c>
      <c r="C16" s="270">
        <f>B16*'Hypothèses'!$B$28</f>
        <v>3228.169063</v>
      </c>
      <c r="D16" s="270">
        <f>'Tableau dAMT financier'!E28</f>
        <v>5031.450486</v>
      </c>
      <c r="E16" s="270">
        <f>'Tableau dAMT financier'!F28</f>
        <v>884.8</v>
      </c>
      <c r="F16" s="270">
        <f>MIN('Hypothèses'!$B$34,MAX(0,'Hypothèses'!$B$31-AL15))</f>
        <v>7280</v>
      </c>
      <c r="G16" s="270">
        <f>'Tableau dAMT financier'!H28</f>
        <v>147115.7041</v>
      </c>
      <c r="H16" s="270">
        <f>H15*(1+index)</f>
        <v>260000</v>
      </c>
      <c r="I16" s="270">
        <f>I15*(1+index)</f>
        <v>5000</v>
      </c>
      <c r="J16" s="270">
        <f>'Hypothèses'!$B$50+I16-AV15</f>
        <v>90160</v>
      </c>
      <c r="K16" s="270">
        <f>J16/'Hypothèses'!$B$39</f>
        <v>36064</v>
      </c>
      <c r="L16" s="271">
        <f>IF(K16&lt;='Barème fiscal'!$B$4,'Barème fiscal'!$C$4,IF(K16&lt;='Barème fiscal'!$B$5,'Barème fiscal'!$C$5,IF(K16&lt;='Barème fiscal'!$B$6,'Barème fiscal'!$C$6,IF(K16&lt;='Barème fiscal'!$B$7,'Barème fiscal'!$C$7,'Barème fiscal'!$C$8))))</f>
        <v>0.3</v>
      </c>
      <c r="M16" s="272">
        <f t="shared" si="1"/>
        <v>0.1275175244</v>
      </c>
      <c r="N16" s="273">
        <f>MAX(0,IF(J16/2&lt;='Barème fiscal'!$B$4,0,IF(J16/2&lt;='Barème fiscal'!$B$5,J16*'Barème fiscal'!$C$5-'Barème fiscal'!$D$5*2,IF(J16/2&lt;='Barème fiscal'!$B$6,J16*'Barème fiscal'!$C$6-'Barème fiscal'!$D$6*2,IF(J16/2&lt;='Barème fiscal'!$B$7,J16*'Barème fiscal'!$C$7-'Barème fiscal'!$D$7*2,J16*'Barème fiscal'!$C$8-'Barème fiscal'!$D$8*2)))))-MIN(MAX(IF(J16/2&lt;='Barème fiscal'!$B$4,0,IF(J16/2&lt;='Barème fiscal'!$B$5,J16*'Barème fiscal'!$C$5-'Barème fiscal'!$D$5*2,IF(J16/2&lt;='Barème fiscal'!$B$6,J16*'Barème fiscal'!$C$6-'Barème fiscal'!$D$6*2,IF(J16/2&lt;='Barème fiscal'!$B$7,J16*'Barème fiscal'!$C$7-'Barème fiscal'!$D$7*2,J16*'Barème fiscal'!$C$8-'Barème fiscal'!$D$8*2))))-MAX(0,IF(K16&lt;='Barème fiscal'!$B$4,0,IF(K16&lt;='Barème fiscal'!$B$5,J16*'Barème fiscal'!$C$5-'Barème fiscal'!$D$5*'Hypothèses'!$B$39,IF(K16&lt;='Barème fiscal'!$B$6,J16*'Barème fiscal'!$C$6-'Barème fiscal'!$D$6*'Hypothèses'!$B$39,IF(K16&lt;='Barème fiscal'!$B$7,J16*'Barème fiscal'!$C$7-'Barème fiscal'!$D$7*'Hypothèses'!$B$39,J16*'Barème fiscal'!$C$8-'Barème fiscal'!$D$8*'Hypothèses'!$B$39))))),0),MAX('Hypothèses'!$B$39-2,0)*2*'Barème fiscal'!$B$10)</f>
        <v>11496.98</v>
      </c>
      <c r="O16" s="270">
        <f>MAX(0,I16)*'Hypothèses'!$B$40</f>
        <v>860</v>
      </c>
      <c r="P16" s="273">
        <f t="shared" si="2"/>
        <v>12356.98</v>
      </c>
      <c r="Q16" s="270">
        <f t="shared" si="3"/>
        <v>15760.56354</v>
      </c>
      <c r="R16" s="270">
        <f t="shared" si="16"/>
        <v>5916.250486</v>
      </c>
      <c r="S16" s="270">
        <f t="shared" si="4"/>
        <v>10508.16906</v>
      </c>
      <c r="T16" s="270">
        <f t="shared" si="5"/>
        <v>-663.8560053</v>
      </c>
      <c r="U16" s="273">
        <f>IF(T16&gt;=0,0,IF(Q16&gt;=R16,MAX(T16,-'Barème fiscal'!$B$11),MAX(-S16,-'Barème fiscal'!$B$11)))</f>
        <v>-663.8560053</v>
      </c>
      <c r="V16" s="270">
        <f>IF(T16&gt;=0,0,IF(Q16&gt;=R16,MAX(0,-T16-'Barème fiscal'!$B$11),(R16-Q16)+MAX(0,S16-'Barème fiscal'!$B$11)))</f>
        <v>0</v>
      </c>
      <c r="W16" s="273">
        <f t="shared" si="17"/>
        <v>0</v>
      </c>
      <c r="X16" s="273">
        <f t="shared" si="6"/>
        <v>0</v>
      </c>
      <c r="Y16" s="270">
        <f t="shared" si="7"/>
        <v>0</v>
      </c>
      <c r="Z16" s="270">
        <f>'Hypothèses'!$B$50+Y16+U16-AW15</f>
        <v>84836.14399</v>
      </c>
      <c r="AA16" s="270">
        <f>Z16/'Hypothèses'!$B$39</f>
        <v>33934.4576</v>
      </c>
      <c r="AB16" s="271">
        <f>IF(AA16&lt;='Barème fiscal'!$B$4,'Barème fiscal'!$C$4,IF(AA16&lt;='Barème fiscal'!$B$5,'Barème fiscal'!$C$5,IF(AA16&lt;='Barème fiscal'!$B$6,'Barème fiscal'!$C$6,IF(AA16&lt;='Barème fiscal'!$B$7,'Barème fiscal'!$C$7,'Barème fiscal'!$C$8))))</f>
        <v>0.3</v>
      </c>
      <c r="AC16" s="272">
        <f t="shared" si="8"/>
        <v>0.1166934603</v>
      </c>
      <c r="AD16" s="273">
        <f>MAX(0,IF(Z16/2&lt;='Barème fiscal'!$B$4,0,IF(Z16/2&lt;='Barème fiscal'!$B$5,Z16*'Barème fiscal'!$C$5-'Barème fiscal'!$D$5*2,IF(Z16/2&lt;='Barème fiscal'!$B$6,Z16*'Barème fiscal'!$C$6-'Barème fiscal'!$D$6*2,IF(Z16/2&lt;='Barème fiscal'!$B$7,Z16*'Barème fiscal'!$C$7-'Barème fiscal'!$D$7*2,Z16*'Barème fiscal'!$C$8-'Barème fiscal'!$D$8*2)))))-MIN(MAX(IF(Z16/2&lt;='Barème fiscal'!$B$4,0,IF(Z16/2&lt;='Barème fiscal'!$B$5,Z16*'Barème fiscal'!$C$5-'Barème fiscal'!$D$5*2,IF(Z16/2&lt;='Barème fiscal'!$B$6,Z16*'Barème fiscal'!$C$6-'Barème fiscal'!$D$6*2,IF(Z16/2&lt;='Barème fiscal'!$B$7,Z16*'Barème fiscal'!$C$7-'Barème fiscal'!$D$7*2,Z16*'Barème fiscal'!$C$8-'Barème fiscal'!$D$8*2))))-MAX(0,IF(AA16&lt;='Barème fiscal'!$B$4,0,IF(AA16&lt;='Barème fiscal'!$B$5,Z16*'Barème fiscal'!$C$5-'Barème fiscal'!$D$5*'Hypothèses'!$B$39,IF(AA16&lt;='Barème fiscal'!$B$6,Z16*'Barème fiscal'!$C$6-'Barème fiscal'!$D$6*'Hypothèses'!$B$39,IF(AA16&lt;='Barème fiscal'!$B$7,Z16*'Barème fiscal'!$C$7-'Barème fiscal'!$D$7*'Hypothèses'!$B$39,Z16*'Barème fiscal'!$C$8-'Barème fiscal'!$D$8*'Hypothèses'!$B$39))))),0),MAX('Hypothèses'!$B$39-2,0)*2*'Barème fiscal'!$B$10)</f>
        <v>9899.823198</v>
      </c>
      <c r="AE16" s="270">
        <f>Y16*'Hypothèses'!$B$40</f>
        <v>0</v>
      </c>
      <c r="AF16" s="273">
        <f t="shared" si="9"/>
        <v>9899.823198</v>
      </c>
      <c r="AG16" s="273">
        <f t="shared" si="10"/>
        <v>2457.156802</v>
      </c>
      <c r="AH16" s="273">
        <f t="shared" si="11"/>
        <v>103918.1064</v>
      </c>
      <c r="AI16" s="273">
        <f>(B16-'Tableau dAMT financier'!G28-C16+AG16)/12</f>
        <v>-479.8935668</v>
      </c>
      <c r="AJ16" s="112"/>
      <c r="AK16" s="273">
        <f t="shared" si="18"/>
        <v>-78970.21162</v>
      </c>
      <c r="AL16" s="275">
        <f t="shared" si="19"/>
        <v>94640</v>
      </c>
      <c r="AM16" s="275">
        <f>MAX(0,A16*'Hypothèses'!$B$31*'Hypothèses'!$B$32-AL16)</f>
        <v>0</v>
      </c>
      <c r="AN16" s="275">
        <f>H16-('Hypothèses'!$B$4+MAX('Hypothèses'!$B$4*'Hypothèses'!$B$5,'Hypothèses'!$B$4*'Hypothèses'!$B$43)+IF(A16&gt;5,'Hypothèses'!$B$4*'Hypothèses'!$B$44,0)-AL16)</f>
        <v>36140</v>
      </c>
      <c r="AO16" s="276">
        <f t="shared" si="12"/>
        <v>0.48</v>
      </c>
      <c r="AP16" s="275">
        <f t="shared" si="13"/>
        <v>18792.8</v>
      </c>
      <c r="AQ16" s="276">
        <f t="shared" si="14"/>
        <v>0.132</v>
      </c>
      <c r="AR16" s="275">
        <f t="shared" si="15"/>
        <v>31369.52</v>
      </c>
      <c r="AS16" s="277">
        <f>IF(AN16&lt;=0,0,AP16*'Hypothèses'!$B$45+AR16*'Hypothèses'!$B$46+IF(AP16&lt;=50000,0,IF(AP16&lt;=60000,AP16*0.02-(60000-AP16)/20,IF(AP16&lt;=100000,AP16*0.02,IF(AP16&lt;=110000,AP16*0.03-(110000-AP16)/10,IF(AP16&lt;=150000,AP16*0.03,IF(AP16&lt;=160000,AP16*0.04-(160000-AP16)*3/20,IF(AP16&lt;=200000,AP16*0.04,IF(AP16&lt;=210000,AP16*0.05-(210000-AP16)/5,IF(AP16&lt;=250000,AP16*0.05,IF(AP16&lt;=260000,AP16*0.06-(260000-AP16)/4,AP16*0.06)))))))))))</f>
        <v>8966.18944</v>
      </c>
      <c r="AT16" s="275">
        <f t="shared" si="20"/>
        <v>0</v>
      </c>
      <c r="AU16" s="278">
        <f>IFERROR(IRR(B72:O72),"")</f>
        <v>0.02352722824</v>
      </c>
      <c r="AV16" s="279">
        <f>MAX(0,I16)*'Barème fiscal'!$B$13</f>
        <v>340</v>
      </c>
      <c r="AW16" s="279">
        <f>Y16*'Barème fiscal'!$B$13</f>
        <v>0</v>
      </c>
    </row>
    <row r="17" ht="15.0" customHeight="1">
      <c r="A17" s="280">
        <v>14.0</v>
      </c>
      <c r="B17" s="281">
        <f>B16*(1+'Hypothèses'!$B$27)</f>
        <v>10921.972</v>
      </c>
      <c r="C17" s="281">
        <f>B17*'Hypothèses'!$B$28</f>
        <v>3276.591599</v>
      </c>
      <c r="D17" s="281">
        <f>'Tableau dAMT financier'!E29</f>
        <v>4702.041034</v>
      </c>
      <c r="E17" s="281">
        <f>'Tableau dAMT financier'!F29</f>
        <v>884.8</v>
      </c>
      <c r="F17" s="281">
        <f>MIN('Hypothèses'!$B$34,MAX(0,'Hypothèses'!$B$31-AL16))</f>
        <v>7280</v>
      </c>
      <c r="G17" s="281">
        <f>'Tableau dAMT financier'!H29</f>
        <v>136954.2711</v>
      </c>
      <c r="H17" s="281">
        <f>H16*(1+index)</f>
        <v>260000</v>
      </c>
      <c r="I17" s="281">
        <f>I16*(1+index)</f>
        <v>5000</v>
      </c>
      <c r="J17" s="281">
        <f>'Hypothèses'!$B$50+I17-AV16</f>
        <v>90160</v>
      </c>
      <c r="K17" s="281">
        <f>J17/'Hypothèses'!$B$39</f>
        <v>36064</v>
      </c>
      <c r="L17" s="282">
        <f>IF(K17&lt;='Barème fiscal'!$B$4,'Barème fiscal'!$C$4,IF(K17&lt;='Barème fiscal'!$B$5,'Barème fiscal'!$C$5,IF(K17&lt;='Barème fiscal'!$B$6,'Barème fiscal'!$C$6,IF(K17&lt;='Barème fiscal'!$B$7,'Barème fiscal'!$C$7,'Barème fiscal'!$C$8))))</f>
        <v>0.3</v>
      </c>
      <c r="M17" s="283">
        <f t="shared" si="1"/>
        <v>0.1275175244</v>
      </c>
      <c r="N17" s="284">
        <f>MAX(0,IF(J17/2&lt;='Barème fiscal'!$B$4,0,IF(J17/2&lt;='Barème fiscal'!$B$5,J17*'Barème fiscal'!$C$5-'Barème fiscal'!$D$5*2,IF(J17/2&lt;='Barème fiscal'!$B$6,J17*'Barème fiscal'!$C$6-'Barème fiscal'!$D$6*2,IF(J17/2&lt;='Barème fiscal'!$B$7,J17*'Barème fiscal'!$C$7-'Barème fiscal'!$D$7*2,J17*'Barème fiscal'!$C$8-'Barème fiscal'!$D$8*2)))))-MIN(MAX(IF(J17/2&lt;='Barème fiscal'!$B$4,0,IF(J17/2&lt;='Barème fiscal'!$B$5,J17*'Barème fiscal'!$C$5-'Barème fiscal'!$D$5*2,IF(J17/2&lt;='Barème fiscal'!$B$6,J17*'Barème fiscal'!$C$6-'Barème fiscal'!$D$6*2,IF(J17/2&lt;='Barème fiscal'!$B$7,J17*'Barème fiscal'!$C$7-'Barème fiscal'!$D$7*2,J17*'Barème fiscal'!$C$8-'Barème fiscal'!$D$8*2))))-MAX(0,IF(K17&lt;='Barème fiscal'!$B$4,0,IF(K17&lt;='Barème fiscal'!$B$5,J17*'Barème fiscal'!$C$5-'Barème fiscal'!$D$5*'Hypothèses'!$B$39,IF(K17&lt;='Barème fiscal'!$B$6,J17*'Barème fiscal'!$C$6-'Barème fiscal'!$D$6*'Hypothèses'!$B$39,IF(K17&lt;='Barème fiscal'!$B$7,J17*'Barème fiscal'!$C$7-'Barème fiscal'!$D$7*'Hypothèses'!$B$39,J17*'Barème fiscal'!$C$8-'Barème fiscal'!$D$8*'Hypothèses'!$B$39))))),0),MAX('Hypothèses'!$B$39-2,0)*2*'Barème fiscal'!$B$10)</f>
        <v>11496.98</v>
      </c>
      <c r="O17" s="281">
        <f>MAX(0,I17)*'Hypothèses'!$B$40</f>
        <v>860</v>
      </c>
      <c r="P17" s="284">
        <f t="shared" si="2"/>
        <v>12356.98</v>
      </c>
      <c r="Q17" s="281">
        <f t="shared" si="3"/>
        <v>15921.972</v>
      </c>
      <c r="R17" s="281">
        <f t="shared" si="16"/>
        <v>5586.841034</v>
      </c>
      <c r="S17" s="281">
        <f t="shared" si="4"/>
        <v>10556.5916</v>
      </c>
      <c r="T17" s="281">
        <f t="shared" si="5"/>
        <v>-221.4606364</v>
      </c>
      <c r="U17" s="284">
        <f>IF(T17&gt;=0,0,IF(Q17&gt;=R17,MAX(T17,-'Barème fiscal'!$B$11),MAX(-S17,-'Barème fiscal'!$B$11)))</f>
        <v>-221.4606364</v>
      </c>
      <c r="V17" s="281">
        <f>IF(T17&gt;=0,0,IF(Q17&gt;=R17,MAX(0,-T17-'Barème fiscal'!$B$11),(R17-Q17)+MAX(0,S17-'Barème fiscal'!$B$11)))</f>
        <v>0</v>
      </c>
      <c r="W17" s="284">
        <f t="shared" si="17"/>
        <v>0</v>
      </c>
      <c r="X17" s="284">
        <f t="shared" si="6"/>
        <v>0</v>
      </c>
      <c r="Y17" s="281">
        <f t="shared" si="7"/>
        <v>0</v>
      </c>
      <c r="Z17" s="281">
        <f>'Hypothèses'!$B$50+Y17+U17-AW16</f>
        <v>85278.53936</v>
      </c>
      <c r="AA17" s="281">
        <f>Z17/'Hypothèses'!$B$39</f>
        <v>34111.41575</v>
      </c>
      <c r="AB17" s="282">
        <f>IF(AA17&lt;='Barème fiscal'!$B$4,'Barème fiscal'!$C$4,IF(AA17&lt;='Barème fiscal'!$B$5,'Barème fiscal'!$C$5,IF(AA17&lt;='Barème fiscal'!$B$6,'Barème fiscal'!$C$6,IF(AA17&lt;='Barème fiscal'!$B$7,'Barème fiscal'!$C$7,'Barème fiscal'!$C$8))))</f>
        <v>0.3</v>
      </c>
      <c r="AC17" s="283">
        <f t="shared" si="8"/>
        <v>0.1176443908</v>
      </c>
      <c r="AD17" s="284">
        <f>MAX(0,IF(Z17/2&lt;='Barème fiscal'!$B$4,0,IF(Z17/2&lt;='Barème fiscal'!$B$5,Z17*'Barème fiscal'!$C$5-'Barème fiscal'!$D$5*2,IF(Z17/2&lt;='Barème fiscal'!$B$6,Z17*'Barème fiscal'!$C$6-'Barème fiscal'!$D$6*2,IF(Z17/2&lt;='Barème fiscal'!$B$7,Z17*'Barème fiscal'!$C$7-'Barème fiscal'!$D$7*2,Z17*'Barème fiscal'!$C$8-'Barème fiscal'!$D$8*2)))))-MIN(MAX(IF(Z17/2&lt;='Barème fiscal'!$B$4,0,IF(Z17/2&lt;='Barème fiscal'!$B$5,Z17*'Barème fiscal'!$C$5-'Barème fiscal'!$D$5*2,IF(Z17/2&lt;='Barème fiscal'!$B$6,Z17*'Barème fiscal'!$C$6-'Barème fiscal'!$D$6*2,IF(Z17/2&lt;='Barème fiscal'!$B$7,Z17*'Barème fiscal'!$C$7-'Barème fiscal'!$D$7*2,Z17*'Barème fiscal'!$C$8-'Barème fiscal'!$D$8*2))))-MAX(0,IF(AA17&lt;='Barème fiscal'!$B$4,0,IF(AA17&lt;='Barème fiscal'!$B$5,Z17*'Barème fiscal'!$C$5-'Barème fiscal'!$D$5*'Hypothèses'!$B$39,IF(AA17&lt;='Barème fiscal'!$B$6,Z17*'Barème fiscal'!$C$6-'Barème fiscal'!$D$6*'Hypothèses'!$B$39,IF(AA17&lt;='Barème fiscal'!$B$7,Z17*'Barème fiscal'!$C$7-'Barème fiscal'!$D$7*'Hypothèses'!$B$39,Z17*'Barème fiscal'!$C$8-'Barème fiscal'!$D$8*'Hypothèses'!$B$39))))),0),MAX('Hypothèses'!$B$39-2,0)*2*'Barème fiscal'!$B$10)</f>
        <v>10032.54181</v>
      </c>
      <c r="AE17" s="281">
        <f>Y17*'Hypothèses'!$B$40</f>
        <v>0</v>
      </c>
      <c r="AF17" s="284">
        <f t="shared" si="9"/>
        <v>10032.54181</v>
      </c>
      <c r="AG17" s="284">
        <f t="shared" si="10"/>
        <v>2324.438191</v>
      </c>
      <c r="AH17" s="284">
        <f t="shared" si="11"/>
        <v>112891.6146</v>
      </c>
      <c r="AI17" s="284">
        <f>(B17-'Tableau dAMT financier'!G29-C17+AG17)/12</f>
        <v>-481.537958</v>
      </c>
      <c r="AJ17" s="112"/>
      <c r="AK17" s="284">
        <f t="shared" si="18"/>
        <v>-84748.66712</v>
      </c>
      <c r="AL17" s="285">
        <f t="shared" si="19"/>
        <v>101920</v>
      </c>
      <c r="AM17" s="285">
        <f>MAX(0,A17*'Hypothèses'!$B$31*'Hypothèses'!$B$32-AL17)</f>
        <v>0</v>
      </c>
      <c r="AN17" s="285">
        <f>H17-('Hypothèses'!$B$4+MAX('Hypothèses'!$B$4*'Hypothèses'!$B$5,'Hypothèses'!$B$4*'Hypothèses'!$B$43)+IF(A17&gt;5,'Hypothèses'!$B$4*'Hypothèses'!$B$44,0)-AL17)</f>
        <v>43420</v>
      </c>
      <c r="AO17" s="286">
        <f t="shared" si="12"/>
        <v>0.54</v>
      </c>
      <c r="AP17" s="285">
        <f t="shared" si="13"/>
        <v>19973.2</v>
      </c>
      <c r="AQ17" s="286">
        <f t="shared" si="14"/>
        <v>0.1485</v>
      </c>
      <c r="AR17" s="285">
        <f t="shared" si="15"/>
        <v>36972.13</v>
      </c>
      <c r="AS17" s="287">
        <f>IF(AN17&lt;=0,0,AP17*'Hypothèses'!$B$45+AR17*'Hypothèses'!$B$46+IF(AP17&lt;=50000,0,IF(AP17&lt;=60000,AP17*0.02-(60000-AP17)/20,IF(AP17&lt;=100000,AP17*0.02,IF(AP17&lt;=110000,AP17*0.03-(110000-AP17)/10,IF(AP17&lt;=150000,AP17*0.03,IF(AP17&lt;=160000,AP17*0.04-(160000-AP17)*3/20,IF(AP17&lt;=200000,AP17*0.04,IF(AP17&lt;=210000,AP17*0.05-(210000-AP17)/5,IF(AP17&lt;=250000,AP17*0.05,IF(AP17&lt;=260000,AP17*0.06-(260000-AP17)/4,AP17*0.06)))))))))))</f>
        <v>10154.11436</v>
      </c>
      <c r="AT17" s="285">
        <f t="shared" si="20"/>
        <v>0</v>
      </c>
      <c r="AU17" s="288">
        <f>IFERROR(IRR(B73:P73),"")</f>
        <v>0.02437127242</v>
      </c>
      <c r="AV17" s="279">
        <f>MAX(0,I17)*'Barème fiscal'!$B$13</f>
        <v>340</v>
      </c>
      <c r="AW17" s="279">
        <f>Y17*'Barème fiscal'!$B$13</f>
        <v>0</v>
      </c>
    </row>
    <row r="18" ht="15.0" customHeight="1">
      <c r="A18" s="269">
        <v>15.0</v>
      </c>
      <c r="B18" s="270">
        <f>B17*(1+'Hypothèses'!$B$27)</f>
        <v>11085.80158</v>
      </c>
      <c r="C18" s="270">
        <f>B18*'Hypothèses'!$B$28</f>
        <v>3325.740473</v>
      </c>
      <c r="D18" s="270">
        <f>'Tableau dAMT financier'!E30</f>
        <v>4361.595137</v>
      </c>
      <c r="E18" s="270">
        <f>'Tableau dAMT financier'!F30</f>
        <v>884.8</v>
      </c>
      <c r="F18" s="270">
        <f>MIN('Hypothèses'!$B$34,MAX(0,'Hypothèses'!$B$31-AL17))</f>
        <v>7280</v>
      </c>
      <c r="G18" s="270">
        <f>'Tableau dAMT financier'!H30</f>
        <v>126452.3921</v>
      </c>
      <c r="H18" s="270">
        <f>H17*(1+index)</f>
        <v>260000</v>
      </c>
      <c r="I18" s="270">
        <f>I17*(1+index)</f>
        <v>5000</v>
      </c>
      <c r="J18" s="270">
        <f>'Hypothèses'!$B$50+I18-AV17</f>
        <v>90160</v>
      </c>
      <c r="K18" s="270">
        <f>J18/'Hypothèses'!$B$39</f>
        <v>36064</v>
      </c>
      <c r="L18" s="271">
        <f>IF(K18&lt;='Barème fiscal'!$B$4,'Barème fiscal'!$C$4,IF(K18&lt;='Barème fiscal'!$B$5,'Barème fiscal'!$C$5,IF(K18&lt;='Barème fiscal'!$B$6,'Barème fiscal'!$C$6,IF(K18&lt;='Barème fiscal'!$B$7,'Barème fiscal'!$C$7,'Barème fiscal'!$C$8))))</f>
        <v>0.3</v>
      </c>
      <c r="M18" s="272">
        <f t="shared" si="1"/>
        <v>0.1275175244</v>
      </c>
      <c r="N18" s="273">
        <f>MAX(0,IF(J18/2&lt;='Barème fiscal'!$B$4,0,IF(J18/2&lt;='Barème fiscal'!$B$5,J18*'Barème fiscal'!$C$5-'Barème fiscal'!$D$5*2,IF(J18/2&lt;='Barème fiscal'!$B$6,J18*'Barème fiscal'!$C$6-'Barème fiscal'!$D$6*2,IF(J18/2&lt;='Barème fiscal'!$B$7,J18*'Barème fiscal'!$C$7-'Barème fiscal'!$D$7*2,J18*'Barème fiscal'!$C$8-'Barème fiscal'!$D$8*2)))))-MIN(MAX(IF(J18/2&lt;='Barème fiscal'!$B$4,0,IF(J18/2&lt;='Barème fiscal'!$B$5,J18*'Barème fiscal'!$C$5-'Barème fiscal'!$D$5*2,IF(J18/2&lt;='Barème fiscal'!$B$6,J18*'Barème fiscal'!$C$6-'Barème fiscal'!$D$6*2,IF(J18/2&lt;='Barème fiscal'!$B$7,J18*'Barème fiscal'!$C$7-'Barème fiscal'!$D$7*2,J18*'Barème fiscal'!$C$8-'Barème fiscal'!$D$8*2))))-MAX(0,IF(K18&lt;='Barème fiscal'!$B$4,0,IF(K18&lt;='Barème fiscal'!$B$5,J18*'Barème fiscal'!$C$5-'Barème fiscal'!$D$5*'Hypothèses'!$B$39,IF(K18&lt;='Barème fiscal'!$B$6,J18*'Barème fiscal'!$C$6-'Barème fiscal'!$D$6*'Hypothèses'!$B$39,IF(K18&lt;='Barème fiscal'!$B$7,J18*'Barème fiscal'!$C$7-'Barème fiscal'!$D$7*'Hypothèses'!$B$39,J18*'Barème fiscal'!$C$8-'Barème fiscal'!$D$8*'Hypothèses'!$B$39))))),0),MAX('Hypothèses'!$B$39-2,0)*2*'Barème fiscal'!$B$10)</f>
        <v>11496.98</v>
      </c>
      <c r="O18" s="270">
        <f>MAX(0,I18)*'Hypothèses'!$B$40</f>
        <v>860</v>
      </c>
      <c r="P18" s="273">
        <f t="shared" si="2"/>
        <v>12356.98</v>
      </c>
      <c r="Q18" s="270">
        <f t="shared" si="3"/>
        <v>16085.80158</v>
      </c>
      <c r="R18" s="270">
        <f t="shared" si="16"/>
        <v>5246.395137</v>
      </c>
      <c r="S18" s="270">
        <f t="shared" si="4"/>
        <v>10605.74047</v>
      </c>
      <c r="T18" s="270">
        <f t="shared" si="5"/>
        <v>233.6659661</v>
      </c>
      <c r="U18" s="273">
        <f>IF(T18&gt;=0,0,IF(Q18&gt;=R18,MAX(T18,-'Barème fiscal'!$B$11),MAX(-S18,-'Barème fiscal'!$B$11)))</f>
        <v>0</v>
      </c>
      <c r="V18" s="270">
        <f>IF(T18&gt;=0,0,IF(Q18&gt;=R18,MAX(0,-T18-'Barème fiscal'!$B$11),(R18-Q18)+MAX(0,S18-'Barème fiscal'!$B$11)))</f>
        <v>0</v>
      </c>
      <c r="W18" s="273">
        <f t="shared" si="17"/>
        <v>0</v>
      </c>
      <c r="X18" s="273">
        <f t="shared" si="6"/>
        <v>0</v>
      </c>
      <c r="Y18" s="270">
        <f t="shared" si="7"/>
        <v>233.6659661</v>
      </c>
      <c r="Z18" s="270">
        <f>'Hypothèses'!$B$50+Y18+U18-AW17</f>
        <v>85733.66597</v>
      </c>
      <c r="AA18" s="270">
        <f>Z18/'Hypothèses'!$B$39</f>
        <v>34293.46639</v>
      </c>
      <c r="AB18" s="271">
        <f>IF(AA18&lt;='Barème fiscal'!$B$4,'Barème fiscal'!$C$4,IF(AA18&lt;='Barème fiscal'!$B$5,'Barème fiscal'!$C$5,IF(AA18&lt;='Barème fiscal'!$B$6,'Barème fiscal'!$C$6,IF(AA18&lt;='Barème fiscal'!$B$7,'Barème fiscal'!$C$7,'Barème fiscal'!$C$8))))</f>
        <v>0.3</v>
      </c>
      <c r="AC18" s="272">
        <f t="shared" si="8"/>
        <v>0.1186124456</v>
      </c>
      <c r="AD18" s="273">
        <f>MAX(0,IF(Z18/2&lt;='Barème fiscal'!$B$4,0,IF(Z18/2&lt;='Barème fiscal'!$B$5,Z18*'Barème fiscal'!$C$5-'Barème fiscal'!$D$5*2,IF(Z18/2&lt;='Barème fiscal'!$B$6,Z18*'Barème fiscal'!$C$6-'Barème fiscal'!$D$6*2,IF(Z18/2&lt;='Barème fiscal'!$B$7,Z18*'Barème fiscal'!$C$7-'Barème fiscal'!$D$7*2,Z18*'Barème fiscal'!$C$8-'Barème fiscal'!$D$8*2)))))-MIN(MAX(IF(Z18/2&lt;='Barème fiscal'!$B$4,0,IF(Z18/2&lt;='Barème fiscal'!$B$5,Z18*'Barème fiscal'!$C$5-'Barème fiscal'!$D$5*2,IF(Z18/2&lt;='Barème fiscal'!$B$6,Z18*'Barème fiscal'!$C$6-'Barème fiscal'!$D$6*2,IF(Z18/2&lt;='Barème fiscal'!$B$7,Z18*'Barème fiscal'!$C$7-'Barème fiscal'!$D$7*2,Z18*'Barème fiscal'!$C$8-'Barème fiscal'!$D$8*2))))-MAX(0,IF(AA18&lt;='Barème fiscal'!$B$4,0,IF(AA18&lt;='Barème fiscal'!$B$5,Z18*'Barème fiscal'!$C$5-'Barème fiscal'!$D$5*'Hypothèses'!$B$39,IF(AA18&lt;='Barème fiscal'!$B$6,Z18*'Barème fiscal'!$C$6-'Barème fiscal'!$D$6*'Hypothèses'!$B$39,IF(AA18&lt;='Barème fiscal'!$B$7,Z18*'Barème fiscal'!$C$7-'Barème fiscal'!$D$7*'Hypothèses'!$B$39,Z18*'Barème fiscal'!$C$8-'Barème fiscal'!$D$8*'Hypothèses'!$B$39))))),0),MAX('Hypothèses'!$B$39-2,0)*2*'Barème fiscal'!$B$10)</f>
        <v>10169.07979</v>
      </c>
      <c r="AE18" s="270">
        <f>Y18*'Hypothèses'!$B$40</f>
        <v>40.19054617</v>
      </c>
      <c r="AF18" s="273">
        <f t="shared" si="9"/>
        <v>10209.27034</v>
      </c>
      <c r="AG18" s="273">
        <f t="shared" si="10"/>
        <v>2147.709664</v>
      </c>
      <c r="AH18" s="273">
        <f t="shared" si="11"/>
        <v>122412.8739</v>
      </c>
      <c r="AI18" s="273">
        <f>(B18-'Tableau dAMT financier'!G30-C18+AG18)/12</f>
        <v>-486.7086097</v>
      </c>
      <c r="AJ18" s="112"/>
      <c r="AK18" s="273">
        <f t="shared" si="18"/>
        <v>-90589.17044</v>
      </c>
      <c r="AL18" s="275">
        <f t="shared" si="19"/>
        <v>109200</v>
      </c>
      <c r="AM18" s="275">
        <f>MAX(0,A18*'Hypothèses'!$B$31*'Hypothèses'!$B$32-AL18)</f>
        <v>0</v>
      </c>
      <c r="AN18" s="275">
        <f>H18-('Hypothèses'!$B$4+MAX('Hypothèses'!$B$4*'Hypothèses'!$B$5,'Hypothèses'!$B$4*'Hypothèses'!$B$43)+IF(A18&gt;5,'Hypothèses'!$B$4*'Hypothèses'!$B$44,0)-AL18)</f>
        <v>50700</v>
      </c>
      <c r="AO18" s="276">
        <f t="shared" si="12"/>
        <v>0.6</v>
      </c>
      <c r="AP18" s="275">
        <f t="shared" si="13"/>
        <v>20280</v>
      </c>
      <c r="AQ18" s="276">
        <f t="shared" si="14"/>
        <v>0.165</v>
      </c>
      <c r="AR18" s="275">
        <f t="shared" si="15"/>
        <v>42334.5</v>
      </c>
      <c r="AS18" s="277">
        <f>IF(AN18&lt;=0,0,AP18*'Hypothèses'!$B$45+AR18*'Hypothèses'!$B$46+IF(AP18&lt;=50000,0,IF(AP18&lt;=60000,AP18*0.02-(60000-AP18)/20,IF(AP18&lt;=100000,AP18*0.02,IF(AP18&lt;=110000,AP18*0.03-(110000-AP18)/10,IF(AP18&lt;=150000,AP18*0.03,IF(AP18&lt;=160000,AP18*0.04-(160000-AP18)*3/20,IF(AP18&lt;=200000,AP18*0.04,IF(AP18&lt;=210000,AP18*0.05-(210000-AP18)/5,IF(AP18&lt;=250000,AP18*0.05,IF(AP18&lt;=260000,AP18*0.06-(260000-AP18)/4,AP18*0.06)))))))))))</f>
        <v>11134.734</v>
      </c>
      <c r="AT18" s="275">
        <f t="shared" si="20"/>
        <v>0</v>
      </c>
      <c r="AU18" s="278">
        <f>IFERROR(IRR(B74:Q74),"")</f>
        <v>0.02527221074</v>
      </c>
      <c r="AV18" s="279">
        <f>MAX(0,I18)*'Barème fiscal'!$B$13</f>
        <v>340</v>
      </c>
      <c r="AW18" s="279">
        <f>Y18*'Barème fiscal'!$B$13</f>
        <v>15.8892857</v>
      </c>
    </row>
    <row r="19" ht="15.0" customHeight="1">
      <c r="A19" s="280">
        <v>16.0</v>
      </c>
      <c r="B19" s="281">
        <f>B18*(1+'Hypothèses'!$B$27)</f>
        <v>11252.0886</v>
      </c>
      <c r="C19" s="281">
        <f>B19*'Hypothèses'!$B$28</f>
        <v>3375.62658</v>
      </c>
      <c r="D19" s="281">
        <f>'Tableau dAMT financier'!E31</f>
        <v>4009.743034</v>
      </c>
      <c r="E19" s="281">
        <f>'Tableau dAMT financier'!F31</f>
        <v>884.8</v>
      </c>
      <c r="F19" s="281">
        <f>MIN('Hypothèses'!$B$34,MAX(0,'Hypothèses'!$B$31-AL18))</f>
        <v>7280</v>
      </c>
      <c r="G19" s="281">
        <f>'Tableau dAMT financier'!H31</f>
        <v>115598.6611</v>
      </c>
      <c r="H19" s="281">
        <f>H18*(1+index)</f>
        <v>260000</v>
      </c>
      <c r="I19" s="281">
        <f>I18*(1+index)</f>
        <v>5000</v>
      </c>
      <c r="J19" s="281">
        <f>'Hypothèses'!$B$50+I19-AV18</f>
        <v>90160</v>
      </c>
      <c r="K19" s="281">
        <f>J19/'Hypothèses'!$B$39</f>
        <v>36064</v>
      </c>
      <c r="L19" s="282">
        <f>IF(K19&lt;='Barème fiscal'!$B$4,'Barème fiscal'!$C$4,IF(K19&lt;='Barème fiscal'!$B$5,'Barème fiscal'!$C$5,IF(K19&lt;='Barème fiscal'!$B$6,'Barème fiscal'!$C$6,IF(K19&lt;='Barème fiscal'!$B$7,'Barème fiscal'!$C$7,'Barème fiscal'!$C$8))))</f>
        <v>0.3</v>
      </c>
      <c r="M19" s="283">
        <f t="shared" si="1"/>
        <v>0.1275175244</v>
      </c>
      <c r="N19" s="284">
        <f>MAX(0,IF(J19/2&lt;='Barème fiscal'!$B$4,0,IF(J19/2&lt;='Barème fiscal'!$B$5,J19*'Barème fiscal'!$C$5-'Barème fiscal'!$D$5*2,IF(J19/2&lt;='Barème fiscal'!$B$6,J19*'Barème fiscal'!$C$6-'Barème fiscal'!$D$6*2,IF(J19/2&lt;='Barème fiscal'!$B$7,J19*'Barème fiscal'!$C$7-'Barème fiscal'!$D$7*2,J19*'Barème fiscal'!$C$8-'Barème fiscal'!$D$8*2)))))-MIN(MAX(IF(J19/2&lt;='Barème fiscal'!$B$4,0,IF(J19/2&lt;='Barème fiscal'!$B$5,J19*'Barème fiscal'!$C$5-'Barème fiscal'!$D$5*2,IF(J19/2&lt;='Barème fiscal'!$B$6,J19*'Barème fiscal'!$C$6-'Barème fiscal'!$D$6*2,IF(J19/2&lt;='Barème fiscal'!$B$7,J19*'Barème fiscal'!$C$7-'Barème fiscal'!$D$7*2,J19*'Barème fiscal'!$C$8-'Barème fiscal'!$D$8*2))))-MAX(0,IF(K19&lt;='Barème fiscal'!$B$4,0,IF(K19&lt;='Barème fiscal'!$B$5,J19*'Barème fiscal'!$C$5-'Barème fiscal'!$D$5*'Hypothèses'!$B$39,IF(K19&lt;='Barème fiscal'!$B$6,J19*'Barème fiscal'!$C$6-'Barème fiscal'!$D$6*'Hypothèses'!$B$39,IF(K19&lt;='Barème fiscal'!$B$7,J19*'Barème fiscal'!$C$7-'Barème fiscal'!$D$7*'Hypothèses'!$B$39,J19*'Barème fiscal'!$C$8-'Barème fiscal'!$D$8*'Hypothèses'!$B$39))))),0),MAX('Hypothèses'!$B$39-2,0)*2*'Barème fiscal'!$B$10)</f>
        <v>11496.98</v>
      </c>
      <c r="O19" s="281">
        <f>MAX(0,I19)*'Hypothèses'!$B$40</f>
        <v>860</v>
      </c>
      <c r="P19" s="284">
        <f t="shared" si="2"/>
        <v>12356.98</v>
      </c>
      <c r="Q19" s="281">
        <f t="shared" si="3"/>
        <v>16252.0886</v>
      </c>
      <c r="R19" s="281">
        <f t="shared" si="16"/>
        <v>4894.543034</v>
      </c>
      <c r="S19" s="281">
        <f t="shared" si="4"/>
        <v>10655.62658</v>
      </c>
      <c r="T19" s="281">
        <f t="shared" si="5"/>
        <v>701.9189862</v>
      </c>
      <c r="U19" s="284">
        <f>IF(T19&gt;=0,0,IF(Q19&gt;=R19,MAX(T19,-'Barème fiscal'!$B$11),MAX(-S19,-'Barème fiscal'!$B$11)))</f>
        <v>0</v>
      </c>
      <c r="V19" s="281">
        <f>IF(T19&gt;=0,0,IF(Q19&gt;=R19,MAX(0,-T19-'Barème fiscal'!$B$11),(R19-Q19)+MAX(0,S19-'Barème fiscal'!$B$11)))</f>
        <v>0</v>
      </c>
      <c r="W19" s="284">
        <f t="shared" si="17"/>
        <v>0</v>
      </c>
      <c r="X19" s="284">
        <f t="shared" si="6"/>
        <v>0</v>
      </c>
      <c r="Y19" s="281">
        <f t="shared" si="7"/>
        <v>701.9189862</v>
      </c>
      <c r="Z19" s="281">
        <f>'Hypothèses'!$B$50+Y19+U19-AW18</f>
        <v>86186.0297</v>
      </c>
      <c r="AA19" s="281">
        <f>Z19/'Hypothèses'!$B$39</f>
        <v>34474.41188</v>
      </c>
      <c r="AB19" s="282">
        <f>IF(AA19&lt;='Barème fiscal'!$B$4,'Barème fiscal'!$C$4,IF(AA19&lt;='Barème fiscal'!$B$5,'Barème fiscal'!$C$5,IF(AA19&lt;='Barème fiscal'!$B$6,'Barème fiscal'!$C$6,IF(AA19&lt;='Barème fiscal'!$B$7,'Barème fiscal'!$C$7,'Barème fiscal'!$C$8))))</f>
        <v>0.3</v>
      </c>
      <c r="AC19" s="283">
        <f t="shared" si="8"/>
        <v>0.1195644926</v>
      </c>
      <c r="AD19" s="284">
        <f>MAX(0,IF(Z19/2&lt;='Barème fiscal'!$B$4,0,IF(Z19/2&lt;='Barème fiscal'!$B$5,Z19*'Barème fiscal'!$C$5-'Barème fiscal'!$D$5*2,IF(Z19/2&lt;='Barème fiscal'!$B$6,Z19*'Barème fiscal'!$C$6-'Barème fiscal'!$D$6*2,IF(Z19/2&lt;='Barème fiscal'!$B$7,Z19*'Barème fiscal'!$C$7-'Barème fiscal'!$D$7*2,Z19*'Barème fiscal'!$C$8-'Barème fiscal'!$D$8*2)))))-MIN(MAX(IF(Z19/2&lt;='Barème fiscal'!$B$4,0,IF(Z19/2&lt;='Barème fiscal'!$B$5,Z19*'Barème fiscal'!$C$5-'Barème fiscal'!$D$5*2,IF(Z19/2&lt;='Barème fiscal'!$B$6,Z19*'Barème fiscal'!$C$6-'Barème fiscal'!$D$6*2,IF(Z19/2&lt;='Barème fiscal'!$B$7,Z19*'Barème fiscal'!$C$7-'Barème fiscal'!$D$7*2,Z19*'Barème fiscal'!$C$8-'Barème fiscal'!$D$8*2))))-MAX(0,IF(AA19&lt;='Barème fiscal'!$B$4,0,IF(AA19&lt;='Barème fiscal'!$B$5,Z19*'Barème fiscal'!$C$5-'Barème fiscal'!$D$5*'Hypothèses'!$B$39,IF(AA19&lt;='Barème fiscal'!$B$6,Z19*'Barème fiscal'!$C$6-'Barème fiscal'!$D$6*'Hypothèses'!$B$39,IF(AA19&lt;='Barème fiscal'!$B$7,Z19*'Barème fiscal'!$C$7-'Barème fiscal'!$D$7*'Hypothèses'!$B$39,Z19*'Barème fiscal'!$C$8-'Barème fiscal'!$D$8*'Hypothèses'!$B$39))))),0),MAX('Hypothèses'!$B$39-2,0)*2*'Barème fiscal'!$B$10)</f>
        <v>10304.78891</v>
      </c>
      <c r="AE19" s="281">
        <f>Y19*'Hypothèses'!$B$40</f>
        <v>120.7300656</v>
      </c>
      <c r="AF19" s="284">
        <f t="shared" si="9"/>
        <v>10425.51898</v>
      </c>
      <c r="AG19" s="284">
        <f t="shared" si="10"/>
        <v>1931.461024</v>
      </c>
      <c r="AH19" s="284">
        <f t="shared" si="11"/>
        <v>132493.2906</v>
      </c>
      <c r="AI19" s="284">
        <f>(B19-'Tableau dAMT financier'!G31-C19+AG19)/12</f>
        <v>-495.0292533</v>
      </c>
      <c r="AJ19" s="112"/>
      <c r="AK19" s="284">
        <f t="shared" si="18"/>
        <v>-96529.52148</v>
      </c>
      <c r="AL19" s="285">
        <f t="shared" si="19"/>
        <v>116480</v>
      </c>
      <c r="AM19" s="285">
        <f>MAX(0,A19*'Hypothèses'!$B$31*'Hypothèses'!$B$32-AL19)</f>
        <v>0</v>
      </c>
      <c r="AN19" s="285">
        <f>H19-('Hypothèses'!$B$4+MAX('Hypothèses'!$B$4*'Hypothèses'!$B$5,'Hypothèses'!$B$4*'Hypothèses'!$B$43)+IF(A19&gt;5,'Hypothèses'!$B$4*'Hypothèses'!$B$44,0)-AL19)</f>
        <v>57980</v>
      </c>
      <c r="AO19" s="286">
        <f t="shared" si="12"/>
        <v>0.66</v>
      </c>
      <c r="AP19" s="285">
        <f t="shared" si="13"/>
        <v>19713.2</v>
      </c>
      <c r="AQ19" s="286">
        <f t="shared" si="14"/>
        <v>0.1815</v>
      </c>
      <c r="AR19" s="285">
        <f t="shared" si="15"/>
        <v>47456.63</v>
      </c>
      <c r="AS19" s="287">
        <f>IF(AN19&lt;=0,0,AP19*'Hypothèses'!$B$45+AR19*'Hypothèses'!$B$46+IF(AP19&lt;=50000,0,IF(AP19&lt;=60000,AP19*0.02-(60000-AP19)/20,IF(AP19&lt;=100000,AP19*0.02,IF(AP19&lt;=110000,AP19*0.03-(110000-AP19)/10,IF(AP19&lt;=150000,AP19*0.03,IF(AP19&lt;=160000,AP19*0.04-(160000-AP19)*3/20,IF(AP19&lt;=200000,AP19*0.04,IF(AP19&lt;=210000,AP19*0.05-(210000-AP19)/5,IF(AP19&lt;=250000,AP19*0.05,IF(AP19&lt;=260000,AP19*0.06-(260000-AP19)/4,AP19*0.06)))))))))))</f>
        <v>11908.04836</v>
      </c>
      <c r="AT19" s="285">
        <f t="shared" si="20"/>
        <v>0</v>
      </c>
      <c r="AU19" s="288">
        <f>IFERROR(IRR(B75:R75),"")</f>
        <v>0.02615109451</v>
      </c>
      <c r="AV19" s="279">
        <f>MAX(0,I19)*'Barème fiscal'!$B$13</f>
        <v>340</v>
      </c>
      <c r="AW19" s="279">
        <f>Y19*'Barème fiscal'!$B$13</f>
        <v>47.73049106</v>
      </c>
    </row>
    <row r="20" ht="15.0" customHeight="1">
      <c r="A20" s="269">
        <v>17.0</v>
      </c>
      <c r="B20" s="270">
        <f>B19*(1+'Hypothèses'!$B$27)</f>
        <v>11420.86993</v>
      </c>
      <c r="C20" s="270">
        <f>B20*'Hypothèses'!$B$28</f>
        <v>3426.260979</v>
      </c>
      <c r="D20" s="270">
        <f>'Tableau dAMT financier'!E32</f>
        <v>3646.102573</v>
      </c>
      <c r="E20" s="270">
        <f>'Tableau dAMT financier'!F32</f>
        <v>884.8</v>
      </c>
      <c r="F20" s="270">
        <f>MIN('Hypothèses'!$B$34,MAX(0,'Hypothèses'!$B$31-AL19))</f>
        <v>7280</v>
      </c>
      <c r="G20" s="270">
        <f>'Tableau dAMT financier'!H32</f>
        <v>104381.2896</v>
      </c>
      <c r="H20" s="270">
        <f>H19*(1+index)</f>
        <v>260000</v>
      </c>
      <c r="I20" s="270">
        <f>I19*(1+index)</f>
        <v>5000</v>
      </c>
      <c r="J20" s="270">
        <f>'Hypothèses'!$B$50+I20-AV19</f>
        <v>90160</v>
      </c>
      <c r="K20" s="270">
        <f>J20/'Hypothèses'!$B$39</f>
        <v>36064</v>
      </c>
      <c r="L20" s="271">
        <f>IF(K20&lt;='Barème fiscal'!$B$4,'Barème fiscal'!$C$4,IF(K20&lt;='Barème fiscal'!$B$5,'Barème fiscal'!$C$5,IF(K20&lt;='Barème fiscal'!$B$6,'Barème fiscal'!$C$6,IF(K20&lt;='Barème fiscal'!$B$7,'Barème fiscal'!$C$7,'Barème fiscal'!$C$8))))</f>
        <v>0.3</v>
      </c>
      <c r="M20" s="272">
        <f t="shared" si="1"/>
        <v>0.1275175244</v>
      </c>
      <c r="N20" s="273">
        <f>MAX(0,IF(J20/2&lt;='Barème fiscal'!$B$4,0,IF(J20/2&lt;='Barème fiscal'!$B$5,J20*'Barème fiscal'!$C$5-'Barème fiscal'!$D$5*2,IF(J20/2&lt;='Barème fiscal'!$B$6,J20*'Barème fiscal'!$C$6-'Barème fiscal'!$D$6*2,IF(J20/2&lt;='Barème fiscal'!$B$7,J20*'Barème fiscal'!$C$7-'Barème fiscal'!$D$7*2,J20*'Barème fiscal'!$C$8-'Barème fiscal'!$D$8*2)))))-MIN(MAX(IF(J20/2&lt;='Barème fiscal'!$B$4,0,IF(J20/2&lt;='Barème fiscal'!$B$5,J20*'Barème fiscal'!$C$5-'Barème fiscal'!$D$5*2,IF(J20/2&lt;='Barème fiscal'!$B$6,J20*'Barème fiscal'!$C$6-'Barème fiscal'!$D$6*2,IF(J20/2&lt;='Barème fiscal'!$B$7,J20*'Barème fiscal'!$C$7-'Barème fiscal'!$D$7*2,J20*'Barème fiscal'!$C$8-'Barème fiscal'!$D$8*2))))-MAX(0,IF(K20&lt;='Barème fiscal'!$B$4,0,IF(K20&lt;='Barème fiscal'!$B$5,J20*'Barème fiscal'!$C$5-'Barème fiscal'!$D$5*'Hypothèses'!$B$39,IF(K20&lt;='Barème fiscal'!$B$6,J20*'Barème fiscal'!$C$6-'Barème fiscal'!$D$6*'Hypothèses'!$B$39,IF(K20&lt;='Barème fiscal'!$B$7,J20*'Barème fiscal'!$C$7-'Barème fiscal'!$D$7*'Hypothèses'!$B$39,J20*'Barème fiscal'!$C$8-'Barème fiscal'!$D$8*'Hypothèses'!$B$39))))),0),MAX('Hypothèses'!$B$39-2,0)*2*'Barème fiscal'!$B$10)</f>
        <v>11496.98</v>
      </c>
      <c r="O20" s="270">
        <f>MAX(0,I20)*'Hypothèses'!$B$40</f>
        <v>860</v>
      </c>
      <c r="P20" s="273">
        <f t="shared" si="2"/>
        <v>12356.98</v>
      </c>
      <c r="Q20" s="270">
        <f t="shared" si="3"/>
        <v>16420.86993</v>
      </c>
      <c r="R20" s="270">
        <f t="shared" si="16"/>
        <v>4530.902573</v>
      </c>
      <c r="S20" s="270">
        <f t="shared" si="4"/>
        <v>10706.26098</v>
      </c>
      <c r="T20" s="270">
        <f t="shared" si="5"/>
        <v>1183.706378</v>
      </c>
      <c r="U20" s="273">
        <f>IF(T20&gt;=0,0,IF(Q20&gt;=R20,MAX(T20,-'Barème fiscal'!$B$11),MAX(-S20,-'Barème fiscal'!$B$11)))</f>
        <v>0</v>
      </c>
      <c r="V20" s="270">
        <f>IF(T20&gt;=0,0,IF(Q20&gt;=R20,MAX(0,-T20-'Barème fiscal'!$B$11),(R20-Q20)+MAX(0,S20-'Barème fiscal'!$B$11)))</f>
        <v>0</v>
      </c>
      <c r="W20" s="273">
        <f t="shared" si="17"/>
        <v>0</v>
      </c>
      <c r="X20" s="273">
        <f t="shared" si="6"/>
        <v>0</v>
      </c>
      <c r="Y20" s="270">
        <f t="shared" si="7"/>
        <v>1183.706378</v>
      </c>
      <c r="Z20" s="270">
        <f>'Hypothèses'!$B$50+Y20+U20-AW19</f>
        <v>86635.97589</v>
      </c>
      <c r="AA20" s="270">
        <f>Z20/'Hypothèses'!$B$39</f>
        <v>34654.39035</v>
      </c>
      <c r="AB20" s="271">
        <f>IF(AA20&lt;='Barème fiscal'!$B$4,'Barème fiscal'!$C$4,IF(AA20&lt;='Barème fiscal'!$B$5,'Barème fiscal'!$C$5,IF(AA20&lt;='Barème fiscal'!$B$6,'Barème fiscal'!$C$6,IF(AA20&lt;='Barème fiscal'!$B$7,'Barème fiscal'!$C$7,'Barème fiscal'!$C$8))))</f>
        <v>0.3</v>
      </c>
      <c r="AC20" s="272">
        <f t="shared" si="8"/>
        <v>0.1205015891</v>
      </c>
      <c r="AD20" s="273">
        <f>MAX(0,IF(Z20/2&lt;='Barème fiscal'!$B$4,0,IF(Z20/2&lt;='Barème fiscal'!$B$5,Z20*'Barème fiscal'!$C$5-'Barème fiscal'!$D$5*2,IF(Z20/2&lt;='Barème fiscal'!$B$6,Z20*'Barème fiscal'!$C$6-'Barème fiscal'!$D$6*2,IF(Z20/2&lt;='Barème fiscal'!$B$7,Z20*'Barème fiscal'!$C$7-'Barème fiscal'!$D$7*2,Z20*'Barème fiscal'!$C$8-'Barème fiscal'!$D$8*2)))))-MIN(MAX(IF(Z20/2&lt;='Barème fiscal'!$B$4,0,IF(Z20/2&lt;='Barème fiscal'!$B$5,Z20*'Barème fiscal'!$C$5-'Barème fiscal'!$D$5*2,IF(Z20/2&lt;='Barème fiscal'!$B$6,Z20*'Barème fiscal'!$C$6-'Barème fiscal'!$D$6*2,IF(Z20/2&lt;='Barème fiscal'!$B$7,Z20*'Barème fiscal'!$C$7-'Barème fiscal'!$D$7*2,Z20*'Barème fiscal'!$C$8-'Barème fiscal'!$D$8*2))))-MAX(0,IF(AA20&lt;='Barème fiscal'!$B$4,0,IF(AA20&lt;='Barème fiscal'!$B$5,Z20*'Barème fiscal'!$C$5-'Barème fiscal'!$D$5*'Hypothèses'!$B$39,IF(AA20&lt;='Barème fiscal'!$B$6,Z20*'Barème fiscal'!$C$6-'Barème fiscal'!$D$6*'Hypothèses'!$B$39,IF(AA20&lt;='Barème fiscal'!$B$7,Z20*'Barème fiscal'!$C$7-'Barème fiscal'!$D$7*'Hypothèses'!$B$39,Z20*'Barème fiscal'!$C$8-'Barème fiscal'!$D$8*'Hypothèses'!$B$39))))),0),MAX('Hypothèses'!$B$39-2,0)*2*'Barème fiscal'!$B$10)</f>
        <v>10439.77277</v>
      </c>
      <c r="AE20" s="270">
        <f>Y20*'Hypothèses'!$B$40</f>
        <v>203.5974969</v>
      </c>
      <c r="AF20" s="273">
        <f t="shared" si="9"/>
        <v>10643.37026</v>
      </c>
      <c r="AG20" s="273">
        <f t="shared" si="10"/>
        <v>1713.609737</v>
      </c>
      <c r="AH20" s="273">
        <f t="shared" si="11"/>
        <v>143144.653</v>
      </c>
      <c r="AI20" s="273">
        <f>(B20-'Tableau dAMT financier'!G32-C20+AG20)/12</f>
        <v>-503.3379497</v>
      </c>
      <c r="AJ20" s="112"/>
      <c r="AK20" s="273">
        <f t="shared" si="18"/>
        <v>-102569.5769</v>
      </c>
      <c r="AL20" s="275">
        <f t="shared" si="19"/>
        <v>123760</v>
      </c>
      <c r="AM20" s="275">
        <f>MAX(0,A20*'Hypothèses'!$B$31*'Hypothèses'!$B$32-AL20)</f>
        <v>0</v>
      </c>
      <c r="AN20" s="275">
        <f>H20-('Hypothèses'!$B$4+MAX('Hypothèses'!$B$4*'Hypothèses'!$B$5,'Hypothèses'!$B$4*'Hypothèses'!$B$43)+IF(A20&gt;5,'Hypothèses'!$B$4*'Hypothèses'!$B$44,0)-AL20)</f>
        <v>65260</v>
      </c>
      <c r="AO20" s="276">
        <f t="shared" si="12"/>
        <v>0.72</v>
      </c>
      <c r="AP20" s="275">
        <f t="shared" si="13"/>
        <v>18272.8</v>
      </c>
      <c r="AQ20" s="276">
        <f t="shared" si="14"/>
        <v>0.198</v>
      </c>
      <c r="AR20" s="275">
        <f t="shared" si="15"/>
        <v>52338.52</v>
      </c>
      <c r="AS20" s="277">
        <f>IF(AN20&lt;=0,0,AP20*'Hypothèses'!$B$45+AR20*'Hypothèses'!$B$46+IF(AP20&lt;=50000,0,IF(AP20&lt;=60000,AP20*0.02-(60000-AP20)/20,IF(AP20&lt;=100000,AP20*0.02,IF(AP20&lt;=110000,AP20*0.03-(110000-AP20)/10,IF(AP20&lt;=150000,AP20*0.03,IF(AP20&lt;=160000,AP20*0.04-(160000-AP20)*3/20,IF(AP20&lt;=200000,AP20*0.04,IF(AP20&lt;=210000,AP20*0.05-(210000-AP20)/5,IF(AP20&lt;=250000,AP20*0.05,IF(AP20&lt;=260000,AP20*0.06-(260000-AP20)/4,AP20*0.06)))))))))))</f>
        <v>12474.05744</v>
      </c>
      <c r="AT20" s="275">
        <f t="shared" si="20"/>
        <v>0</v>
      </c>
      <c r="AU20" s="278">
        <f>IFERROR(IRR(B76:S76),"")</f>
        <v>0.02698995203</v>
      </c>
      <c r="AV20" s="279">
        <f>MAX(0,I20)*'Barème fiscal'!$B$13</f>
        <v>340</v>
      </c>
      <c r="AW20" s="279">
        <f>Y20*'Barème fiscal'!$B$13</f>
        <v>80.49203367</v>
      </c>
    </row>
    <row r="21" ht="15.75" customHeight="1">
      <c r="A21" s="280">
        <v>18.0</v>
      </c>
      <c r="B21" s="281">
        <f>B20*(1+'Hypothèses'!$B$27)</f>
        <v>11592.18298</v>
      </c>
      <c r="C21" s="281">
        <f>B21*'Hypothèses'!$B$28</f>
        <v>3477.654893</v>
      </c>
      <c r="D21" s="281">
        <f>'Tableau dAMT financier'!E33</f>
        <v>3270.2788</v>
      </c>
      <c r="E21" s="281">
        <f>'Tableau dAMT financier'!F33</f>
        <v>884.8</v>
      </c>
      <c r="F21" s="281">
        <f>MIN('Hypothèses'!$B$34,MAX(0,'Hypothèses'!$B$31-AL20))</f>
        <v>7280</v>
      </c>
      <c r="G21" s="281">
        <f>'Tableau dAMT financier'!H33</f>
        <v>92788.09428</v>
      </c>
      <c r="H21" s="281">
        <f>H20*(1+index)</f>
        <v>260000</v>
      </c>
      <c r="I21" s="281">
        <f>I20*(1+index)</f>
        <v>5000</v>
      </c>
      <c r="J21" s="281">
        <f>'Hypothèses'!$B$50+I21-AV20</f>
        <v>90160</v>
      </c>
      <c r="K21" s="281">
        <f>J21/'Hypothèses'!$B$39</f>
        <v>36064</v>
      </c>
      <c r="L21" s="282">
        <f>IF(K21&lt;='Barème fiscal'!$B$4,'Barème fiscal'!$C$4,IF(K21&lt;='Barème fiscal'!$B$5,'Barème fiscal'!$C$5,IF(K21&lt;='Barème fiscal'!$B$6,'Barème fiscal'!$C$6,IF(K21&lt;='Barème fiscal'!$B$7,'Barème fiscal'!$C$7,'Barème fiscal'!$C$8))))</f>
        <v>0.3</v>
      </c>
      <c r="M21" s="283">
        <f t="shared" si="1"/>
        <v>0.1275175244</v>
      </c>
      <c r="N21" s="284">
        <f>MAX(0,IF(J21/2&lt;='Barème fiscal'!$B$4,0,IF(J21/2&lt;='Barème fiscal'!$B$5,J21*'Barème fiscal'!$C$5-'Barème fiscal'!$D$5*2,IF(J21/2&lt;='Barème fiscal'!$B$6,J21*'Barème fiscal'!$C$6-'Barème fiscal'!$D$6*2,IF(J21/2&lt;='Barème fiscal'!$B$7,J21*'Barème fiscal'!$C$7-'Barème fiscal'!$D$7*2,J21*'Barème fiscal'!$C$8-'Barème fiscal'!$D$8*2)))))-MIN(MAX(IF(J21/2&lt;='Barème fiscal'!$B$4,0,IF(J21/2&lt;='Barème fiscal'!$B$5,J21*'Barème fiscal'!$C$5-'Barème fiscal'!$D$5*2,IF(J21/2&lt;='Barème fiscal'!$B$6,J21*'Barème fiscal'!$C$6-'Barème fiscal'!$D$6*2,IF(J21/2&lt;='Barème fiscal'!$B$7,J21*'Barème fiscal'!$C$7-'Barème fiscal'!$D$7*2,J21*'Barème fiscal'!$C$8-'Barème fiscal'!$D$8*2))))-MAX(0,IF(K21&lt;='Barème fiscal'!$B$4,0,IF(K21&lt;='Barème fiscal'!$B$5,J21*'Barème fiscal'!$C$5-'Barème fiscal'!$D$5*'Hypothèses'!$B$39,IF(K21&lt;='Barème fiscal'!$B$6,J21*'Barème fiscal'!$C$6-'Barème fiscal'!$D$6*'Hypothèses'!$B$39,IF(K21&lt;='Barème fiscal'!$B$7,J21*'Barème fiscal'!$C$7-'Barème fiscal'!$D$7*'Hypothèses'!$B$39,J21*'Barème fiscal'!$C$8-'Barème fiscal'!$D$8*'Hypothèses'!$B$39))))),0),MAX('Hypothèses'!$B$39-2,0)*2*'Barème fiscal'!$B$10)</f>
        <v>11496.98</v>
      </c>
      <c r="O21" s="281">
        <f>MAX(0,I21)*'Hypothèses'!$B$40</f>
        <v>860</v>
      </c>
      <c r="P21" s="284">
        <f t="shared" si="2"/>
        <v>12356.98</v>
      </c>
      <c r="Q21" s="281">
        <f t="shared" si="3"/>
        <v>16592.18298</v>
      </c>
      <c r="R21" s="281">
        <f t="shared" si="16"/>
        <v>4155.0788</v>
      </c>
      <c r="S21" s="281">
        <f t="shared" si="4"/>
        <v>10757.65489</v>
      </c>
      <c r="T21" s="281">
        <f t="shared" si="5"/>
        <v>1679.449284</v>
      </c>
      <c r="U21" s="284">
        <f>IF(T21&gt;=0,0,IF(Q21&gt;=R21,MAX(T21,-'Barème fiscal'!$B$11),MAX(-S21,-'Barème fiscal'!$B$11)))</f>
        <v>0</v>
      </c>
      <c r="V21" s="281">
        <f>IF(T21&gt;=0,0,IF(Q21&gt;=R21,MAX(0,-T21-'Barème fiscal'!$B$11),(R21-Q21)+MAX(0,S21-'Barème fiscal'!$B$11)))</f>
        <v>0</v>
      </c>
      <c r="W21" s="284">
        <f t="shared" si="17"/>
        <v>0</v>
      </c>
      <c r="X21" s="284">
        <f t="shared" si="6"/>
        <v>0</v>
      </c>
      <c r="Y21" s="281">
        <f t="shared" si="7"/>
        <v>1679.449284</v>
      </c>
      <c r="Z21" s="281">
        <f>'Hypothèses'!$B$50+Y21+U21-AW20</f>
        <v>87098.95725</v>
      </c>
      <c r="AA21" s="281">
        <f>Z21/'Hypothèses'!$B$39</f>
        <v>34839.5829</v>
      </c>
      <c r="AB21" s="282">
        <f>IF(AA21&lt;='Barème fiscal'!$B$4,'Barème fiscal'!$C$4,IF(AA21&lt;='Barème fiscal'!$B$5,'Barème fiscal'!$C$5,IF(AA21&lt;='Barème fiscal'!$B$6,'Barème fiscal'!$C$6,IF(AA21&lt;='Barème fiscal'!$B$7,'Barème fiscal'!$C$7,'Barème fiscal'!$C$8))))</f>
        <v>0.3</v>
      </c>
      <c r="AC21" s="283">
        <f t="shared" si="8"/>
        <v>0.121455727</v>
      </c>
      <c r="AD21" s="284">
        <f>MAX(0,IF(Z21/2&lt;='Barème fiscal'!$B$4,0,IF(Z21/2&lt;='Barème fiscal'!$B$5,Z21*'Barème fiscal'!$C$5-'Barème fiscal'!$D$5*2,IF(Z21/2&lt;='Barème fiscal'!$B$6,Z21*'Barème fiscal'!$C$6-'Barème fiscal'!$D$6*2,IF(Z21/2&lt;='Barème fiscal'!$B$7,Z21*'Barème fiscal'!$C$7-'Barème fiscal'!$D$7*2,Z21*'Barème fiscal'!$C$8-'Barème fiscal'!$D$8*2)))))-MIN(MAX(IF(Z21/2&lt;='Barème fiscal'!$B$4,0,IF(Z21/2&lt;='Barème fiscal'!$B$5,Z21*'Barème fiscal'!$C$5-'Barème fiscal'!$D$5*2,IF(Z21/2&lt;='Barème fiscal'!$B$6,Z21*'Barème fiscal'!$C$6-'Barème fiscal'!$D$6*2,IF(Z21/2&lt;='Barème fiscal'!$B$7,Z21*'Barème fiscal'!$C$7-'Barème fiscal'!$D$7*2,Z21*'Barème fiscal'!$C$8-'Barème fiscal'!$D$8*2))))-MAX(0,IF(AA21&lt;='Barème fiscal'!$B$4,0,IF(AA21&lt;='Barème fiscal'!$B$5,Z21*'Barème fiscal'!$C$5-'Barème fiscal'!$D$5*'Hypothèses'!$B$39,IF(AA21&lt;='Barème fiscal'!$B$6,Z21*'Barème fiscal'!$C$6-'Barème fiscal'!$D$6*'Hypothèses'!$B$39,IF(AA21&lt;='Barème fiscal'!$B$7,Z21*'Barème fiscal'!$C$7-'Barème fiscal'!$D$7*'Hypothèses'!$B$39,Z21*'Barème fiscal'!$C$8-'Barème fiscal'!$D$8*'Hypothèses'!$B$39))))),0),MAX('Hypothèses'!$B$39-2,0)*2*'Barème fiscal'!$B$10)</f>
        <v>10578.66718</v>
      </c>
      <c r="AE21" s="281">
        <f>Y21*'Hypothèses'!$B$40</f>
        <v>288.8652769</v>
      </c>
      <c r="AF21" s="284">
        <f t="shared" si="9"/>
        <v>10867.53245</v>
      </c>
      <c r="AG21" s="284">
        <f t="shared" si="10"/>
        <v>1489.447548</v>
      </c>
      <c r="AH21" s="284">
        <f t="shared" si="11"/>
        <v>154379.1445</v>
      </c>
      <c r="AI21" s="284">
        <f>(B21-'Tableau dAMT financier'!G33-C21+AG21)/12</f>
        <v>-512.024871</v>
      </c>
      <c r="AJ21" s="112"/>
      <c r="AK21" s="284">
        <f t="shared" si="18"/>
        <v>-108713.8753</v>
      </c>
      <c r="AL21" s="285">
        <f t="shared" si="19"/>
        <v>131040</v>
      </c>
      <c r="AM21" s="285">
        <f>MAX(0,A21*'Hypothèses'!$B$31*'Hypothèses'!$B$32-AL21)</f>
        <v>0</v>
      </c>
      <c r="AN21" s="285">
        <f>H21-('Hypothèses'!$B$4+MAX('Hypothèses'!$B$4*'Hypothèses'!$B$5,'Hypothèses'!$B$4*'Hypothèses'!$B$43)+IF(A21&gt;5,'Hypothèses'!$B$4*'Hypothèses'!$B$44,0)-AL21)</f>
        <v>72540</v>
      </c>
      <c r="AO21" s="286">
        <f t="shared" si="12"/>
        <v>0.78</v>
      </c>
      <c r="AP21" s="285">
        <f t="shared" si="13"/>
        <v>15958.8</v>
      </c>
      <c r="AQ21" s="286">
        <f t="shared" si="14"/>
        <v>0.2145</v>
      </c>
      <c r="AR21" s="285">
        <f t="shared" si="15"/>
        <v>56980.17</v>
      </c>
      <c r="AS21" s="287">
        <f>IF(AN21&lt;=0,0,AP21*'Hypothèses'!$B$45+AR21*'Hypothèses'!$B$46+IF(AP21&lt;=50000,0,IF(AP21&lt;=60000,AP21*0.02-(60000-AP21)/20,IF(AP21&lt;=100000,AP21*0.02,IF(AP21&lt;=110000,AP21*0.03-(110000-AP21)/10,IF(AP21&lt;=150000,AP21*0.03,IF(AP21&lt;=160000,AP21*0.04-(160000-AP21)*3/20,IF(AP21&lt;=200000,AP21*0.04,IF(AP21&lt;=210000,AP21*0.05-(210000-AP21)/5,IF(AP21&lt;=250000,AP21*0.05,IF(AP21&lt;=260000,AP21*0.06-(260000-AP21)/4,AP21*0.06)))))))))))</f>
        <v>12832.76124</v>
      </c>
      <c r="AT21" s="285">
        <f t="shared" si="20"/>
        <v>0</v>
      </c>
      <c r="AU21" s="288">
        <f>IFERROR(IRR(B77:T77),"")</f>
        <v>0.02777578964</v>
      </c>
      <c r="AV21" s="279">
        <f>MAX(0,I21)*'Barème fiscal'!$B$13</f>
        <v>340</v>
      </c>
      <c r="AW21" s="279">
        <f>Y21*'Barème fiscal'!$B$13</f>
        <v>114.2025513</v>
      </c>
    </row>
    <row r="22" ht="15.75" customHeight="1">
      <c r="A22" s="269">
        <v>19.0</v>
      </c>
      <c r="B22" s="270">
        <f>B21*(1+'Hypothèses'!$B$27)</f>
        <v>11766.06572</v>
      </c>
      <c r="C22" s="270">
        <f>B22*'Hypothèses'!$B$28</f>
        <v>3529.819717</v>
      </c>
      <c r="D22" s="270">
        <f>'Tableau dAMT financier'!E34</f>
        <v>2881.86353</v>
      </c>
      <c r="E22" s="270">
        <f>'Tableau dAMT financier'!F34</f>
        <v>884.8</v>
      </c>
      <c r="F22" s="270">
        <f>MIN('Hypothèses'!$B$34,MAX(0,'Hypothèses'!$B$31-AL21))</f>
        <v>7280</v>
      </c>
      <c r="G22" s="270">
        <f>'Tableau dAMT financier'!H34</f>
        <v>80806.48373</v>
      </c>
      <c r="H22" s="270">
        <f>H21*(1+index)</f>
        <v>260000</v>
      </c>
      <c r="I22" s="270">
        <f>I21*(1+index)</f>
        <v>5000</v>
      </c>
      <c r="J22" s="270">
        <f>'Hypothèses'!$B$50+I22-AV21</f>
        <v>90160</v>
      </c>
      <c r="K22" s="270">
        <f>J22/'Hypothèses'!$B$39</f>
        <v>36064</v>
      </c>
      <c r="L22" s="271">
        <f>IF(K22&lt;='Barème fiscal'!$B$4,'Barème fiscal'!$C$4,IF(K22&lt;='Barème fiscal'!$B$5,'Barème fiscal'!$C$5,IF(K22&lt;='Barème fiscal'!$B$6,'Barème fiscal'!$C$6,IF(K22&lt;='Barème fiscal'!$B$7,'Barème fiscal'!$C$7,'Barème fiscal'!$C$8))))</f>
        <v>0.3</v>
      </c>
      <c r="M22" s="272">
        <f t="shared" si="1"/>
        <v>0.1275175244</v>
      </c>
      <c r="N22" s="273">
        <f>MAX(0,IF(J22/2&lt;='Barème fiscal'!$B$4,0,IF(J22/2&lt;='Barème fiscal'!$B$5,J22*'Barème fiscal'!$C$5-'Barème fiscal'!$D$5*2,IF(J22/2&lt;='Barème fiscal'!$B$6,J22*'Barème fiscal'!$C$6-'Barème fiscal'!$D$6*2,IF(J22/2&lt;='Barème fiscal'!$B$7,J22*'Barème fiscal'!$C$7-'Barème fiscal'!$D$7*2,J22*'Barème fiscal'!$C$8-'Barème fiscal'!$D$8*2)))))-MIN(MAX(IF(J22/2&lt;='Barème fiscal'!$B$4,0,IF(J22/2&lt;='Barème fiscal'!$B$5,J22*'Barème fiscal'!$C$5-'Barème fiscal'!$D$5*2,IF(J22/2&lt;='Barème fiscal'!$B$6,J22*'Barème fiscal'!$C$6-'Barème fiscal'!$D$6*2,IF(J22/2&lt;='Barème fiscal'!$B$7,J22*'Barème fiscal'!$C$7-'Barème fiscal'!$D$7*2,J22*'Barème fiscal'!$C$8-'Barème fiscal'!$D$8*2))))-MAX(0,IF(K22&lt;='Barème fiscal'!$B$4,0,IF(K22&lt;='Barème fiscal'!$B$5,J22*'Barème fiscal'!$C$5-'Barème fiscal'!$D$5*'Hypothèses'!$B$39,IF(K22&lt;='Barème fiscal'!$B$6,J22*'Barème fiscal'!$C$6-'Barème fiscal'!$D$6*'Hypothèses'!$B$39,IF(K22&lt;='Barème fiscal'!$B$7,J22*'Barème fiscal'!$C$7-'Barème fiscal'!$D$7*'Hypothèses'!$B$39,J22*'Barème fiscal'!$C$8-'Barème fiscal'!$D$8*'Hypothèses'!$B$39))))),0),MAX('Hypothèses'!$B$39-2,0)*2*'Barème fiscal'!$B$10)</f>
        <v>11496.98</v>
      </c>
      <c r="O22" s="270">
        <f>MAX(0,I22)*'Hypothèses'!$B$40</f>
        <v>860</v>
      </c>
      <c r="P22" s="273">
        <f t="shared" si="2"/>
        <v>12356.98</v>
      </c>
      <c r="Q22" s="270">
        <f t="shared" si="3"/>
        <v>16766.06572</v>
      </c>
      <c r="R22" s="270">
        <f t="shared" si="16"/>
        <v>3766.66353</v>
      </c>
      <c r="S22" s="270">
        <f t="shared" si="4"/>
        <v>10809.81972</v>
      </c>
      <c r="T22" s="270">
        <f t="shared" si="5"/>
        <v>2189.582476</v>
      </c>
      <c r="U22" s="273">
        <f>IF(T22&gt;=0,0,IF(Q22&gt;=R22,MAX(T22,-'Barème fiscal'!$B$11),MAX(-S22,-'Barème fiscal'!$B$11)))</f>
        <v>0</v>
      </c>
      <c r="V22" s="270">
        <f>IF(T22&gt;=0,0,IF(Q22&gt;=R22,MAX(0,-T22-'Barème fiscal'!$B$11),(R22-Q22)+MAX(0,S22-'Barème fiscal'!$B$11)))</f>
        <v>0</v>
      </c>
      <c r="W22" s="273">
        <f t="shared" si="17"/>
        <v>0</v>
      </c>
      <c r="X22" s="273">
        <f t="shared" si="6"/>
        <v>0</v>
      </c>
      <c r="Y22" s="270">
        <f t="shared" si="7"/>
        <v>2189.582476</v>
      </c>
      <c r="Z22" s="270">
        <f>'Hypothèses'!$B$50+Y22+U22-AW21</f>
        <v>87575.37992</v>
      </c>
      <c r="AA22" s="270">
        <f>Z22/'Hypothèses'!$B$39</f>
        <v>35030.15197</v>
      </c>
      <c r="AB22" s="271">
        <f>IF(AA22&lt;='Barème fiscal'!$B$4,'Barème fiscal'!$C$4,IF(AA22&lt;='Barème fiscal'!$B$5,'Barème fiscal'!$C$5,IF(AA22&lt;='Barème fiscal'!$B$6,'Barème fiscal'!$C$6,IF(AA22&lt;='Barème fiscal'!$B$7,'Barème fiscal'!$C$7,'Barème fiscal'!$C$8))))</f>
        <v>0.3</v>
      </c>
      <c r="AC22" s="272">
        <f t="shared" si="8"/>
        <v>0.1224270336</v>
      </c>
      <c r="AD22" s="273">
        <f>MAX(0,IF(Z22/2&lt;='Barème fiscal'!$B$4,0,IF(Z22/2&lt;='Barème fiscal'!$B$5,Z22*'Barème fiscal'!$C$5-'Barème fiscal'!$D$5*2,IF(Z22/2&lt;='Barème fiscal'!$B$6,Z22*'Barème fiscal'!$C$6-'Barème fiscal'!$D$6*2,IF(Z22/2&lt;='Barème fiscal'!$B$7,Z22*'Barème fiscal'!$C$7-'Barème fiscal'!$D$7*2,Z22*'Barème fiscal'!$C$8-'Barème fiscal'!$D$8*2)))))-MIN(MAX(IF(Z22/2&lt;='Barème fiscal'!$B$4,0,IF(Z22/2&lt;='Barème fiscal'!$B$5,Z22*'Barème fiscal'!$C$5-'Barème fiscal'!$D$5*2,IF(Z22/2&lt;='Barème fiscal'!$B$6,Z22*'Barème fiscal'!$C$6-'Barème fiscal'!$D$6*2,IF(Z22/2&lt;='Barème fiscal'!$B$7,Z22*'Barème fiscal'!$C$7-'Barème fiscal'!$D$7*2,Z22*'Barème fiscal'!$C$8-'Barème fiscal'!$D$8*2))))-MAX(0,IF(AA22&lt;='Barème fiscal'!$B$4,0,IF(AA22&lt;='Barème fiscal'!$B$5,Z22*'Barème fiscal'!$C$5-'Barème fiscal'!$D$5*'Hypothèses'!$B$39,IF(AA22&lt;='Barème fiscal'!$B$6,Z22*'Barème fiscal'!$C$6-'Barème fiscal'!$D$6*'Hypothèses'!$B$39,IF(AA22&lt;='Barème fiscal'!$B$7,Z22*'Barème fiscal'!$C$7-'Barème fiscal'!$D$7*'Hypothèses'!$B$39,Z22*'Barème fiscal'!$C$8-'Barème fiscal'!$D$8*'Hypothèses'!$B$39))))),0),MAX('Hypothèses'!$B$39-2,0)*2*'Barème fiscal'!$B$10)</f>
        <v>10721.59398</v>
      </c>
      <c r="AE22" s="270">
        <f>Y22*'Hypothèses'!$B$40</f>
        <v>376.6081858</v>
      </c>
      <c r="AF22" s="273">
        <f t="shared" si="9"/>
        <v>11098.20216</v>
      </c>
      <c r="AG22" s="273">
        <f t="shared" si="10"/>
        <v>1258.777837</v>
      </c>
      <c r="AH22" s="273">
        <f t="shared" si="11"/>
        <v>166209.3565</v>
      </c>
      <c r="AI22" s="273">
        <f>(B22-'Tableau dAMT financier'!G34-C22+AG22)/12</f>
        <v>-521.1041868</v>
      </c>
      <c r="AJ22" s="112"/>
      <c r="AK22" s="273">
        <f t="shared" si="18"/>
        <v>-114967.1256</v>
      </c>
      <c r="AL22" s="275">
        <f t="shared" si="19"/>
        <v>138320</v>
      </c>
      <c r="AM22" s="275">
        <f>MAX(0,A22*'Hypothèses'!$B$31*'Hypothèses'!$B$32-AL22)</f>
        <v>0</v>
      </c>
      <c r="AN22" s="275">
        <f>H22-('Hypothèses'!$B$4+MAX('Hypothèses'!$B$4*'Hypothèses'!$B$5,'Hypothèses'!$B$4*'Hypothèses'!$B$43)+IF(A22&gt;5,'Hypothèses'!$B$4*'Hypothèses'!$B$44,0)-AL22)</f>
        <v>79820</v>
      </c>
      <c r="AO22" s="276">
        <f t="shared" si="12"/>
        <v>0.84</v>
      </c>
      <c r="AP22" s="275">
        <f t="shared" si="13"/>
        <v>12771.2</v>
      </c>
      <c r="AQ22" s="276">
        <f t="shared" si="14"/>
        <v>0.231</v>
      </c>
      <c r="AR22" s="275">
        <f t="shared" si="15"/>
        <v>61381.58</v>
      </c>
      <c r="AS22" s="277">
        <f>IF(AN22&lt;=0,0,AP22*'Hypothèses'!$B$45+AR22*'Hypothèses'!$B$46+IF(AP22&lt;=50000,0,IF(AP22&lt;=60000,AP22*0.02-(60000-AP22)/20,IF(AP22&lt;=100000,AP22*0.02,IF(AP22&lt;=110000,AP22*0.03-(110000-AP22)/10,IF(AP22&lt;=150000,AP22*0.03,IF(AP22&lt;=160000,AP22*0.04-(160000-AP22)*3/20,IF(AP22&lt;=200000,AP22*0.04,IF(AP22&lt;=210000,AP22*0.05-(210000-AP22)/5,IF(AP22&lt;=250000,AP22*0.05,IF(AP22&lt;=260000,AP22*0.06-(260000-AP22)/4,AP22*0.06)))))))))))</f>
        <v>12984.15976</v>
      </c>
      <c r="AT22" s="275">
        <f t="shared" si="20"/>
        <v>0</v>
      </c>
      <c r="AU22" s="278">
        <f>IFERROR(IRR(B78:U78),"")</f>
        <v>0.02850201992</v>
      </c>
      <c r="AV22" s="279">
        <f>MAX(0,I22)*'Barème fiscal'!$B$13</f>
        <v>340</v>
      </c>
      <c r="AW22" s="279">
        <f>Y22*'Barème fiscal'!$B$13</f>
        <v>148.8916083</v>
      </c>
    </row>
    <row r="23" ht="15.75" customHeight="1">
      <c r="A23" s="280">
        <v>20.0</v>
      </c>
      <c r="B23" s="281">
        <f>B22*(1+'Hypothèses'!$B$27)</f>
        <v>11942.55671</v>
      </c>
      <c r="C23" s="281">
        <f>B23*'Hypothèses'!$B$28</f>
        <v>3582.767012</v>
      </c>
      <c r="D23" s="281">
        <f>'Tableau dAMT financier'!E35</f>
        <v>2480.4349</v>
      </c>
      <c r="E23" s="281">
        <f>'Tableau dAMT financier'!F35</f>
        <v>884.8</v>
      </c>
      <c r="F23" s="281">
        <f>MIN('Hypothèses'!$B$34,MAX(0,'Hypothèses'!$B$31-AL22))</f>
        <v>7280</v>
      </c>
      <c r="G23" s="281">
        <f>'Tableau dAMT financier'!H35</f>
        <v>68423.44454</v>
      </c>
      <c r="H23" s="281">
        <f>H22*(1+index)</f>
        <v>260000</v>
      </c>
      <c r="I23" s="281">
        <f>I22*(1+index)</f>
        <v>5000</v>
      </c>
      <c r="J23" s="281">
        <f>'Hypothèses'!$B$50+I23-AV22</f>
        <v>90160</v>
      </c>
      <c r="K23" s="281">
        <f>J23/'Hypothèses'!$B$39</f>
        <v>36064</v>
      </c>
      <c r="L23" s="282">
        <f>IF(K23&lt;='Barème fiscal'!$B$4,'Barème fiscal'!$C$4,IF(K23&lt;='Barème fiscal'!$B$5,'Barème fiscal'!$C$5,IF(K23&lt;='Barème fiscal'!$B$6,'Barème fiscal'!$C$6,IF(K23&lt;='Barème fiscal'!$B$7,'Barème fiscal'!$C$7,'Barème fiscal'!$C$8))))</f>
        <v>0.3</v>
      </c>
      <c r="M23" s="283">
        <f t="shared" si="1"/>
        <v>0.1275175244</v>
      </c>
      <c r="N23" s="284">
        <f>MAX(0,IF(J23/2&lt;='Barème fiscal'!$B$4,0,IF(J23/2&lt;='Barème fiscal'!$B$5,J23*'Barème fiscal'!$C$5-'Barème fiscal'!$D$5*2,IF(J23/2&lt;='Barème fiscal'!$B$6,J23*'Barème fiscal'!$C$6-'Barème fiscal'!$D$6*2,IF(J23/2&lt;='Barème fiscal'!$B$7,J23*'Barème fiscal'!$C$7-'Barème fiscal'!$D$7*2,J23*'Barème fiscal'!$C$8-'Barème fiscal'!$D$8*2)))))-MIN(MAX(IF(J23/2&lt;='Barème fiscal'!$B$4,0,IF(J23/2&lt;='Barème fiscal'!$B$5,J23*'Barème fiscal'!$C$5-'Barème fiscal'!$D$5*2,IF(J23/2&lt;='Barème fiscal'!$B$6,J23*'Barème fiscal'!$C$6-'Barème fiscal'!$D$6*2,IF(J23/2&lt;='Barème fiscal'!$B$7,J23*'Barème fiscal'!$C$7-'Barème fiscal'!$D$7*2,J23*'Barème fiscal'!$C$8-'Barème fiscal'!$D$8*2))))-MAX(0,IF(K23&lt;='Barème fiscal'!$B$4,0,IF(K23&lt;='Barème fiscal'!$B$5,J23*'Barème fiscal'!$C$5-'Barème fiscal'!$D$5*'Hypothèses'!$B$39,IF(K23&lt;='Barème fiscal'!$B$6,J23*'Barème fiscal'!$C$6-'Barème fiscal'!$D$6*'Hypothèses'!$B$39,IF(K23&lt;='Barème fiscal'!$B$7,J23*'Barème fiscal'!$C$7-'Barème fiscal'!$D$7*'Hypothèses'!$B$39,J23*'Barème fiscal'!$C$8-'Barème fiscal'!$D$8*'Hypothèses'!$B$39))))),0),MAX('Hypothèses'!$B$39-2,0)*2*'Barème fiscal'!$B$10)</f>
        <v>11496.98</v>
      </c>
      <c r="O23" s="281">
        <f>MAX(0,I23)*'Hypothèses'!$B$40</f>
        <v>860</v>
      </c>
      <c r="P23" s="284">
        <f t="shared" si="2"/>
        <v>12356.98</v>
      </c>
      <c r="Q23" s="281">
        <f t="shared" si="3"/>
        <v>16942.55671</v>
      </c>
      <c r="R23" s="281">
        <f t="shared" si="16"/>
        <v>3365.2349</v>
      </c>
      <c r="S23" s="281">
        <f t="shared" si="4"/>
        <v>10862.76701</v>
      </c>
      <c r="T23" s="281">
        <f t="shared" si="5"/>
        <v>2714.554796</v>
      </c>
      <c r="U23" s="284">
        <f>IF(T23&gt;=0,0,IF(Q23&gt;=R23,MAX(T23,-'Barème fiscal'!$B$11),MAX(-S23,-'Barème fiscal'!$B$11)))</f>
        <v>0</v>
      </c>
      <c r="V23" s="281">
        <f>IF(T23&gt;=0,0,IF(Q23&gt;=R23,MAX(0,-T23-'Barème fiscal'!$B$11),(R23-Q23)+MAX(0,S23-'Barème fiscal'!$B$11)))</f>
        <v>0</v>
      </c>
      <c r="W23" s="284">
        <f t="shared" si="17"/>
        <v>0</v>
      </c>
      <c r="X23" s="284">
        <f t="shared" si="6"/>
        <v>0</v>
      </c>
      <c r="Y23" s="281">
        <f t="shared" si="7"/>
        <v>2714.554796</v>
      </c>
      <c r="Z23" s="281">
        <f>'Hypothèses'!$B$50+Y23+U23-AW22</f>
        <v>88065.66319</v>
      </c>
      <c r="AA23" s="281">
        <f>Z23/'Hypothèses'!$B$39</f>
        <v>35226.26527</v>
      </c>
      <c r="AB23" s="282">
        <f>IF(AA23&lt;='Barème fiscal'!$B$4,'Barème fiscal'!$C$4,IF(AA23&lt;='Barème fiscal'!$B$5,'Barème fiscal'!$C$5,IF(AA23&lt;='Barème fiscal'!$B$6,'Barème fiscal'!$C$6,IF(AA23&lt;='Barème fiscal'!$B$7,'Barème fiscal'!$C$7,'Barème fiscal'!$C$8))))</f>
        <v>0.3</v>
      </c>
      <c r="AC23" s="283">
        <f t="shared" si="8"/>
        <v>0.1234156261</v>
      </c>
      <c r="AD23" s="284">
        <f>MAX(0,IF(Z23/2&lt;='Barème fiscal'!$B$4,0,IF(Z23/2&lt;='Barème fiscal'!$B$5,Z23*'Barème fiscal'!$C$5-'Barème fiscal'!$D$5*2,IF(Z23/2&lt;='Barème fiscal'!$B$6,Z23*'Barème fiscal'!$C$6-'Barème fiscal'!$D$6*2,IF(Z23/2&lt;='Barème fiscal'!$B$7,Z23*'Barème fiscal'!$C$7-'Barème fiscal'!$D$7*2,Z23*'Barème fiscal'!$C$8-'Barème fiscal'!$D$8*2)))))-MIN(MAX(IF(Z23/2&lt;='Barème fiscal'!$B$4,0,IF(Z23/2&lt;='Barème fiscal'!$B$5,Z23*'Barème fiscal'!$C$5-'Barème fiscal'!$D$5*2,IF(Z23/2&lt;='Barème fiscal'!$B$6,Z23*'Barème fiscal'!$C$6-'Barème fiscal'!$D$6*2,IF(Z23/2&lt;='Barème fiscal'!$B$7,Z23*'Barème fiscal'!$C$7-'Barème fiscal'!$D$7*2,Z23*'Barème fiscal'!$C$8-'Barème fiscal'!$D$8*2))))-MAX(0,IF(AA23&lt;='Barème fiscal'!$B$4,0,IF(AA23&lt;='Barème fiscal'!$B$5,Z23*'Barème fiscal'!$C$5-'Barème fiscal'!$D$5*'Hypothèses'!$B$39,IF(AA23&lt;='Barème fiscal'!$B$6,Z23*'Barème fiscal'!$C$6-'Barème fiscal'!$D$6*'Hypothèses'!$B$39,IF(AA23&lt;='Barème fiscal'!$B$7,Z23*'Barème fiscal'!$C$7-'Barème fiscal'!$D$7*'Hypothèses'!$B$39,Z23*'Barème fiscal'!$C$8-'Barème fiscal'!$D$8*'Hypothèses'!$B$39))))),0),MAX('Hypothèses'!$B$39-2,0)*2*'Barème fiscal'!$B$10)</f>
        <v>10868.67896</v>
      </c>
      <c r="AE23" s="281">
        <f>Y23*'Hypothèses'!$B$40</f>
        <v>466.9034248</v>
      </c>
      <c r="AF23" s="284">
        <f t="shared" si="9"/>
        <v>11335.58238</v>
      </c>
      <c r="AG23" s="284">
        <f t="shared" si="10"/>
        <v>1021.397619</v>
      </c>
      <c r="AH23" s="284">
        <f t="shared" si="11"/>
        <v>178648.3025</v>
      </c>
      <c r="AI23" s="284">
        <f>(B23-'Tableau dAMT financier'!G35-C23+AG23)/12</f>
        <v>-530.5905641</v>
      </c>
      <c r="AJ23" s="112"/>
      <c r="AK23" s="284">
        <f t="shared" si="18"/>
        <v>-121334.2123</v>
      </c>
      <c r="AL23" s="285">
        <f t="shared" si="19"/>
        <v>145600</v>
      </c>
      <c r="AM23" s="285">
        <f>MAX(0,A23*'Hypothèses'!$B$31*'Hypothèses'!$B$32-AL23)</f>
        <v>0</v>
      </c>
      <c r="AN23" s="285">
        <f>H23-('Hypothèses'!$B$4+MAX('Hypothèses'!$B$4*'Hypothèses'!$B$5,'Hypothèses'!$B$4*'Hypothèses'!$B$43)+IF(A23&gt;5,'Hypothèses'!$B$4*'Hypothèses'!$B$44,0)-AL23)</f>
        <v>87100</v>
      </c>
      <c r="AO23" s="286">
        <f t="shared" si="12"/>
        <v>0.9</v>
      </c>
      <c r="AP23" s="285">
        <f t="shared" si="13"/>
        <v>8710</v>
      </c>
      <c r="AQ23" s="286">
        <f t="shared" si="14"/>
        <v>0.2475</v>
      </c>
      <c r="AR23" s="285">
        <f t="shared" si="15"/>
        <v>65542.75</v>
      </c>
      <c r="AS23" s="287">
        <f>IF(AN23&lt;=0,0,AP23*'Hypothèses'!$B$45+AR23*'Hypothèses'!$B$46+IF(AP23&lt;=50000,0,IF(AP23&lt;=60000,AP23*0.02-(60000-AP23)/20,IF(AP23&lt;=100000,AP23*0.02,IF(AP23&lt;=110000,AP23*0.03-(110000-AP23)/10,IF(AP23&lt;=150000,AP23*0.03,IF(AP23&lt;=160000,AP23*0.04-(160000-AP23)*3/20,IF(AP23&lt;=200000,AP23*0.04,IF(AP23&lt;=210000,AP23*0.05-(210000-AP23)/5,IF(AP23&lt;=250000,AP23*0.05,IF(AP23&lt;=260000,AP23*0.06-(260000-AP23)/4,AP23*0.06)))))))))))</f>
        <v>12928.253</v>
      </c>
      <c r="AT23" s="285">
        <f t="shared" si="20"/>
        <v>0</v>
      </c>
      <c r="AU23" s="288">
        <f>IFERROR(IRR(B79:V79),"")</f>
        <v>0.02916618348</v>
      </c>
      <c r="AV23" s="279">
        <f>MAX(0,I23)*'Barème fiscal'!$B$13</f>
        <v>340</v>
      </c>
      <c r="AW23" s="279">
        <f>Y23*'Barème fiscal'!$B$13</f>
        <v>184.5897261</v>
      </c>
    </row>
    <row r="24" ht="15.75" customHeight="1">
      <c r="A24" s="269">
        <v>21.0</v>
      </c>
      <c r="B24" s="270">
        <f>B23*(1+'Hypothèses'!$B$27)</f>
        <v>12121.69506</v>
      </c>
      <c r="C24" s="270">
        <f>B24*'Hypothèses'!$B$28</f>
        <v>3636.508518</v>
      </c>
      <c r="D24" s="270">
        <f>'Tableau dAMT financier'!E36</f>
        <v>2065.556914</v>
      </c>
      <c r="E24" s="270">
        <f>'Tableau dAMT financier'!F36</f>
        <v>884.8</v>
      </c>
      <c r="F24" s="270">
        <f>MIN('Hypothèses'!$B$34,MAX(0,'Hypothèses'!$B$31-AL23))</f>
        <v>7280</v>
      </c>
      <c r="G24" s="270">
        <f>'Tableau dAMT financier'!H36</f>
        <v>55625.52737</v>
      </c>
      <c r="H24" s="270">
        <f>H23*(1+index)</f>
        <v>260000</v>
      </c>
      <c r="I24" s="270">
        <f>I23*(1+index)</f>
        <v>5000</v>
      </c>
      <c r="J24" s="270">
        <f>'Hypothèses'!$B$50+I24-AV23</f>
        <v>90160</v>
      </c>
      <c r="K24" s="270">
        <f>J24/'Hypothèses'!$B$39</f>
        <v>36064</v>
      </c>
      <c r="L24" s="271">
        <f>IF(K24&lt;='Barème fiscal'!$B$4,'Barème fiscal'!$C$4,IF(K24&lt;='Barème fiscal'!$B$5,'Barème fiscal'!$C$5,IF(K24&lt;='Barème fiscal'!$B$6,'Barème fiscal'!$C$6,IF(K24&lt;='Barème fiscal'!$B$7,'Barème fiscal'!$C$7,'Barème fiscal'!$C$8))))</f>
        <v>0.3</v>
      </c>
      <c r="M24" s="272">
        <f t="shared" si="1"/>
        <v>0.1275175244</v>
      </c>
      <c r="N24" s="273">
        <f>MAX(0,IF(J24/2&lt;='Barème fiscal'!$B$4,0,IF(J24/2&lt;='Barème fiscal'!$B$5,J24*'Barème fiscal'!$C$5-'Barème fiscal'!$D$5*2,IF(J24/2&lt;='Barème fiscal'!$B$6,J24*'Barème fiscal'!$C$6-'Barème fiscal'!$D$6*2,IF(J24/2&lt;='Barème fiscal'!$B$7,J24*'Barème fiscal'!$C$7-'Barème fiscal'!$D$7*2,J24*'Barème fiscal'!$C$8-'Barème fiscal'!$D$8*2)))))-MIN(MAX(IF(J24/2&lt;='Barème fiscal'!$B$4,0,IF(J24/2&lt;='Barème fiscal'!$B$5,J24*'Barème fiscal'!$C$5-'Barème fiscal'!$D$5*2,IF(J24/2&lt;='Barème fiscal'!$B$6,J24*'Barème fiscal'!$C$6-'Barème fiscal'!$D$6*2,IF(J24/2&lt;='Barème fiscal'!$B$7,J24*'Barème fiscal'!$C$7-'Barème fiscal'!$D$7*2,J24*'Barème fiscal'!$C$8-'Barème fiscal'!$D$8*2))))-MAX(0,IF(K24&lt;='Barème fiscal'!$B$4,0,IF(K24&lt;='Barème fiscal'!$B$5,J24*'Barème fiscal'!$C$5-'Barème fiscal'!$D$5*'Hypothèses'!$B$39,IF(K24&lt;='Barème fiscal'!$B$6,J24*'Barème fiscal'!$C$6-'Barème fiscal'!$D$6*'Hypothèses'!$B$39,IF(K24&lt;='Barème fiscal'!$B$7,J24*'Barème fiscal'!$C$7-'Barème fiscal'!$D$7*'Hypothèses'!$B$39,J24*'Barème fiscal'!$C$8-'Barème fiscal'!$D$8*'Hypothèses'!$B$39))))),0),MAX('Hypothèses'!$B$39-2,0)*2*'Barème fiscal'!$B$10)</f>
        <v>11496.98</v>
      </c>
      <c r="O24" s="270">
        <f>MAX(0,I24)*'Hypothèses'!$B$40</f>
        <v>860</v>
      </c>
      <c r="P24" s="273">
        <f t="shared" si="2"/>
        <v>12356.98</v>
      </c>
      <c r="Q24" s="270">
        <f t="shared" si="3"/>
        <v>17121.69506</v>
      </c>
      <c r="R24" s="270">
        <f t="shared" si="16"/>
        <v>2950.356914</v>
      </c>
      <c r="S24" s="270">
        <f t="shared" si="4"/>
        <v>10916.50852</v>
      </c>
      <c r="T24" s="270">
        <f t="shared" si="5"/>
        <v>3254.829627</v>
      </c>
      <c r="U24" s="273">
        <f>IF(T24&gt;=0,0,IF(Q24&gt;=R24,MAX(T24,-'Barème fiscal'!$B$11),MAX(-S24,-'Barème fiscal'!$B$11)))</f>
        <v>0</v>
      </c>
      <c r="V24" s="270">
        <f>IF(T24&gt;=0,0,IF(Q24&gt;=R24,MAX(0,-T24-'Barème fiscal'!$B$11),(R24-Q24)+MAX(0,S24-'Barème fiscal'!$B$11)))</f>
        <v>0</v>
      </c>
      <c r="W24" s="273">
        <f t="shared" si="17"/>
        <v>0</v>
      </c>
      <c r="X24" s="273">
        <f t="shared" si="6"/>
        <v>0</v>
      </c>
      <c r="Y24" s="270">
        <f t="shared" si="7"/>
        <v>3254.829627</v>
      </c>
      <c r="Z24" s="270">
        <f>'Hypothèses'!$B$50+Y24+U24-AW23</f>
        <v>88570.2399</v>
      </c>
      <c r="AA24" s="270">
        <f>Z24/'Hypothèses'!$B$39</f>
        <v>35428.09596</v>
      </c>
      <c r="AB24" s="271">
        <f>IF(AA24&lt;='Barème fiscal'!$B$4,'Barème fiscal'!$C$4,IF(AA24&lt;='Barème fiscal'!$B$5,'Barème fiscal'!$C$5,IF(AA24&lt;='Barème fiscal'!$B$6,'Barème fiscal'!$C$6,IF(AA24&lt;='Barème fiscal'!$B$7,'Barème fiscal'!$C$7,'Barème fiscal'!$C$8))))</f>
        <v>0.3</v>
      </c>
      <c r="AC24" s="272">
        <f t="shared" si="8"/>
        <v>0.1244216114</v>
      </c>
      <c r="AD24" s="273">
        <f>MAX(0,IF(Z24/2&lt;='Barème fiscal'!$B$4,0,IF(Z24/2&lt;='Barème fiscal'!$B$5,Z24*'Barème fiscal'!$C$5-'Barème fiscal'!$D$5*2,IF(Z24/2&lt;='Barème fiscal'!$B$6,Z24*'Barème fiscal'!$C$6-'Barème fiscal'!$D$6*2,IF(Z24/2&lt;='Barème fiscal'!$B$7,Z24*'Barème fiscal'!$C$7-'Barème fiscal'!$D$7*2,Z24*'Barème fiscal'!$C$8-'Barème fiscal'!$D$8*2)))))-MIN(MAX(IF(Z24/2&lt;='Barème fiscal'!$B$4,0,IF(Z24/2&lt;='Barème fiscal'!$B$5,Z24*'Barème fiscal'!$C$5-'Barème fiscal'!$D$5*2,IF(Z24/2&lt;='Barème fiscal'!$B$6,Z24*'Barème fiscal'!$C$6-'Barème fiscal'!$D$6*2,IF(Z24/2&lt;='Barème fiscal'!$B$7,Z24*'Barème fiscal'!$C$7-'Barème fiscal'!$D$7*2,Z24*'Barème fiscal'!$C$8-'Barème fiscal'!$D$8*2))))-MAX(0,IF(AA24&lt;='Barème fiscal'!$B$4,0,IF(AA24&lt;='Barème fiscal'!$B$5,Z24*'Barème fiscal'!$C$5-'Barème fiscal'!$D$5*'Hypothèses'!$B$39,IF(AA24&lt;='Barème fiscal'!$B$6,Z24*'Barème fiscal'!$C$6-'Barème fiscal'!$D$6*'Hypothèses'!$B$39,IF(AA24&lt;='Barème fiscal'!$B$7,Z24*'Barème fiscal'!$C$7-'Barème fiscal'!$D$7*'Hypothèses'!$B$39,Z24*'Barème fiscal'!$C$8-'Barème fiscal'!$D$8*'Hypothèses'!$B$39))))),0),MAX('Hypothèses'!$B$39-2,0)*2*'Barème fiscal'!$B$10)</f>
        <v>11020.05197</v>
      </c>
      <c r="AE24" s="270">
        <f>Y24*'Hypothèses'!$B$40</f>
        <v>559.8306958</v>
      </c>
      <c r="AF24" s="273">
        <f t="shared" si="9"/>
        <v>11579.88267</v>
      </c>
      <c r="AG24" s="273">
        <f t="shared" si="10"/>
        <v>777.097334</v>
      </c>
      <c r="AH24" s="273">
        <f t="shared" si="11"/>
        <v>191709.4317</v>
      </c>
      <c r="AI24" s="273">
        <f>(B24-'Tableau dAMT financier'!G36-C24+AG24)/12</f>
        <v>-540.4991841</v>
      </c>
      <c r="AJ24" s="112"/>
      <c r="AK24" s="273">
        <f t="shared" si="18"/>
        <v>-127820.2025</v>
      </c>
      <c r="AL24" s="275">
        <f t="shared" si="19"/>
        <v>152880</v>
      </c>
      <c r="AM24" s="275">
        <f>MAX(0,A24*'Hypothèses'!$B$31*'Hypothèses'!$B$32-AL24)</f>
        <v>0</v>
      </c>
      <c r="AN24" s="275">
        <f>H24-('Hypothèses'!$B$4+MAX('Hypothèses'!$B$4*'Hypothèses'!$B$5,'Hypothèses'!$B$4*'Hypothèses'!$B$43)+IF(A24&gt;5,'Hypothèses'!$B$4*'Hypothèses'!$B$44,0)-AL24)</f>
        <v>94380</v>
      </c>
      <c r="AO24" s="276">
        <f t="shared" si="12"/>
        <v>0.96</v>
      </c>
      <c r="AP24" s="275">
        <f t="shared" si="13"/>
        <v>3775.2</v>
      </c>
      <c r="AQ24" s="276">
        <f t="shared" si="14"/>
        <v>0.264</v>
      </c>
      <c r="AR24" s="275">
        <f t="shared" si="15"/>
        <v>69463.68</v>
      </c>
      <c r="AS24" s="277">
        <f>IF(AN24&lt;=0,0,AP24*'Hypothèses'!$B$45+AR24*'Hypothèses'!$B$46+IF(AP24&lt;=50000,0,IF(AP24&lt;=60000,AP24*0.02-(60000-AP24)/20,IF(AP24&lt;=100000,AP24*0.02,IF(AP24&lt;=110000,AP24*0.03-(110000-AP24)/10,IF(AP24&lt;=150000,AP24*0.03,IF(AP24&lt;=160000,AP24*0.04-(160000-AP24)*3/20,IF(AP24&lt;=200000,AP24*0.04,IF(AP24&lt;=210000,AP24*0.05-(210000-AP24)/5,IF(AP24&lt;=250000,AP24*0.05,IF(AP24&lt;=260000,AP24*0.06-(260000-AP24)/4,AP24*0.06)))))))))))</f>
        <v>12665.04096</v>
      </c>
      <c r="AT24" s="275">
        <f t="shared" si="20"/>
        <v>0</v>
      </c>
      <c r="AU24" s="278">
        <f>IFERROR(IRR(B80:W80),"")</f>
        <v>0.02976845347</v>
      </c>
      <c r="AV24" s="279">
        <f>MAX(0,I24)*'Barème fiscal'!$B$13</f>
        <v>340</v>
      </c>
      <c r="AW24" s="279">
        <f>Y24*'Barème fiscal'!$B$13</f>
        <v>221.3284146</v>
      </c>
    </row>
    <row r="25" ht="15.75" customHeight="1">
      <c r="A25" s="280">
        <v>22.0</v>
      </c>
      <c r="B25" s="281">
        <f>B24*(1+'Hypothèses'!$B$27)</f>
        <v>12303.52048</v>
      </c>
      <c r="C25" s="281">
        <f>B25*'Hypothèses'!$B$28</f>
        <v>3691.056145</v>
      </c>
      <c r="D25" s="281">
        <f>'Tableau dAMT financier'!E37</f>
        <v>1636.778969</v>
      </c>
      <c r="E25" s="281">
        <f>'Tableau dAMT financier'!F37</f>
        <v>884.8</v>
      </c>
      <c r="F25" s="281">
        <f>MIN('Hypothèses'!$B$34,MAX(0,'Hypothèses'!$B$31-AL24))</f>
        <v>7280</v>
      </c>
      <c r="G25" s="281">
        <f>'Tableau dAMT financier'!H37</f>
        <v>42398.83226</v>
      </c>
      <c r="H25" s="281">
        <f>H24*(1+index)</f>
        <v>260000</v>
      </c>
      <c r="I25" s="281">
        <f>I24*(1+index)</f>
        <v>5000</v>
      </c>
      <c r="J25" s="281">
        <f>'Hypothèses'!$B$50+I25-AV24</f>
        <v>90160</v>
      </c>
      <c r="K25" s="281">
        <f>J25/'Hypothèses'!$B$39</f>
        <v>36064</v>
      </c>
      <c r="L25" s="282">
        <f>IF(K25&lt;='Barème fiscal'!$B$4,'Barème fiscal'!$C$4,IF(K25&lt;='Barème fiscal'!$B$5,'Barème fiscal'!$C$5,IF(K25&lt;='Barème fiscal'!$B$6,'Barème fiscal'!$C$6,IF(K25&lt;='Barème fiscal'!$B$7,'Barème fiscal'!$C$7,'Barème fiscal'!$C$8))))</f>
        <v>0.3</v>
      </c>
      <c r="M25" s="283">
        <f t="shared" si="1"/>
        <v>0.1275175244</v>
      </c>
      <c r="N25" s="284">
        <f>MAX(0,IF(J25/2&lt;='Barème fiscal'!$B$4,0,IF(J25/2&lt;='Barème fiscal'!$B$5,J25*'Barème fiscal'!$C$5-'Barème fiscal'!$D$5*2,IF(J25/2&lt;='Barème fiscal'!$B$6,J25*'Barème fiscal'!$C$6-'Barème fiscal'!$D$6*2,IF(J25/2&lt;='Barème fiscal'!$B$7,J25*'Barème fiscal'!$C$7-'Barème fiscal'!$D$7*2,J25*'Barème fiscal'!$C$8-'Barème fiscal'!$D$8*2)))))-MIN(MAX(IF(J25/2&lt;='Barème fiscal'!$B$4,0,IF(J25/2&lt;='Barème fiscal'!$B$5,J25*'Barème fiscal'!$C$5-'Barème fiscal'!$D$5*2,IF(J25/2&lt;='Barème fiscal'!$B$6,J25*'Barème fiscal'!$C$6-'Barème fiscal'!$D$6*2,IF(J25/2&lt;='Barème fiscal'!$B$7,J25*'Barème fiscal'!$C$7-'Barème fiscal'!$D$7*2,J25*'Barème fiscal'!$C$8-'Barème fiscal'!$D$8*2))))-MAX(0,IF(K25&lt;='Barème fiscal'!$B$4,0,IF(K25&lt;='Barème fiscal'!$B$5,J25*'Barème fiscal'!$C$5-'Barème fiscal'!$D$5*'Hypothèses'!$B$39,IF(K25&lt;='Barème fiscal'!$B$6,J25*'Barème fiscal'!$C$6-'Barème fiscal'!$D$6*'Hypothèses'!$B$39,IF(K25&lt;='Barème fiscal'!$B$7,J25*'Barème fiscal'!$C$7-'Barème fiscal'!$D$7*'Hypothèses'!$B$39,J25*'Barème fiscal'!$C$8-'Barème fiscal'!$D$8*'Hypothèses'!$B$39))))),0),MAX('Hypothèses'!$B$39-2,0)*2*'Barème fiscal'!$B$10)</f>
        <v>11496.98</v>
      </c>
      <c r="O25" s="281">
        <f>MAX(0,I25)*'Hypothèses'!$B$40</f>
        <v>860</v>
      </c>
      <c r="P25" s="284">
        <f t="shared" si="2"/>
        <v>12356.98</v>
      </c>
      <c r="Q25" s="281">
        <f t="shared" si="3"/>
        <v>17303.52048</v>
      </c>
      <c r="R25" s="281">
        <f t="shared" si="16"/>
        <v>2521.578969</v>
      </c>
      <c r="S25" s="281">
        <f t="shared" si="4"/>
        <v>10971.05615</v>
      </c>
      <c r="T25" s="281">
        <f t="shared" si="5"/>
        <v>3810.88537</v>
      </c>
      <c r="U25" s="284">
        <f>IF(T25&gt;=0,0,IF(Q25&gt;=R25,MAX(T25,-'Barème fiscal'!$B$11),MAX(-S25,-'Barème fiscal'!$B$11)))</f>
        <v>0</v>
      </c>
      <c r="V25" s="281">
        <f>IF(T25&gt;=0,0,IF(Q25&gt;=R25,MAX(0,-T25-'Barème fiscal'!$B$11),(R25-Q25)+MAX(0,S25-'Barème fiscal'!$B$11)))</f>
        <v>0</v>
      </c>
      <c r="W25" s="284">
        <f t="shared" si="17"/>
        <v>0</v>
      </c>
      <c r="X25" s="284">
        <f t="shared" si="6"/>
        <v>0</v>
      </c>
      <c r="Y25" s="281">
        <f t="shared" si="7"/>
        <v>3810.88537</v>
      </c>
      <c r="Z25" s="281">
        <f>'Hypothèses'!$B$50+Y25+U25-AW24</f>
        <v>89089.55696</v>
      </c>
      <c r="AA25" s="281">
        <f>Z25/'Hypothèses'!$B$39</f>
        <v>35635.82278</v>
      </c>
      <c r="AB25" s="282">
        <f>IF(AA25&lt;='Barème fiscal'!$B$4,'Barème fiscal'!$C$4,IF(AA25&lt;='Barème fiscal'!$B$5,'Barème fiscal'!$C$5,IF(AA25&lt;='Barème fiscal'!$B$6,'Barème fiscal'!$C$6,IF(AA25&lt;='Barème fiscal'!$B$7,'Barème fiscal'!$C$7,'Barème fiscal'!$C$8))))</f>
        <v>0.3</v>
      </c>
      <c r="AC25" s="283">
        <f t="shared" si="8"/>
        <v>0.1254450855</v>
      </c>
      <c r="AD25" s="284">
        <f>MAX(0,IF(Z25/2&lt;='Barème fiscal'!$B$4,0,IF(Z25/2&lt;='Barème fiscal'!$B$5,Z25*'Barème fiscal'!$C$5-'Barème fiscal'!$D$5*2,IF(Z25/2&lt;='Barème fiscal'!$B$6,Z25*'Barème fiscal'!$C$6-'Barème fiscal'!$D$6*2,IF(Z25/2&lt;='Barème fiscal'!$B$7,Z25*'Barème fiscal'!$C$7-'Barème fiscal'!$D$7*2,Z25*'Barème fiscal'!$C$8-'Barème fiscal'!$D$8*2)))))-MIN(MAX(IF(Z25/2&lt;='Barème fiscal'!$B$4,0,IF(Z25/2&lt;='Barème fiscal'!$B$5,Z25*'Barème fiscal'!$C$5-'Barème fiscal'!$D$5*2,IF(Z25/2&lt;='Barème fiscal'!$B$6,Z25*'Barème fiscal'!$C$6-'Barème fiscal'!$D$6*2,IF(Z25/2&lt;='Barème fiscal'!$B$7,Z25*'Barème fiscal'!$C$7-'Barème fiscal'!$D$7*2,Z25*'Barème fiscal'!$C$8-'Barème fiscal'!$D$8*2))))-MAX(0,IF(AA25&lt;='Barème fiscal'!$B$4,0,IF(AA25&lt;='Barème fiscal'!$B$5,Z25*'Barème fiscal'!$C$5-'Barème fiscal'!$D$5*'Hypothèses'!$B$39,IF(AA25&lt;='Barème fiscal'!$B$6,Z25*'Barème fiscal'!$C$6-'Barème fiscal'!$D$6*'Hypothèses'!$B$39,IF(AA25&lt;='Barème fiscal'!$B$7,Z25*'Barème fiscal'!$C$7-'Barème fiscal'!$D$7*'Hypothèses'!$B$39,Z25*'Barème fiscal'!$C$8-'Barème fiscal'!$D$8*'Hypothèses'!$B$39))))),0),MAX('Hypothèses'!$B$39-2,0)*2*'Barème fiscal'!$B$10)</f>
        <v>11175.84709</v>
      </c>
      <c r="AE25" s="281">
        <f>Y25*'Hypothèses'!$B$40</f>
        <v>655.4722837</v>
      </c>
      <c r="AF25" s="284">
        <f t="shared" si="9"/>
        <v>11831.31937</v>
      </c>
      <c r="AG25" s="284">
        <f t="shared" si="10"/>
        <v>525.6606296</v>
      </c>
      <c r="AH25" s="284">
        <f t="shared" si="11"/>
        <v>205011.5933</v>
      </c>
      <c r="AI25" s="284">
        <f>(B25-'Tableau dAMT financier'!G37-C25+AG25)/12</f>
        <v>-550.8457596</v>
      </c>
      <c r="AJ25" s="112"/>
      <c r="AK25" s="284">
        <f t="shared" si="18"/>
        <v>-134430.3517</v>
      </c>
      <c r="AL25" s="285">
        <f t="shared" si="19"/>
        <v>160160</v>
      </c>
      <c r="AM25" s="285">
        <f>MAX(0,A25*'Hypothèses'!$B$31*'Hypothèses'!$B$32-AL25)</f>
        <v>0</v>
      </c>
      <c r="AN25" s="285">
        <f>H25-('Hypothèses'!$B$4+MAX('Hypothèses'!$B$4*'Hypothèses'!$B$5,'Hypothèses'!$B$4*'Hypothèses'!$B$43)+IF(A25&gt;5,'Hypothèses'!$B$4*'Hypothèses'!$B$44,0)-AL25)</f>
        <v>101660</v>
      </c>
      <c r="AO25" s="286">
        <f t="shared" si="12"/>
        <v>1</v>
      </c>
      <c r="AP25" s="285">
        <f t="shared" si="13"/>
        <v>0</v>
      </c>
      <c r="AQ25" s="286">
        <f t="shared" si="14"/>
        <v>0.28</v>
      </c>
      <c r="AR25" s="285">
        <f t="shared" si="15"/>
        <v>73195.2</v>
      </c>
      <c r="AS25" s="287">
        <f>IF(AN25&lt;=0,0,AP25*'Hypothèses'!$B$45+AR25*'Hypothèses'!$B$46+IF(AP25&lt;=50000,0,IF(AP25&lt;=60000,AP25*0.02-(60000-AP25)/20,IF(AP25&lt;=100000,AP25*0.02,IF(AP25&lt;=110000,AP25*0.03-(110000-AP25)/10,IF(AP25&lt;=150000,AP25*0.03,IF(AP25&lt;=160000,AP25*0.04-(160000-AP25)*3/20,IF(AP25&lt;=200000,AP25*0.04,IF(AP25&lt;=210000,AP25*0.05-(210000-AP25)/5,IF(AP25&lt;=250000,AP25*0.05,IF(AP25&lt;=260000,AP25*0.06-(260000-AP25)/4,AP25*0.06)))))))))))</f>
        <v>12589.5744</v>
      </c>
      <c r="AT25" s="285">
        <f t="shared" si="20"/>
        <v>0</v>
      </c>
      <c r="AU25" s="288">
        <f>IFERROR(IRR(B81:X81),"")</f>
        <v>0.03015590525</v>
      </c>
      <c r="AV25" s="279">
        <f>MAX(0,I25)*'Barème fiscal'!$B$13</f>
        <v>340</v>
      </c>
      <c r="AW25" s="279">
        <f>Y25*'Barème fiscal'!$B$13</f>
        <v>259.1402052</v>
      </c>
    </row>
    <row r="26" ht="15.75" customHeight="1">
      <c r="A26" s="269">
        <v>23.0</v>
      </c>
      <c r="B26" s="270">
        <f>B25*(1+'Hypothèses'!$B$27)</f>
        <v>12488.07329</v>
      </c>
      <c r="C26" s="270">
        <f>B26*'Hypothèses'!$B$28</f>
        <v>3746.421988</v>
      </c>
      <c r="D26" s="270">
        <f>'Tableau dAMT financier'!E38</f>
        <v>1193.635364</v>
      </c>
      <c r="E26" s="270">
        <f>'Tableau dAMT financier'!F38</f>
        <v>884.8</v>
      </c>
      <c r="F26" s="270">
        <f>MIN('Hypothèses'!$B$34,MAX(0,'Hypothèses'!$B$31-AL25))</f>
        <v>7280</v>
      </c>
      <c r="G26" s="270">
        <f>'Tableau dAMT financier'!H38</f>
        <v>28728.99354</v>
      </c>
      <c r="H26" s="270">
        <f>H25*(1+index)</f>
        <v>260000</v>
      </c>
      <c r="I26" s="270">
        <f>I25*(1+index)</f>
        <v>5000</v>
      </c>
      <c r="J26" s="270">
        <f>'Hypothèses'!$B$50+I26-AV25</f>
        <v>90160</v>
      </c>
      <c r="K26" s="270">
        <f>J26/'Hypothèses'!$B$39</f>
        <v>36064</v>
      </c>
      <c r="L26" s="271">
        <f>IF(K26&lt;='Barème fiscal'!$B$4,'Barème fiscal'!$C$4,IF(K26&lt;='Barème fiscal'!$B$5,'Barème fiscal'!$C$5,IF(K26&lt;='Barème fiscal'!$B$6,'Barème fiscal'!$C$6,IF(K26&lt;='Barème fiscal'!$B$7,'Barème fiscal'!$C$7,'Barème fiscal'!$C$8))))</f>
        <v>0.3</v>
      </c>
      <c r="M26" s="272">
        <f t="shared" si="1"/>
        <v>0.1275175244</v>
      </c>
      <c r="N26" s="273">
        <f>MAX(0,IF(J26/2&lt;='Barème fiscal'!$B$4,0,IF(J26/2&lt;='Barème fiscal'!$B$5,J26*'Barème fiscal'!$C$5-'Barème fiscal'!$D$5*2,IF(J26/2&lt;='Barème fiscal'!$B$6,J26*'Barème fiscal'!$C$6-'Barème fiscal'!$D$6*2,IF(J26/2&lt;='Barème fiscal'!$B$7,J26*'Barème fiscal'!$C$7-'Barème fiscal'!$D$7*2,J26*'Barème fiscal'!$C$8-'Barème fiscal'!$D$8*2)))))-MIN(MAX(IF(J26/2&lt;='Barème fiscal'!$B$4,0,IF(J26/2&lt;='Barème fiscal'!$B$5,J26*'Barème fiscal'!$C$5-'Barème fiscal'!$D$5*2,IF(J26/2&lt;='Barème fiscal'!$B$6,J26*'Barème fiscal'!$C$6-'Barème fiscal'!$D$6*2,IF(J26/2&lt;='Barème fiscal'!$B$7,J26*'Barème fiscal'!$C$7-'Barème fiscal'!$D$7*2,J26*'Barème fiscal'!$C$8-'Barème fiscal'!$D$8*2))))-MAX(0,IF(K26&lt;='Barème fiscal'!$B$4,0,IF(K26&lt;='Barème fiscal'!$B$5,J26*'Barème fiscal'!$C$5-'Barème fiscal'!$D$5*'Hypothèses'!$B$39,IF(K26&lt;='Barème fiscal'!$B$6,J26*'Barème fiscal'!$C$6-'Barème fiscal'!$D$6*'Hypothèses'!$B$39,IF(K26&lt;='Barème fiscal'!$B$7,J26*'Barème fiscal'!$C$7-'Barème fiscal'!$D$7*'Hypothèses'!$B$39,J26*'Barème fiscal'!$C$8-'Barème fiscal'!$D$8*'Hypothèses'!$B$39))))),0),MAX('Hypothèses'!$B$39-2,0)*2*'Barème fiscal'!$B$10)</f>
        <v>11496.98</v>
      </c>
      <c r="O26" s="270">
        <f>MAX(0,I26)*'Hypothèses'!$B$40</f>
        <v>860</v>
      </c>
      <c r="P26" s="273">
        <f t="shared" si="2"/>
        <v>12356.98</v>
      </c>
      <c r="Q26" s="270">
        <f t="shared" si="3"/>
        <v>17488.07329</v>
      </c>
      <c r="R26" s="270">
        <f t="shared" si="16"/>
        <v>2078.435364</v>
      </c>
      <c r="S26" s="270">
        <f t="shared" si="4"/>
        <v>11026.42199</v>
      </c>
      <c r="T26" s="270">
        <f t="shared" si="5"/>
        <v>4383.215941</v>
      </c>
      <c r="U26" s="273">
        <f>IF(T26&gt;=0,0,IF(Q26&gt;=R26,MAX(T26,-'Barème fiscal'!$B$11),MAX(-S26,-'Barème fiscal'!$B$11)))</f>
        <v>0</v>
      </c>
      <c r="V26" s="270">
        <f>IF(T26&gt;=0,0,IF(Q26&gt;=R26,MAX(0,-T26-'Barème fiscal'!$B$11),(R26-Q26)+MAX(0,S26-'Barème fiscal'!$B$11)))</f>
        <v>0</v>
      </c>
      <c r="W26" s="273">
        <f t="shared" si="17"/>
        <v>0</v>
      </c>
      <c r="X26" s="273">
        <f t="shared" si="6"/>
        <v>0</v>
      </c>
      <c r="Y26" s="270">
        <f t="shared" si="7"/>
        <v>4383.215941</v>
      </c>
      <c r="Z26" s="270">
        <f>'Hypothèses'!$B$50+Y26+U26-AW25</f>
        <v>89624.07574</v>
      </c>
      <c r="AA26" s="270">
        <f>Z26/'Hypothèses'!$B$39</f>
        <v>35849.63029</v>
      </c>
      <c r="AB26" s="271">
        <f>IF(AA26&lt;='Barème fiscal'!$B$4,'Barème fiscal'!$C$4,IF(AA26&lt;='Barème fiscal'!$B$5,'Barème fiscal'!$C$5,IF(AA26&lt;='Barème fiscal'!$B$6,'Barème fiscal'!$C$6,IF(AA26&lt;='Barème fiscal'!$B$7,'Barème fiscal'!$C$7,'Barème fiscal'!$C$8))))</f>
        <v>0.3</v>
      </c>
      <c r="AC26" s="272">
        <f t="shared" si="8"/>
        <v>0.1264861325</v>
      </c>
      <c r="AD26" s="273">
        <f>MAX(0,IF(Z26/2&lt;='Barème fiscal'!$B$4,0,IF(Z26/2&lt;='Barème fiscal'!$B$5,Z26*'Barème fiscal'!$C$5-'Barème fiscal'!$D$5*2,IF(Z26/2&lt;='Barème fiscal'!$B$6,Z26*'Barème fiscal'!$C$6-'Barème fiscal'!$D$6*2,IF(Z26/2&lt;='Barème fiscal'!$B$7,Z26*'Barème fiscal'!$C$7-'Barème fiscal'!$D$7*2,Z26*'Barème fiscal'!$C$8-'Barème fiscal'!$D$8*2)))))-MIN(MAX(IF(Z26/2&lt;='Barème fiscal'!$B$4,0,IF(Z26/2&lt;='Barème fiscal'!$B$5,Z26*'Barème fiscal'!$C$5-'Barème fiscal'!$D$5*2,IF(Z26/2&lt;='Barème fiscal'!$B$6,Z26*'Barème fiscal'!$C$6-'Barème fiscal'!$D$6*2,IF(Z26/2&lt;='Barème fiscal'!$B$7,Z26*'Barème fiscal'!$C$7-'Barème fiscal'!$D$7*2,Z26*'Barème fiscal'!$C$8-'Barème fiscal'!$D$8*2))))-MAX(0,IF(AA26&lt;='Barème fiscal'!$B$4,0,IF(AA26&lt;='Barème fiscal'!$B$5,Z26*'Barème fiscal'!$C$5-'Barème fiscal'!$D$5*'Hypothèses'!$B$39,IF(AA26&lt;='Barème fiscal'!$B$6,Z26*'Barème fiscal'!$C$6-'Barème fiscal'!$D$6*'Hypothèses'!$B$39,IF(AA26&lt;='Barème fiscal'!$B$7,Z26*'Barème fiscal'!$C$7-'Barème fiscal'!$D$7*'Hypothèses'!$B$39,Z26*'Barème fiscal'!$C$8-'Barème fiscal'!$D$8*'Hypothèses'!$B$39))))),0),MAX('Hypothèses'!$B$39-2,0)*2*'Barème fiscal'!$B$10)</f>
        <v>11336.20272</v>
      </c>
      <c r="AE26" s="270">
        <f>Y26*'Hypothèses'!$B$40</f>
        <v>753.9131418</v>
      </c>
      <c r="AF26" s="273">
        <f t="shared" si="9"/>
        <v>12090.11586</v>
      </c>
      <c r="AG26" s="273">
        <f t="shared" si="10"/>
        <v>266.8641375</v>
      </c>
      <c r="AH26" s="273">
        <f t="shared" si="11"/>
        <v>219466.2681</v>
      </c>
      <c r="AI26" s="273">
        <f>(B26-'Tableau dAMT financier'!G38-C26+AG26)/12</f>
        <v>-561.6465535</v>
      </c>
      <c r="AJ26" s="112"/>
      <c r="AK26" s="273">
        <f t="shared" si="18"/>
        <v>-141170.1103</v>
      </c>
      <c r="AL26" s="275">
        <f t="shared" si="19"/>
        <v>167440</v>
      </c>
      <c r="AM26" s="275">
        <f>MAX(0,A26*'Hypothèses'!$B$31*'Hypothèses'!$B$32-AL26)</f>
        <v>0</v>
      </c>
      <c r="AN26" s="275">
        <f>H26-('Hypothèses'!$B$4+MAX('Hypothèses'!$B$4*'Hypothèses'!$B$5,'Hypothèses'!$B$4*'Hypothèses'!$B$43)+IF(A26&gt;5,'Hypothèses'!$B$4*'Hypothèses'!$B$44,0)-AL26)</f>
        <v>108940</v>
      </c>
      <c r="AO26" s="276">
        <f t="shared" si="12"/>
        <v>1</v>
      </c>
      <c r="AP26" s="275">
        <f t="shared" si="13"/>
        <v>0</v>
      </c>
      <c r="AQ26" s="276">
        <f t="shared" si="14"/>
        <v>0.37</v>
      </c>
      <c r="AR26" s="275">
        <f t="shared" si="15"/>
        <v>68632.2</v>
      </c>
      <c r="AS26" s="277">
        <f>IF(AN26&lt;=0,0,AP26*'Hypothèses'!$B$45+AR26*'Hypothèses'!$B$46+IF(AP26&lt;=50000,0,IF(AP26&lt;=60000,AP26*0.02-(60000-AP26)/20,IF(AP26&lt;=100000,AP26*0.02,IF(AP26&lt;=110000,AP26*0.03-(110000-AP26)/10,IF(AP26&lt;=150000,AP26*0.03,IF(AP26&lt;=160000,AP26*0.04-(160000-AP26)*3/20,IF(AP26&lt;=200000,AP26*0.04,IF(AP26&lt;=210000,AP26*0.05-(210000-AP26)/5,IF(AP26&lt;=250000,AP26*0.05,IF(AP26&lt;=260000,AP26*0.06-(260000-AP26)/4,AP26*0.06)))))))))))</f>
        <v>11804.7384</v>
      </c>
      <c r="AT26" s="275">
        <f t="shared" si="20"/>
        <v>0</v>
      </c>
      <c r="AU26" s="278">
        <f>IFERROR(IRR(B82:Y82),"")</f>
        <v>0.03069479348</v>
      </c>
      <c r="AV26" s="279">
        <f>MAX(0,I26)*'Barème fiscal'!$B$13</f>
        <v>340</v>
      </c>
      <c r="AW26" s="279">
        <f>Y26*'Barème fiscal'!$B$13</f>
        <v>298.058684</v>
      </c>
    </row>
    <row r="27" ht="15.75" customHeight="1">
      <c r="A27" s="280">
        <v>24.0</v>
      </c>
      <c r="B27" s="281">
        <f>B26*(1+'Hypothèses'!$B$27)</f>
        <v>12675.39439</v>
      </c>
      <c r="C27" s="281">
        <f>B27*'Hypothèses'!$B$28</f>
        <v>3802.618317</v>
      </c>
      <c r="D27" s="281">
        <f>'Tableau dAMT financier'!E39</f>
        <v>735.6447952</v>
      </c>
      <c r="E27" s="281">
        <f>'Tableau dAMT financier'!F39</f>
        <v>884.8</v>
      </c>
      <c r="F27" s="281">
        <f>MIN('Hypothèses'!$B$34,MAX(0,'Hypothèses'!$B$31-AL26))</f>
        <v>7280</v>
      </c>
      <c r="G27" s="281">
        <f>'Tableau dAMT financier'!H39</f>
        <v>14601.16425</v>
      </c>
      <c r="H27" s="281">
        <f>H26*(1+index)</f>
        <v>260000</v>
      </c>
      <c r="I27" s="281">
        <f>I26*(1+index)</f>
        <v>5000</v>
      </c>
      <c r="J27" s="281">
        <f>'Hypothèses'!$B$50+I27-AV26</f>
        <v>90160</v>
      </c>
      <c r="K27" s="281">
        <f>J27/'Hypothèses'!$B$39</f>
        <v>36064</v>
      </c>
      <c r="L27" s="282">
        <f>IF(K27&lt;='Barème fiscal'!$B$4,'Barème fiscal'!$C$4,IF(K27&lt;='Barème fiscal'!$B$5,'Barème fiscal'!$C$5,IF(K27&lt;='Barème fiscal'!$B$6,'Barème fiscal'!$C$6,IF(K27&lt;='Barème fiscal'!$B$7,'Barème fiscal'!$C$7,'Barème fiscal'!$C$8))))</f>
        <v>0.3</v>
      </c>
      <c r="M27" s="283">
        <f t="shared" si="1"/>
        <v>0.1275175244</v>
      </c>
      <c r="N27" s="284">
        <f>MAX(0,IF(J27/2&lt;='Barème fiscal'!$B$4,0,IF(J27/2&lt;='Barème fiscal'!$B$5,J27*'Barème fiscal'!$C$5-'Barème fiscal'!$D$5*2,IF(J27/2&lt;='Barème fiscal'!$B$6,J27*'Barème fiscal'!$C$6-'Barème fiscal'!$D$6*2,IF(J27/2&lt;='Barème fiscal'!$B$7,J27*'Barème fiscal'!$C$7-'Barème fiscal'!$D$7*2,J27*'Barème fiscal'!$C$8-'Barème fiscal'!$D$8*2)))))-MIN(MAX(IF(J27/2&lt;='Barème fiscal'!$B$4,0,IF(J27/2&lt;='Barème fiscal'!$B$5,J27*'Barème fiscal'!$C$5-'Barème fiscal'!$D$5*2,IF(J27/2&lt;='Barème fiscal'!$B$6,J27*'Barème fiscal'!$C$6-'Barème fiscal'!$D$6*2,IF(J27/2&lt;='Barème fiscal'!$B$7,J27*'Barème fiscal'!$C$7-'Barème fiscal'!$D$7*2,J27*'Barème fiscal'!$C$8-'Barème fiscal'!$D$8*2))))-MAX(0,IF(K27&lt;='Barème fiscal'!$B$4,0,IF(K27&lt;='Barème fiscal'!$B$5,J27*'Barème fiscal'!$C$5-'Barème fiscal'!$D$5*'Hypothèses'!$B$39,IF(K27&lt;='Barème fiscal'!$B$6,J27*'Barème fiscal'!$C$6-'Barème fiscal'!$D$6*'Hypothèses'!$B$39,IF(K27&lt;='Barème fiscal'!$B$7,J27*'Barème fiscal'!$C$7-'Barème fiscal'!$D$7*'Hypothèses'!$B$39,J27*'Barème fiscal'!$C$8-'Barème fiscal'!$D$8*'Hypothèses'!$B$39))))),0),MAX('Hypothèses'!$B$39-2,0)*2*'Barème fiscal'!$B$10)</f>
        <v>11496.98</v>
      </c>
      <c r="O27" s="281">
        <f>MAX(0,I27)*'Hypothèses'!$B$40</f>
        <v>860</v>
      </c>
      <c r="P27" s="284">
        <f t="shared" si="2"/>
        <v>12356.98</v>
      </c>
      <c r="Q27" s="281">
        <f t="shared" si="3"/>
        <v>17675.39439</v>
      </c>
      <c r="R27" s="281">
        <f t="shared" si="16"/>
        <v>1620.444795</v>
      </c>
      <c r="S27" s="281">
        <f t="shared" si="4"/>
        <v>11082.61832</v>
      </c>
      <c r="T27" s="281">
        <f t="shared" si="5"/>
        <v>4972.331279</v>
      </c>
      <c r="U27" s="284">
        <f>IF(T27&gt;=0,0,IF(Q27&gt;=R27,MAX(T27,-'Barème fiscal'!$B$11),MAX(-S27,-'Barème fiscal'!$B$11)))</f>
        <v>0</v>
      </c>
      <c r="V27" s="281">
        <f>IF(T27&gt;=0,0,IF(Q27&gt;=R27,MAX(0,-T27-'Barème fiscal'!$B$11),(R27-Q27)+MAX(0,S27-'Barème fiscal'!$B$11)))</f>
        <v>0</v>
      </c>
      <c r="W27" s="284">
        <f t="shared" si="17"/>
        <v>0</v>
      </c>
      <c r="X27" s="284">
        <f t="shared" si="6"/>
        <v>0</v>
      </c>
      <c r="Y27" s="281">
        <f t="shared" si="7"/>
        <v>4972.331279</v>
      </c>
      <c r="Z27" s="281">
        <f>'Hypothèses'!$B$50+Y27+U27-AW26</f>
        <v>90174.27259</v>
      </c>
      <c r="AA27" s="281">
        <f>Z27/'Hypothèses'!$B$39</f>
        <v>36069.70904</v>
      </c>
      <c r="AB27" s="282">
        <f>IF(AA27&lt;='Barème fiscal'!$B$4,'Barème fiscal'!$C$4,IF(AA27&lt;='Barème fiscal'!$B$5,'Barème fiscal'!$C$5,IF(AA27&lt;='Barème fiscal'!$B$6,'Barème fiscal'!$C$6,IF(AA27&lt;='Barème fiscal'!$B$7,'Barème fiscal'!$C$7,'Barème fiscal'!$C$8))))</f>
        <v>0.3</v>
      </c>
      <c r="AC27" s="283">
        <f t="shared" si="8"/>
        <v>0.1275448246</v>
      </c>
      <c r="AD27" s="284">
        <f>MAX(0,IF(Z27/2&lt;='Barème fiscal'!$B$4,0,IF(Z27/2&lt;='Barème fiscal'!$B$5,Z27*'Barème fiscal'!$C$5-'Barème fiscal'!$D$5*2,IF(Z27/2&lt;='Barème fiscal'!$B$6,Z27*'Barème fiscal'!$C$6-'Barème fiscal'!$D$6*2,IF(Z27/2&lt;='Barème fiscal'!$B$7,Z27*'Barème fiscal'!$C$7-'Barème fiscal'!$D$7*2,Z27*'Barème fiscal'!$C$8-'Barème fiscal'!$D$8*2)))))-MIN(MAX(IF(Z27/2&lt;='Barème fiscal'!$B$4,0,IF(Z27/2&lt;='Barème fiscal'!$B$5,Z27*'Barème fiscal'!$C$5-'Barème fiscal'!$D$5*2,IF(Z27/2&lt;='Barème fiscal'!$B$6,Z27*'Barème fiscal'!$C$6-'Barème fiscal'!$D$6*2,IF(Z27/2&lt;='Barème fiscal'!$B$7,Z27*'Barème fiscal'!$C$7-'Barème fiscal'!$D$7*2,Z27*'Barème fiscal'!$C$8-'Barème fiscal'!$D$8*2))))-MAX(0,IF(AA27&lt;='Barème fiscal'!$B$4,0,IF(AA27&lt;='Barème fiscal'!$B$5,Z27*'Barème fiscal'!$C$5-'Barème fiscal'!$D$5*'Hypothèses'!$B$39,IF(AA27&lt;='Barème fiscal'!$B$6,Z27*'Barème fiscal'!$C$6-'Barème fiscal'!$D$6*'Hypothèses'!$B$39,IF(AA27&lt;='Barème fiscal'!$B$7,Z27*'Barème fiscal'!$C$7-'Barème fiscal'!$D$7*'Hypothèses'!$B$39,Z27*'Barème fiscal'!$C$8-'Barème fiscal'!$D$8*'Hypothèses'!$B$39))))),0),MAX('Hypothèses'!$B$39-2,0)*2*'Barème fiscal'!$B$10)</f>
        <v>11501.26178</v>
      </c>
      <c r="AE27" s="281">
        <f>Y27*'Hypothèses'!$B$40</f>
        <v>855.24098</v>
      </c>
      <c r="AF27" s="284">
        <f t="shared" si="9"/>
        <v>12356.50276</v>
      </c>
      <c r="AG27" s="284">
        <f t="shared" si="10"/>
        <v>0.4772415655</v>
      </c>
      <c r="AH27" s="284">
        <f t="shared" si="11"/>
        <v>234604.3222</v>
      </c>
      <c r="AI27" s="284">
        <f>(B27-'Tableau dAMT financier'!G39-C27+AG27)/12</f>
        <v>-572.9183974</v>
      </c>
      <c r="AJ27" s="112"/>
      <c r="AK27" s="284">
        <f t="shared" si="18"/>
        <v>-148045.1311</v>
      </c>
      <c r="AL27" s="285">
        <f t="shared" si="19"/>
        <v>174720</v>
      </c>
      <c r="AM27" s="285">
        <f>MAX(0,A27*'Hypothèses'!$B$31*'Hypothèses'!$B$32-AL27)</f>
        <v>0</v>
      </c>
      <c r="AN27" s="285">
        <f>H27-('Hypothèses'!$B$4+MAX('Hypothèses'!$B$4*'Hypothèses'!$B$5,'Hypothèses'!$B$4*'Hypothèses'!$B$43)+IF(A27&gt;5,'Hypothèses'!$B$4*'Hypothèses'!$B$44,0)-AL27)</f>
        <v>116220</v>
      </c>
      <c r="AO27" s="286">
        <f t="shared" si="12"/>
        <v>1</v>
      </c>
      <c r="AP27" s="285">
        <f t="shared" si="13"/>
        <v>0</v>
      </c>
      <c r="AQ27" s="286">
        <f t="shared" si="14"/>
        <v>0.46</v>
      </c>
      <c r="AR27" s="285">
        <f t="shared" si="15"/>
        <v>62758.8</v>
      </c>
      <c r="AS27" s="287">
        <f>IF(AN27&lt;=0,0,AP27*'Hypothèses'!$B$45+AR27*'Hypothèses'!$B$46+IF(AP27&lt;=50000,0,IF(AP27&lt;=60000,AP27*0.02-(60000-AP27)/20,IF(AP27&lt;=100000,AP27*0.02,IF(AP27&lt;=110000,AP27*0.03-(110000-AP27)/10,IF(AP27&lt;=150000,AP27*0.03,IF(AP27&lt;=160000,AP27*0.04-(160000-AP27)*3/20,IF(AP27&lt;=200000,AP27*0.04,IF(AP27&lt;=210000,AP27*0.05-(210000-AP27)/5,IF(AP27&lt;=250000,AP27*0.05,IF(AP27&lt;=260000,AP27*0.06-(260000-AP27)/4,AP27*0.06)))))))))))</f>
        <v>10794.5136</v>
      </c>
      <c r="AT27" s="285">
        <f t="shared" si="20"/>
        <v>0</v>
      </c>
      <c r="AU27" s="288">
        <f>IFERROR(IRR(B83:Z83),"")</f>
        <v>0.03117546637</v>
      </c>
      <c r="AV27" s="279">
        <f>MAX(0,I27)*'Barème fiscal'!$B$13</f>
        <v>340</v>
      </c>
      <c r="AW27" s="279">
        <f>Y27*'Barème fiscal'!$B$13</f>
        <v>338.118527</v>
      </c>
    </row>
    <row r="28" ht="15.75" customHeight="1">
      <c r="A28" s="269">
        <v>25.0</v>
      </c>
      <c r="B28" s="270">
        <f>B27*(1+'Hypothèses'!$B$27)</f>
        <v>12865.52531</v>
      </c>
      <c r="C28" s="270">
        <f>B28*'Hypothèses'!$B$28</f>
        <v>3859.657592</v>
      </c>
      <c r="D28" s="270">
        <f>'Tableau dAMT financier'!E40</f>
        <v>262.3098349</v>
      </c>
      <c r="E28" s="270">
        <f>'Tableau dAMT financier'!F40</f>
        <v>884.8</v>
      </c>
      <c r="F28" s="270">
        <f>MIN('Hypothèses'!$B$34,MAX(0,'Hypothèses'!$B$31-AL27))</f>
        <v>7280</v>
      </c>
      <c r="G28" s="270">
        <f>'Tableau dAMT financier'!H40</f>
        <v>0.000000002852175385</v>
      </c>
      <c r="H28" s="270">
        <f>H27*(1+index)</f>
        <v>260000</v>
      </c>
      <c r="I28" s="270">
        <f>I27*(1+index)</f>
        <v>5000</v>
      </c>
      <c r="J28" s="270">
        <f>'Hypothèses'!$B$50+I28-AV27</f>
        <v>90160</v>
      </c>
      <c r="K28" s="270">
        <f>J28/'Hypothèses'!$B$39</f>
        <v>36064</v>
      </c>
      <c r="L28" s="271">
        <f>IF(K28&lt;='Barème fiscal'!$B$4,'Barème fiscal'!$C$4,IF(K28&lt;='Barème fiscal'!$B$5,'Barème fiscal'!$C$5,IF(K28&lt;='Barème fiscal'!$B$6,'Barème fiscal'!$C$6,IF(K28&lt;='Barème fiscal'!$B$7,'Barème fiscal'!$C$7,'Barème fiscal'!$C$8))))</f>
        <v>0.3</v>
      </c>
      <c r="M28" s="272">
        <f t="shared" si="1"/>
        <v>0.1275175244</v>
      </c>
      <c r="N28" s="273">
        <f>MAX(0,IF(J28/2&lt;='Barème fiscal'!$B$4,0,IF(J28/2&lt;='Barème fiscal'!$B$5,J28*'Barème fiscal'!$C$5-'Barème fiscal'!$D$5*2,IF(J28/2&lt;='Barème fiscal'!$B$6,J28*'Barème fiscal'!$C$6-'Barème fiscal'!$D$6*2,IF(J28/2&lt;='Barème fiscal'!$B$7,J28*'Barème fiscal'!$C$7-'Barème fiscal'!$D$7*2,J28*'Barème fiscal'!$C$8-'Barème fiscal'!$D$8*2)))))-MIN(MAX(IF(J28/2&lt;='Barème fiscal'!$B$4,0,IF(J28/2&lt;='Barème fiscal'!$B$5,J28*'Barème fiscal'!$C$5-'Barème fiscal'!$D$5*2,IF(J28/2&lt;='Barème fiscal'!$B$6,J28*'Barème fiscal'!$C$6-'Barème fiscal'!$D$6*2,IF(J28/2&lt;='Barème fiscal'!$B$7,J28*'Barème fiscal'!$C$7-'Barème fiscal'!$D$7*2,J28*'Barème fiscal'!$C$8-'Barème fiscal'!$D$8*2))))-MAX(0,IF(K28&lt;='Barème fiscal'!$B$4,0,IF(K28&lt;='Barème fiscal'!$B$5,J28*'Barème fiscal'!$C$5-'Barème fiscal'!$D$5*'Hypothèses'!$B$39,IF(K28&lt;='Barème fiscal'!$B$6,J28*'Barème fiscal'!$C$6-'Barème fiscal'!$D$6*'Hypothèses'!$B$39,IF(K28&lt;='Barème fiscal'!$B$7,J28*'Barème fiscal'!$C$7-'Barème fiscal'!$D$7*'Hypothèses'!$B$39,J28*'Barème fiscal'!$C$8-'Barème fiscal'!$D$8*'Hypothèses'!$B$39))))),0),MAX('Hypothèses'!$B$39-2,0)*2*'Barème fiscal'!$B$10)</f>
        <v>11496.98</v>
      </c>
      <c r="O28" s="270">
        <f>MAX(0,I28)*'Hypothèses'!$B$40</f>
        <v>860</v>
      </c>
      <c r="P28" s="273">
        <f t="shared" si="2"/>
        <v>12356.98</v>
      </c>
      <c r="Q28" s="270">
        <f t="shared" si="3"/>
        <v>17865.52531</v>
      </c>
      <c r="R28" s="270">
        <f t="shared" si="16"/>
        <v>1147.109835</v>
      </c>
      <c r="S28" s="270">
        <f t="shared" si="4"/>
        <v>11139.65759</v>
      </c>
      <c r="T28" s="270">
        <f t="shared" si="5"/>
        <v>5578.75788</v>
      </c>
      <c r="U28" s="273">
        <f>IF(T28&gt;=0,0,IF(Q28&gt;=R28,MAX(T28,-'Barème fiscal'!$B$11),MAX(-S28,-'Barème fiscal'!$B$11)))</f>
        <v>0</v>
      </c>
      <c r="V28" s="270">
        <f>IF(T28&gt;=0,0,IF(Q28&gt;=R28,MAX(0,-T28-'Barème fiscal'!$B$11),(R28-Q28)+MAX(0,S28-'Barème fiscal'!$B$11)))</f>
        <v>0</v>
      </c>
      <c r="W28" s="273">
        <f t="shared" si="17"/>
        <v>0</v>
      </c>
      <c r="X28" s="273">
        <f t="shared" si="6"/>
        <v>0</v>
      </c>
      <c r="Y28" s="270">
        <f t="shared" si="7"/>
        <v>5578.75788</v>
      </c>
      <c r="Z28" s="270">
        <f>'Hypothèses'!$B$50+Y28+U28-AW27</f>
        <v>90740.63935</v>
      </c>
      <c r="AA28" s="270">
        <f>Z28/'Hypothèses'!$B$39</f>
        <v>36296.25574</v>
      </c>
      <c r="AB28" s="271">
        <f>IF(AA28&lt;='Barème fiscal'!$B$4,'Barème fiscal'!$C$4,IF(AA28&lt;='Barème fiscal'!$B$5,'Barème fiscal'!$C$5,IF(AA28&lt;='Barème fiscal'!$B$6,'Barème fiscal'!$C$6,IF(AA28&lt;='Barème fiscal'!$B$7,'Barème fiscal'!$C$7,'Barème fiscal'!$C$8))))</f>
        <v>0.3</v>
      </c>
      <c r="AC28" s="272">
        <f t="shared" si="8"/>
        <v>0.1286212208</v>
      </c>
      <c r="AD28" s="273">
        <f>MAX(0,IF(Z28/2&lt;='Barème fiscal'!$B$4,0,IF(Z28/2&lt;='Barème fiscal'!$B$5,Z28*'Barème fiscal'!$C$5-'Barème fiscal'!$D$5*2,IF(Z28/2&lt;='Barème fiscal'!$B$6,Z28*'Barème fiscal'!$C$6-'Barème fiscal'!$D$6*2,IF(Z28/2&lt;='Barème fiscal'!$B$7,Z28*'Barème fiscal'!$C$7-'Barème fiscal'!$D$7*2,Z28*'Barème fiscal'!$C$8-'Barème fiscal'!$D$8*2)))))-MIN(MAX(IF(Z28/2&lt;='Barème fiscal'!$B$4,0,IF(Z28/2&lt;='Barème fiscal'!$B$5,Z28*'Barème fiscal'!$C$5-'Barème fiscal'!$D$5*2,IF(Z28/2&lt;='Barème fiscal'!$B$6,Z28*'Barème fiscal'!$C$6-'Barème fiscal'!$D$6*2,IF(Z28/2&lt;='Barème fiscal'!$B$7,Z28*'Barème fiscal'!$C$7-'Barème fiscal'!$D$7*2,Z28*'Barème fiscal'!$C$8-'Barème fiscal'!$D$8*2))))-MAX(0,IF(AA28&lt;='Barème fiscal'!$B$4,0,IF(AA28&lt;='Barème fiscal'!$B$5,Z28*'Barème fiscal'!$C$5-'Barème fiscal'!$D$5*'Hypothèses'!$B$39,IF(AA28&lt;='Barème fiscal'!$B$6,Z28*'Barème fiscal'!$C$6-'Barème fiscal'!$D$6*'Hypothèses'!$B$39,IF(AA28&lt;='Barème fiscal'!$B$7,Z28*'Barème fiscal'!$C$7-'Barème fiscal'!$D$7*'Hypothèses'!$B$39,Z28*'Barème fiscal'!$C$8-'Barème fiscal'!$D$8*'Hypothèses'!$B$39))))),0),MAX('Hypothèses'!$B$39-2,0)*2*'Barème fiscal'!$B$10)</f>
        <v>11671.17181</v>
      </c>
      <c r="AE28" s="270">
        <f>Y28*'Hypothèses'!$B$40</f>
        <v>959.5463554</v>
      </c>
      <c r="AF28" s="273">
        <f t="shared" si="9"/>
        <v>12630.71816</v>
      </c>
      <c r="AG28" s="273">
        <f t="shared" si="10"/>
        <v>-273.7381614</v>
      </c>
      <c r="AH28" s="273">
        <f t="shared" si="11"/>
        <v>250441.1</v>
      </c>
      <c r="AI28" s="273">
        <f>(B28-'Tableau dAMT financier'!G40-C28+AG28)/12</f>
        <v>-584.6787108</v>
      </c>
      <c r="AJ28" s="120"/>
      <c r="AK28" s="273">
        <f t="shared" si="18"/>
        <v>-155061.2756</v>
      </c>
      <c r="AL28" s="275">
        <f t="shared" si="19"/>
        <v>182000</v>
      </c>
      <c r="AM28" s="275">
        <f>MAX(0,A28*'Hypothèses'!$B$31*'Hypothèses'!$B$32-AL28)</f>
        <v>0</v>
      </c>
      <c r="AN28" s="275">
        <f>H28-('Hypothèses'!$B$4+MAX('Hypothèses'!$B$4*'Hypothèses'!$B$5,'Hypothèses'!$B$4*'Hypothèses'!$B$43)+IF(A28&gt;5,'Hypothèses'!$B$4*'Hypothèses'!$B$44,0)-AL28)</f>
        <v>123500</v>
      </c>
      <c r="AO28" s="276">
        <f t="shared" si="12"/>
        <v>1</v>
      </c>
      <c r="AP28" s="275">
        <f t="shared" si="13"/>
        <v>0</v>
      </c>
      <c r="AQ28" s="276">
        <f t="shared" si="14"/>
        <v>0.55</v>
      </c>
      <c r="AR28" s="275">
        <f t="shared" si="15"/>
        <v>55575</v>
      </c>
      <c r="AS28" s="277">
        <f>IF(AN28&lt;=0,0,AP28*'Hypothèses'!$B$45+AR28*'Hypothèses'!$B$46+IF(AP28&lt;=50000,0,IF(AP28&lt;=60000,AP28*0.02-(60000-AP28)/20,IF(AP28&lt;=100000,AP28*0.02,IF(AP28&lt;=110000,AP28*0.03-(110000-AP28)/10,IF(AP28&lt;=150000,AP28*0.03,IF(AP28&lt;=160000,AP28*0.04-(160000-AP28)*3/20,IF(AP28&lt;=200000,AP28*0.04,IF(AP28&lt;=210000,AP28*0.05-(210000-AP28)/5,IF(AP28&lt;=250000,AP28*0.05,IF(AP28&lt;=260000,AP28*0.06-(260000-AP28)/4,AP28*0.06)))))))))))</f>
        <v>9558.9</v>
      </c>
      <c r="AT28" s="275">
        <f t="shared" si="20"/>
        <v>0</v>
      </c>
      <c r="AU28" s="278">
        <f>IFERROR(IRR(B84:AA84),"")</f>
        <v>0.0316016391</v>
      </c>
      <c r="AV28" s="279">
        <f>MAX(0,I28)*'Barème fiscal'!$B$13</f>
        <v>340</v>
      </c>
      <c r="AW28" s="279">
        <f>Y28*'Barème fiscal'!$B$13</f>
        <v>379.3555359</v>
      </c>
    </row>
    <row r="29" ht="15.75" customHeight="1">
      <c r="A29" s="290" t="s">
        <v>191</v>
      </c>
      <c r="B29" s="291">
        <f t="shared" ref="B29:F29" si="21">SUM(B4:B28)</f>
        <v>270567.2125</v>
      </c>
      <c r="C29" s="291">
        <f t="shared" si="21"/>
        <v>81170.16374</v>
      </c>
      <c r="D29" s="291">
        <f t="shared" si="21"/>
        <v>118786.8521</v>
      </c>
      <c r="E29" s="291">
        <f t="shared" si="21"/>
        <v>22120</v>
      </c>
      <c r="F29" s="291">
        <f t="shared" si="21"/>
        <v>182000</v>
      </c>
      <c r="G29" s="292"/>
      <c r="H29" s="292"/>
      <c r="I29" s="263"/>
      <c r="J29" s="263"/>
      <c r="K29" s="263"/>
      <c r="L29" s="263"/>
      <c r="M29" s="263"/>
      <c r="N29" s="291">
        <f t="shared" ref="N29:P29" si="22">SUM(N4:N28)</f>
        <v>287526.5</v>
      </c>
      <c r="O29" s="291">
        <f t="shared" si="22"/>
        <v>21500</v>
      </c>
      <c r="P29" s="291">
        <f t="shared" si="22"/>
        <v>309026.5</v>
      </c>
      <c r="Q29" s="263"/>
      <c r="R29" s="263"/>
      <c r="S29" s="263"/>
      <c r="T29" s="263"/>
      <c r="U29" s="291">
        <f t="shared" ref="U29:V29" si="23">SUM(U4:U28)</f>
        <v>-43212.70136</v>
      </c>
      <c r="V29" s="291">
        <f t="shared" si="23"/>
        <v>0</v>
      </c>
      <c r="W29" s="292"/>
      <c r="X29" s="292"/>
      <c r="Y29" s="263"/>
      <c r="Z29" s="263"/>
      <c r="AA29" s="263"/>
      <c r="AB29" s="263"/>
      <c r="AC29" s="263"/>
      <c r="AD29" s="291">
        <f t="shared" ref="AD29:AG29" si="24">SUM(AD4:AD28)</f>
        <v>248209.0265</v>
      </c>
      <c r="AE29" s="291">
        <f t="shared" si="24"/>
        <v>5280.898453</v>
      </c>
      <c r="AF29" s="291">
        <f t="shared" si="24"/>
        <v>253489.925</v>
      </c>
      <c r="AG29" s="291">
        <f t="shared" si="24"/>
        <v>55536.57502</v>
      </c>
      <c r="AH29" s="291"/>
      <c r="AI29" s="291">
        <f>SUM(AI4:AI28)</f>
        <v>-12397.76903</v>
      </c>
      <c r="AJ29" s="291"/>
      <c r="AK29" s="291"/>
      <c r="AL29" s="293">
        <f>AL28</f>
        <v>182000</v>
      </c>
      <c r="AM29" s="45"/>
      <c r="AN29" s="45"/>
      <c r="AO29" s="45"/>
      <c r="AP29" s="45"/>
      <c r="AQ29" s="45"/>
      <c r="AR29" s="45"/>
      <c r="AS29" s="45"/>
      <c r="AT29" s="293">
        <f>SUM(AT4:AT28)</f>
        <v>0</v>
      </c>
      <c r="AU29" s="45"/>
    </row>
    <row r="30" ht="15.75" customHeight="1">
      <c r="A30" s="263"/>
      <c r="B30" s="263"/>
      <c r="C30" s="263"/>
      <c r="D30" s="263"/>
      <c r="E30" s="263"/>
      <c r="F30" s="263"/>
      <c r="G30" s="263"/>
      <c r="H30" s="263"/>
      <c r="I30" s="263"/>
      <c r="J30" s="263"/>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3"/>
      <c r="AH30" s="263"/>
      <c r="AI30" s="263"/>
      <c r="AJ30" s="263"/>
      <c r="AK30" s="263"/>
      <c r="AL30" s="45"/>
      <c r="AM30" s="45"/>
      <c r="AN30" s="45"/>
      <c r="AO30" s="45"/>
      <c r="AP30" s="45"/>
      <c r="AQ30" s="45"/>
      <c r="AR30" s="45"/>
      <c r="AS30" s="45"/>
      <c r="AT30" s="45"/>
      <c r="AU30" s="45"/>
    </row>
    <row r="31" ht="15.75" customHeight="1">
      <c r="A31" s="263"/>
      <c r="B31" s="263"/>
      <c r="C31" s="263"/>
      <c r="D31" s="263"/>
      <c r="E31" s="263"/>
      <c r="F31" s="263"/>
      <c r="G31" s="263"/>
      <c r="H31" s="263"/>
      <c r="I31" s="263"/>
      <c r="J31" s="263"/>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3"/>
      <c r="AH31" s="263"/>
      <c r="AI31" s="263"/>
      <c r="AJ31" s="263"/>
      <c r="AK31" s="263"/>
      <c r="AL31" s="45"/>
      <c r="AM31" s="45"/>
      <c r="AN31" s="45"/>
      <c r="AO31" s="45"/>
      <c r="AP31" s="45"/>
      <c r="AQ31" s="45"/>
      <c r="AR31" s="45"/>
      <c r="AS31" s="45"/>
      <c r="AT31" s="45"/>
      <c r="AU31" s="45"/>
    </row>
    <row r="32" ht="15.75" customHeight="1">
      <c r="A32" s="294" t="s">
        <v>291</v>
      </c>
      <c r="B32" s="52"/>
      <c r="C32" s="52"/>
      <c r="D32" s="52"/>
      <c r="E32" s="30"/>
      <c r="F32" s="263"/>
      <c r="G32" s="263"/>
      <c r="H32" s="263"/>
      <c r="I32" s="263"/>
      <c r="J32" s="263"/>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3"/>
      <c r="AH32" s="263"/>
      <c r="AI32" s="263"/>
      <c r="AJ32" s="263"/>
      <c r="AK32" s="263"/>
      <c r="AL32" s="45"/>
      <c r="AM32" s="45"/>
      <c r="AN32" s="45"/>
      <c r="AO32" s="45"/>
      <c r="AP32" s="45"/>
      <c r="AQ32" s="45"/>
      <c r="AR32" s="45"/>
      <c r="AS32" s="45"/>
      <c r="AT32" s="45"/>
      <c r="AU32" s="45"/>
    </row>
    <row r="33" ht="15.75" customHeight="1">
      <c r="A33" s="263"/>
      <c r="B33" s="263"/>
      <c r="C33" s="263"/>
      <c r="D33" s="263"/>
      <c r="E33" s="263"/>
      <c r="F33" s="263"/>
      <c r="G33" s="263"/>
      <c r="H33" s="263"/>
      <c r="I33" s="263"/>
      <c r="J33" s="263"/>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3"/>
      <c r="AH33" s="263"/>
      <c r="AI33" s="263"/>
      <c r="AJ33" s="263"/>
      <c r="AK33" s="263"/>
      <c r="AL33" s="45"/>
      <c r="AM33" s="45"/>
      <c r="AN33" s="45"/>
      <c r="AO33" s="45"/>
      <c r="AP33" s="45"/>
      <c r="AQ33" s="45"/>
      <c r="AR33" s="45"/>
      <c r="AS33" s="45"/>
      <c r="AT33" s="45"/>
      <c r="AU33" s="45"/>
    </row>
    <row r="34" ht="15.75" customHeight="1">
      <c r="A34" s="295" t="s">
        <v>25</v>
      </c>
      <c r="D34" s="296">
        <f>'Hypothèses'!B14</f>
        <v>15000</v>
      </c>
      <c r="E34" s="263"/>
      <c r="F34" s="263"/>
      <c r="G34" s="263"/>
      <c r="H34" s="263"/>
      <c r="I34" s="263"/>
      <c r="J34" s="263"/>
      <c r="K34" s="263"/>
      <c r="L34" s="263"/>
      <c r="M34" s="263"/>
      <c r="N34" s="263"/>
      <c r="O34" s="263"/>
      <c r="P34" s="263"/>
      <c r="Q34" s="263"/>
      <c r="R34" s="263"/>
      <c r="S34" s="263"/>
      <c r="T34" s="263"/>
      <c r="U34" s="263"/>
      <c r="V34" s="263"/>
      <c r="W34" s="263"/>
      <c r="X34" s="263"/>
      <c r="Y34" s="263"/>
      <c r="Z34" s="263"/>
      <c r="AA34" s="263"/>
      <c r="AB34" s="263"/>
      <c r="AC34" s="263"/>
      <c r="AD34" s="263"/>
      <c r="AE34" s="263"/>
      <c r="AF34" s="263"/>
      <c r="AG34" s="263"/>
      <c r="AH34" s="263"/>
      <c r="AI34" s="263"/>
      <c r="AJ34" s="263"/>
      <c r="AK34" s="263"/>
      <c r="AL34" s="45"/>
      <c r="AM34" s="45"/>
      <c r="AN34" s="45"/>
      <c r="AO34" s="45"/>
      <c r="AP34" s="45"/>
      <c r="AQ34" s="45"/>
      <c r="AR34" s="45"/>
      <c r="AS34" s="45"/>
      <c r="AT34" s="45"/>
      <c r="AU34" s="45"/>
    </row>
    <row r="35" ht="15.75" customHeight="1">
      <c r="A35" s="295" t="s">
        <v>26</v>
      </c>
      <c r="D35" s="296">
        <f>'Hypothèses'!B15</f>
        <v>252800</v>
      </c>
      <c r="E35" s="263"/>
      <c r="F35" s="263"/>
      <c r="G35" s="263"/>
      <c r="H35" s="263"/>
      <c r="I35" s="263"/>
      <c r="J35" s="263"/>
      <c r="K35" s="263"/>
      <c r="L35" s="263"/>
      <c r="M35" s="263"/>
      <c r="N35" s="263"/>
      <c r="O35" s="263"/>
      <c r="P35" s="263"/>
      <c r="Q35" s="263"/>
      <c r="R35" s="263"/>
      <c r="S35" s="263"/>
      <c r="T35" s="263"/>
      <c r="U35" s="263"/>
      <c r="V35" s="263"/>
      <c r="W35" s="263"/>
      <c r="X35" s="263"/>
      <c r="Y35" s="263"/>
      <c r="Z35" s="263"/>
      <c r="AA35" s="263"/>
      <c r="AB35" s="263"/>
      <c r="AC35" s="263"/>
      <c r="AD35" s="263"/>
      <c r="AE35" s="263"/>
      <c r="AF35" s="263"/>
      <c r="AG35" s="263"/>
      <c r="AH35" s="263"/>
      <c r="AI35" s="263"/>
      <c r="AJ35" s="263"/>
      <c r="AK35" s="263"/>
      <c r="AL35" s="45"/>
      <c r="AM35" s="45"/>
      <c r="AN35" s="45"/>
      <c r="AO35" s="45"/>
      <c r="AP35" s="45"/>
      <c r="AQ35" s="45"/>
      <c r="AR35" s="45"/>
      <c r="AS35" s="45"/>
      <c r="AT35" s="45"/>
      <c r="AU35" s="45"/>
    </row>
    <row r="36" ht="15.75" customHeight="1">
      <c r="A36" s="295"/>
      <c r="D36" s="263"/>
      <c r="E36" s="263"/>
      <c r="F36" s="263"/>
      <c r="G36" s="263"/>
      <c r="H36" s="263"/>
      <c r="I36" s="263"/>
      <c r="J36" s="263"/>
      <c r="K36" s="263"/>
      <c r="L36" s="263"/>
      <c r="M36" s="263"/>
      <c r="N36" s="263"/>
      <c r="O36" s="263"/>
      <c r="P36" s="263"/>
      <c r="Q36" s="263"/>
      <c r="R36" s="263"/>
      <c r="S36" s="263"/>
      <c r="T36" s="263"/>
      <c r="U36" s="263"/>
      <c r="V36" s="263"/>
      <c r="W36" s="263"/>
      <c r="X36" s="263"/>
      <c r="Y36" s="263"/>
      <c r="Z36" s="263"/>
      <c r="AA36" s="263"/>
      <c r="AB36" s="263"/>
      <c r="AC36" s="263"/>
      <c r="AD36" s="263"/>
      <c r="AE36" s="263"/>
      <c r="AF36" s="263"/>
      <c r="AG36" s="263"/>
      <c r="AH36" s="263"/>
      <c r="AI36" s="263"/>
      <c r="AJ36" s="263"/>
      <c r="AK36" s="263"/>
      <c r="AL36" s="45"/>
      <c r="AM36" s="45"/>
      <c r="AN36" s="45"/>
      <c r="AO36" s="45"/>
      <c r="AP36" s="45"/>
      <c r="AQ36" s="45"/>
      <c r="AR36" s="45"/>
      <c r="AS36" s="45"/>
      <c r="AT36" s="45"/>
      <c r="AU36" s="45"/>
    </row>
    <row r="37" ht="15.75" customHeight="1">
      <c r="A37" s="295" t="s">
        <v>292</v>
      </c>
      <c r="D37" s="296">
        <f>B29</f>
        <v>270567.2125</v>
      </c>
      <c r="E37" s="263"/>
      <c r="F37" s="263"/>
      <c r="G37" s="263"/>
      <c r="H37" s="263"/>
      <c r="I37" s="263"/>
      <c r="J37" s="263"/>
      <c r="K37" s="263"/>
      <c r="L37" s="263"/>
      <c r="M37" s="263"/>
      <c r="N37" s="263"/>
      <c r="O37" s="263"/>
      <c r="P37" s="263"/>
      <c r="Q37" s="263"/>
      <c r="R37" s="263"/>
      <c r="S37" s="263"/>
      <c r="T37" s="263"/>
      <c r="U37" s="263"/>
      <c r="V37" s="263"/>
      <c r="W37" s="263"/>
      <c r="X37" s="263"/>
      <c r="Y37" s="263"/>
      <c r="Z37" s="263"/>
      <c r="AA37" s="263"/>
      <c r="AB37" s="263"/>
      <c r="AC37" s="263"/>
      <c r="AD37" s="263"/>
      <c r="AE37" s="263"/>
      <c r="AF37" s="263"/>
      <c r="AG37" s="263"/>
      <c r="AH37" s="263"/>
      <c r="AI37" s="263"/>
      <c r="AJ37" s="263"/>
      <c r="AK37" s="263"/>
      <c r="AL37" s="45"/>
      <c r="AM37" s="45"/>
      <c r="AN37" s="45"/>
      <c r="AO37" s="45"/>
      <c r="AP37" s="45"/>
      <c r="AQ37" s="45"/>
      <c r="AR37" s="45"/>
      <c r="AS37" s="45"/>
      <c r="AT37" s="45"/>
      <c r="AU37" s="45"/>
    </row>
    <row r="38" ht="15.75" customHeight="1">
      <c r="A38" s="295" t="s">
        <v>293</v>
      </c>
      <c r="D38" s="296">
        <f>C29</f>
        <v>81170.16374</v>
      </c>
      <c r="E38" s="263"/>
      <c r="F38" s="263"/>
      <c r="G38" s="263"/>
      <c r="H38" s="263"/>
      <c r="I38" s="263"/>
      <c r="J38" s="263"/>
      <c r="K38" s="263"/>
      <c r="L38" s="263"/>
      <c r="M38" s="263"/>
      <c r="N38" s="263"/>
      <c r="O38" s="263"/>
      <c r="P38" s="263"/>
      <c r="Q38" s="263"/>
      <c r="R38" s="263"/>
      <c r="S38" s="263"/>
      <c r="T38" s="263"/>
      <c r="U38" s="263"/>
      <c r="V38" s="263"/>
      <c r="W38" s="263"/>
      <c r="X38" s="263"/>
      <c r="Y38" s="263"/>
      <c r="Z38" s="263"/>
      <c r="AA38" s="263"/>
      <c r="AB38" s="263"/>
      <c r="AC38" s="263"/>
      <c r="AD38" s="263"/>
      <c r="AE38" s="263"/>
      <c r="AF38" s="263"/>
      <c r="AG38" s="263"/>
      <c r="AH38" s="263"/>
      <c r="AI38" s="263"/>
      <c r="AJ38" s="263"/>
      <c r="AK38" s="263"/>
      <c r="AL38" s="45"/>
      <c r="AM38" s="45"/>
      <c r="AN38" s="45"/>
      <c r="AO38" s="45"/>
      <c r="AP38" s="45"/>
      <c r="AQ38" s="45"/>
      <c r="AR38" s="45"/>
      <c r="AS38" s="45"/>
      <c r="AT38" s="45"/>
      <c r="AU38" s="45"/>
    </row>
    <row r="39" ht="15.75" customHeight="1">
      <c r="A39" s="295" t="s">
        <v>294</v>
      </c>
      <c r="D39" s="296">
        <f>D29</f>
        <v>118786.8521</v>
      </c>
      <c r="E39" s="263"/>
      <c r="F39" s="263"/>
      <c r="G39" s="263"/>
      <c r="H39" s="263"/>
      <c r="I39" s="263"/>
      <c r="J39" s="263"/>
      <c r="K39" s="263"/>
      <c r="L39" s="263"/>
      <c r="M39" s="263"/>
      <c r="N39" s="263"/>
      <c r="O39" s="263"/>
      <c r="P39" s="263"/>
      <c r="Q39" s="263"/>
      <c r="R39" s="263"/>
      <c r="S39" s="263"/>
      <c r="T39" s="263"/>
      <c r="U39" s="263"/>
      <c r="V39" s="263"/>
      <c r="W39" s="263"/>
      <c r="X39" s="263"/>
      <c r="Y39" s="263"/>
      <c r="Z39" s="263"/>
      <c r="AA39" s="263"/>
      <c r="AB39" s="263"/>
      <c r="AC39" s="263"/>
      <c r="AD39" s="263"/>
      <c r="AE39" s="263"/>
      <c r="AF39" s="263"/>
      <c r="AG39" s="263"/>
      <c r="AH39" s="263"/>
      <c r="AI39" s="263"/>
      <c r="AJ39" s="263"/>
      <c r="AK39" s="263"/>
      <c r="AL39" s="45"/>
      <c r="AM39" s="45"/>
      <c r="AN39" s="45"/>
      <c r="AO39" s="45"/>
      <c r="AP39" s="45"/>
      <c r="AQ39" s="45"/>
      <c r="AR39" s="45"/>
      <c r="AS39" s="45"/>
      <c r="AT39" s="45"/>
      <c r="AU39" s="45"/>
    </row>
    <row r="40" ht="15.75" customHeight="1">
      <c r="A40" s="295" t="s">
        <v>295</v>
      </c>
      <c r="D40" s="296">
        <f>E29</f>
        <v>22120</v>
      </c>
      <c r="E40" s="263"/>
      <c r="F40" s="263"/>
      <c r="G40" s="263"/>
      <c r="H40" s="263"/>
      <c r="I40" s="263"/>
      <c r="J40" s="263"/>
      <c r="K40" s="263"/>
      <c r="L40" s="263"/>
      <c r="M40" s="263"/>
      <c r="N40" s="263"/>
      <c r="O40" s="263"/>
      <c r="P40" s="263"/>
      <c r="Q40" s="263"/>
      <c r="R40" s="263"/>
      <c r="S40" s="263"/>
      <c r="T40" s="263"/>
      <c r="U40" s="263"/>
      <c r="V40" s="263"/>
      <c r="W40" s="263"/>
      <c r="X40" s="263"/>
      <c r="Y40" s="263"/>
      <c r="Z40" s="263"/>
      <c r="AA40" s="263"/>
      <c r="AB40" s="263"/>
      <c r="AC40" s="263"/>
      <c r="AD40" s="263"/>
      <c r="AE40" s="263"/>
      <c r="AF40" s="263"/>
      <c r="AG40" s="263"/>
      <c r="AH40" s="263"/>
      <c r="AI40" s="263"/>
      <c r="AJ40" s="263"/>
      <c r="AK40" s="263"/>
      <c r="AL40" s="45"/>
      <c r="AM40" s="45"/>
      <c r="AN40" s="45"/>
      <c r="AO40" s="45"/>
      <c r="AP40" s="45"/>
      <c r="AQ40" s="45"/>
      <c r="AR40" s="45"/>
      <c r="AS40" s="45"/>
      <c r="AT40" s="45"/>
      <c r="AU40" s="45"/>
    </row>
    <row r="41" ht="15.75" customHeight="1">
      <c r="A41" s="295" t="s">
        <v>296</v>
      </c>
      <c r="D41" s="296">
        <f>F29</f>
        <v>182000</v>
      </c>
      <c r="E41" s="263"/>
      <c r="F41" s="263"/>
      <c r="G41" s="263"/>
      <c r="H41" s="263"/>
      <c r="I41" s="263"/>
      <c r="J41" s="263"/>
      <c r="K41" s="263"/>
      <c r="L41" s="263"/>
      <c r="M41" s="263"/>
      <c r="N41" s="263"/>
      <c r="O41" s="263"/>
      <c r="P41" s="263"/>
      <c r="Q41" s="263"/>
      <c r="R41" s="263"/>
      <c r="S41" s="263"/>
      <c r="T41" s="263"/>
      <c r="U41" s="263"/>
      <c r="V41" s="263"/>
      <c r="W41" s="263"/>
      <c r="X41" s="263"/>
      <c r="Y41" s="263"/>
      <c r="Z41" s="263"/>
      <c r="AA41" s="263"/>
      <c r="AB41" s="263"/>
      <c r="AC41" s="263"/>
      <c r="AD41" s="263"/>
      <c r="AE41" s="263"/>
      <c r="AF41" s="263"/>
      <c r="AG41" s="263"/>
      <c r="AH41" s="263"/>
      <c r="AI41" s="263"/>
      <c r="AJ41" s="263"/>
      <c r="AK41" s="263"/>
      <c r="AL41" s="45"/>
      <c r="AM41" s="45"/>
      <c r="AN41" s="45"/>
      <c r="AO41" s="45"/>
      <c r="AP41" s="45"/>
      <c r="AQ41" s="45"/>
      <c r="AR41" s="45"/>
      <c r="AS41" s="45"/>
      <c r="AT41" s="45"/>
      <c r="AU41" s="45"/>
    </row>
    <row r="42" ht="15.75" customHeight="1">
      <c r="A42" s="295"/>
      <c r="D42" s="263"/>
      <c r="E42" s="263"/>
      <c r="F42" s="263"/>
      <c r="G42" s="263"/>
      <c r="H42" s="263"/>
      <c r="I42" s="263"/>
      <c r="J42" s="263"/>
      <c r="K42" s="263"/>
      <c r="L42" s="263"/>
      <c r="M42" s="263"/>
      <c r="N42" s="263"/>
      <c r="O42" s="263"/>
      <c r="P42" s="263"/>
      <c r="Q42" s="263"/>
      <c r="R42" s="263"/>
      <c r="S42" s="263"/>
      <c r="T42" s="263"/>
      <c r="U42" s="263"/>
      <c r="V42" s="263"/>
      <c r="W42" s="263"/>
      <c r="X42" s="263"/>
      <c r="Y42" s="263"/>
      <c r="Z42" s="263"/>
      <c r="AA42" s="263"/>
      <c r="AB42" s="263"/>
      <c r="AC42" s="263"/>
      <c r="AD42" s="263"/>
      <c r="AE42" s="263"/>
      <c r="AF42" s="263"/>
      <c r="AG42" s="263"/>
      <c r="AH42" s="263"/>
      <c r="AI42" s="263"/>
      <c r="AJ42" s="263"/>
      <c r="AK42" s="263"/>
      <c r="AL42" s="45"/>
      <c r="AM42" s="45"/>
      <c r="AN42" s="45"/>
      <c r="AO42" s="45"/>
      <c r="AP42" s="45"/>
      <c r="AQ42" s="45"/>
      <c r="AR42" s="45"/>
      <c r="AS42" s="45"/>
      <c r="AT42" s="45"/>
      <c r="AU42" s="45"/>
    </row>
    <row r="43" ht="15.75" customHeight="1">
      <c r="A43" s="295" t="s">
        <v>297</v>
      </c>
      <c r="D43" s="297">
        <f>AG29</f>
        <v>55536.57502</v>
      </c>
      <c r="E43" s="263"/>
      <c r="F43" s="263"/>
      <c r="G43" s="263"/>
      <c r="H43" s="263"/>
      <c r="I43" s="263"/>
      <c r="J43" s="263"/>
      <c r="K43" s="263"/>
      <c r="L43" s="263"/>
      <c r="M43" s="263"/>
      <c r="N43" s="263"/>
      <c r="O43" s="263"/>
      <c r="P43" s="263"/>
      <c r="Q43" s="263"/>
      <c r="R43" s="263"/>
      <c r="S43" s="263"/>
      <c r="T43" s="263"/>
      <c r="U43" s="263"/>
      <c r="V43" s="263"/>
      <c r="W43" s="263"/>
      <c r="X43" s="263"/>
      <c r="Y43" s="263"/>
      <c r="Z43" s="263"/>
      <c r="AA43" s="263"/>
      <c r="AB43" s="263"/>
      <c r="AC43" s="263"/>
      <c r="AD43" s="263"/>
      <c r="AE43" s="263"/>
      <c r="AF43" s="263"/>
      <c r="AG43" s="263"/>
      <c r="AH43" s="263"/>
      <c r="AI43" s="263"/>
      <c r="AJ43" s="263"/>
      <c r="AK43" s="263"/>
      <c r="AL43" s="45"/>
      <c r="AM43" s="45"/>
      <c r="AN43" s="45"/>
      <c r="AO43" s="45"/>
      <c r="AP43" s="45"/>
      <c r="AQ43" s="45"/>
      <c r="AR43" s="45"/>
      <c r="AS43" s="45"/>
      <c r="AT43" s="45"/>
      <c r="AU43" s="45"/>
    </row>
    <row r="44" ht="15.75" customHeight="1">
      <c r="A44" s="295" t="s">
        <v>298</v>
      </c>
      <c r="D44" s="296">
        <f>N29-AD29</f>
        <v>39317.47347</v>
      </c>
      <c r="E44" s="263"/>
      <c r="F44" s="263"/>
      <c r="G44" s="263"/>
      <c r="H44" s="263"/>
      <c r="I44" s="263"/>
      <c r="J44" s="263"/>
      <c r="K44" s="263"/>
      <c r="L44" s="263"/>
      <c r="M44" s="263"/>
      <c r="N44" s="263"/>
      <c r="O44" s="263"/>
      <c r="P44" s="263"/>
      <c r="Q44" s="263"/>
      <c r="R44" s="263"/>
      <c r="S44" s="263"/>
      <c r="T44" s="263"/>
      <c r="U44" s="263"/>
      <c r="V44" s="263"/>
      <c r="W44" s="263"/>
      <c r="X44" s="263"/>
      <c r="Y44" s="263"/>
      <c r="Z44" s="263"/>
      <c r="AA44" s="263"/>
      <c r="AB44" s="263"/>
      <c r="AC44" s="263"/>
      <c r="AD44" s="263"/>
      <c r="AE44" s="263"/>
      <c r="AF44" s="263"/>
      <c r="AG44" s="263"/>
      <c r="AH44" s="263"/>
      <c r="AI44" s="263"/>
      <c r="AJ44" s="263"/>
      <c r="AK44" s="263"/>
      <c r="AL44" s="45"/>
      <c r="AM44" s="45"/>
      <c r="AN44" s="45"/>
      <c r="AO44" s="45"/>
      <c r="AP44" s="45"/>
      <c r="AQ44" s="45"/>
      <c r="AR44" s="45"/>
      <c r="AS44" s="45"/>
      <c r="AT44" s="45"/>
      <c r="AU44" s="45"/>
    </row>
    <row r="45" ht="15.75" customHeight="1">
      <c r="A45" s="295" t="s">
        <v>299</v>
      </c>
      <c r="D45" s="296">
        <f>O29-AE29</f>
        <v>16219.10155</v>
      </c>
      <c r="E45" s="263"/>
      <c r="F45" s="263"/>
      <c r="G45" s="263"/>
      <c r="H45" s="263"/>
      <c r="I45" s="263"/>
      <c r="J45" s="263"/>
      <c r="K45" s="263"/>
      <c r="L45" s="263"/>
      <c r="M45" s="263"/>
      <c r="N45" s="263"/>
      <c r="O45" s="263"/>
      <c r="P45" s="263"/>
      <c r="Q45" s="263"/>
      <c r="R45" s="263"/>
      <c r="S45" s="263"/>
      <c r="T45" s="263"/>
      <c r="U45" s="263"/>
      <c r="V45" s="263"/>
      <c r="W45" s="263"/>
      <c r="X45" s="263"/>
      <c r="Y45" s="263"/>
      <c r="Z45" s="263"/>
      <c r="AA45" s="263"/>
      <c r="AB45" s="263"/>
      <c r="AC45" s="263"/>
      <c r="AD45" s="263"/>
      <c r="AE45" s="263"/>
      <c r="AF45" s="263"/>
      <c r="AG45" s="263"/>
      <c r="AH45" s="263"/>
      <c r="AI45" s="263"/>
      <c r="AJ45" s="263"/>
      <c r="AK45" s="263"/>
      <c r="AL45" s="45"/>
      <c r="AM45" s="45"/>
      <c r="AN45" s="45"/>
      <c r="AO45" s="45"/>
      <c r="AP45" s="45"/>
      <c r="AQ45" s="45"/>
      <c r="AR45" s="45"/>
      <c r="AS45" s="45"/>
      <c r="AT45" s="45"/>
      <c r="AU45" s="45"/>
    </row>
    <row r="46" ht="15.75" customHeight="1">
      <c r="A46" s="295"/>
      <c r="D46" s="263"/>
      <c r="E46" s="263"/>
      <c r="F46" s="263"/>
      <c r="G46" s="263"/>
      <c r="H46" s="263"/>
      <c r="I46" s="263"/>
      <c r="J46" s="263"/>
      <c r="K46" s="263"/>
      <c r="L46" s="263"/>
      <c r="M46" s="263"/>
      <c r="N46" s="263"/>
      <c r="O46" s="263"/>
      <c r="P46" s="263"/>
      <c r="Q46" s="263"/>
      <c r="R46" s="263"/>
      <c r="S46" s="263"/>
      <c r="T46" s="263"/>
      <c r="U46" s="263"/>
      <c r="V46" s="263"/>
      <c r="W46" s="263"/>
      <c r="X46" s="263"/>
      <c r="Y46" s="263"/>
      <c r="Z46" s="263"/>
      <c r="AA46" s="263"/>
      <c r="AB46" s="263"/>
      <c r="AC46" s="263"/>
      <c r="AD46" s="263"/>
      <c r="AE46" s="263"/>
      <c r="AF46" s="263"/>
      <c r="AG46" s="263"/>
      <c r="AH46" s="263"/>
      <c r="AI46" s="263"/>
      <c r="AJ46" s="263"/>
      <c r="AK46" s="263"/>
      <c r="AL46" s="45"/>
      <c r="AM46" s="45"/>
      <c r="AN46" s="45"/>
      <c r="AO46" s="45"/>
      <c r="AP46" s="45"/>
      <c r="AQ46" s="45"/>
      <c r="AR46" s="45"/>
      <c r="AS46" s="45"/>
      <c r="AT46" s="45"/>
      <c r="AU46" s="45"/>
    </row>
    <row r="47" ht="15.75" customHeight="1">
      <c r="A47" s="295" t="s">
        <v>300</v>
      </c>
      <c r="D47" s="297" t="str">
        <f>AK29</f>
        <v/>
      </c>
      <c r="E47" s="263"/>
      <c r="F47" s="263"/>
      <c r="G47" s="263"/>
      <c r="H47" s="263"/>
      <c r="I47" s="263"/>
      <c r="J47" s="263"/>
      <c r="K47" s="263"/>
      <c r="L47" s="263"/>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45"/>
      <c r="AM47" s="45"/>
      <c r="AN47" s="45"/>
      <c r="AO47" s="45"/>
      <c r="AP47" s="45"/>
      <c r="AQ47" s="45"/>
      <c r="AR47" s="45"/>
      <c r="AS47" s="45"/>
      <c r="AT47" s="45"/>
      <c r="AU47" s="45"/>
    </row>
    <row r="48" ht="15.75" customHeight="1">
      <c r="A48" s="295" t="s">
        <v>301</v>
      </c>
      <c r="D48" s="297" t="str">
        <f>AH29</f>
        <v/>
      </c>
      <c r="E48" s="263"/>
      <c r="F48" s="263"/>
      <c r="G48" s="263"/>
      <c r="H48" s="263"/>
      <c r="I48" s="263"/>
      <c r="J48" s="263"/>
      <c r="K48" s="263"/>
      <c r="L48" s="263"/>
      <c r="M48" s="263"/>
      <c r="N48" s="263"/>
      <c r="O48" s="263"/>
      <c r="P48" s="263"/>
      <c r="Q48" s="263"/>
      <c r="R48" s="263"/>
      <c r="S48" s="263"/>
      <c r="T48" s="263"/>
      <c r="U48" s="263"/>
      <c r="V48" s="263"/>
      <c r="W48" s="263"/>
      <c r="X48" s="263"/>
      <c r="Y48" s="263"/>
      <c r="Z48" s="263"/>
      <c r="AA48" s="263"/>
      <c r="AB48" s="263"/>
      <c r="AC48" s="263"/>
      <c r="AD48" s="263"/>
      <c r="AE48" s="263"/>
      <c r="AF48" s="263"/>
      <c r="AG48" s="263"/>
      <c r="AH48" s="263"/>
      <c r="AI48" s="263"/>
      <c r="AJ48" s="263"/>
      <c r="AK48" s="263"/>
      <c r="AL48" s="45"/>
      <c r="AM48" s="45"/>
      <c r="AN48" s="45"/>
      <c r="AO48" s="45"/>
      <c r="AP48" s="45"/>
      <c r="AQ48" s="45"/>
      <c r="AR48" s="45"/>
      <c r="AS48" s="45"/>
      <c r="AT48" s="45"/>
      <c r="AU48" s="45"/>
    </row>
    <row r="49" ht="15.75" customHeight="1">
      <c r="A49" s="295" t="s">
        <v>302</v>
      </c>
      <c r="D49" s="263"/>
      <c r="E49" s="263"/>
      <c r="F49" s="263"/>
      <c r="G49" s="263"/>
      <c r="H49" s="263"/>
      <c r="I49" s="263"/>
      <c r="J49" s="263"/>
      <c r="K49" s="263"/>
      <c r="L49" s="263"/>
      <c r="M49" s="263"/>
      <c r="N49" s="263"/>
      <c r="O49" s="263"/>
      <c r="P49" s="263"/>
      <c r="Q49" s="263"/>
      <c r="R49" s="263"/>
      <c r="S49" s="263"/>
      <c r="T49" s="263"/>
      <c r="U49" s="263"/>
      <c r="V49" s="263"/>
      <c r="W49" s="263"/>
      <c r="X49" s="263"/>
      <c r="Y49" s="263"/>
      <c r="Z49" s="263"/>
      <c r="AA49" s="263"/>
      <c r="AB49" s="263"/>
      <c r="AC49" s="263"/>
      <c r="AD49" s="263"/>
      <c r="AE49" s="263"/>
      <c r="AF49" s="263"/>
      <c r="AG49" s="263"/>
      <c r="AH49" s="263"/>
      <c r="AI49" s="263"/>
      <c r="AJ49" s="263"/>
      <c r="AK49" s="263"/>
      <c r="AL49" s="45"/>
      <c r="AM49" s="45"/>
      <c r="AN49" s="45"/>
      <c r="AO49" s="45"/>
      <c r="AP49" s="45"/>
      <c r="AQ49" s="45"/>
      <c r="AR49" s="45"/>
      <c r="AS49" s="45"/>
      <c r="AT49" s="45"/>
      <c r="AU49" s="45"/>
    </row>
    <row r="50" ht="15.75" customHeight="1">
      <c r="A50" s="295" t="s">
        <v>303</v>
      </c>
      <c r="D50" s="263"/>
      <c r="E50" s="263"/>
      <c r="F50" s="263"/>
      <c r="G50" s="263"/>
      <c r="H50" s="263"/>
      <c r="I50" s="263"/>
      <c r="J50" s="263"/>
      <c r="K50" s="263"/>
      <c r="L50" s="263"/>
      <c r="M50" s="263"/>
      <c r="N50" s="263"/>
      <c r="O50" s="263"/>
      <c r="P50" s="263"/>
      <c r="Q50" s="263"/>
      <c r="R50" s="263"/>
      <c r="S50" s="263"/>
      <c r="T50" s="263"/>
      <c r="U50" s="263"/>
      <c r="V50" s="263"/>
      <c r="W50" s="263"/>
      <c r="X50" s="263"/>
      <c r="Y50" s="263"/>
      <c r="Z50" s="263"/>
      <c r="AA50" s="263"/>
      <c r="AB50" s="263"/>
      <c r="AC50" s="263"/>
      <c r="AD50" s="263"/>
      <c r="AE50" s="263"/>
      <c r="AF50" s="263"/>
      <c r="AG50" s="263"/>
      <c r="AH50" s="263"/>
      <c r="AI50" s="263"/>
      <c r="AJ50" s="263"/>
      <c r="AK50" s="263"/>
      <c r="AL50" s="45"/>
      <c r="AM50" s="45"/>
      <c r="AN50" s="45"/>
      <c r="AO50" s="45"/>
      <c r="AP50" s="45"/>
      <c r="AQ50" s="45"/>
      <c r="AR50" s="45"/>
      <c r="AS50" s="45"/>
      <c r="AT50" s="45"/>
      <c r="AU50" s="45"/>
    </row>
    <row r="51" ht="15.75" customHeight="1">
      <c r="A51" s="295"/>
      <c r="D51" s="263"/>
      <c r="E51" s="263"/>
      <c r="F51" s="263"/>
      <c r="G51" s="263"/>
      <c r="H51" s="263"/>
      <c r="I51" s="263"/>
      <c r="J51" s="263"/>
      <c r="K51" s="263"/>
      <c r="L51" s="263"/>
      <c r="M51" s="263"/>
      <c r="N51" s="263"/>
      <c r="O51" s="263"/>
      <c r="P51" s="263"/>
      <c r="Q51" s="263"/>
      <c r="R51" s="263"/>
      <c r="S51" s="263"/>
      <c r="T51" s="263"/>
      <c r="U51" s="263"/>
      <c r="V51" s="263"/>
      <c r="W51" s="263"/>
      <c r="X51" s="263"/>
      <c r="Y51" s="263"/>
      <c r="Z51" s="263"/>
      <c r="AA51" s="263"/>
      <c r="AB51" s="263"/>
      <c r="AC51" s="263"/>
      <c r="AD51" s="263"/>
      <c r="AE51" s="263"/>
      <c r="AF51" s="263"/>
      <c r="AG51" s="263"/>
      <c r="AH51" s="263"/>
      <c r="AI51" s="263"/>
      <c r="AJ51" s="263"/>
      <c r="AK51" s="263"/>
      <c r="AL51" s="45"/>
      <c r="AM51" s="45"/>
      <c r="AN51" s="45"/>
      <c r="AO51" s="45"/>
      <c r="AP51" s="45"/>
      <c r="AQ51" s="45"/>
      <c r="AR51" s="45"/>
      <c r="AS51" s="45"/>
      <c r="AT51" s="45"/>
      <c r="AU51" s="45"/>
    </row>
    <row r="52" ht="15.75" customHeight="1">
      <c r="A52" s="295" t="s">
        <v>304</v>
      </c>
      <c r="D52" s="263"/>
      <c r="E52" s="263"/>
      <c r="F52" s="263"/>
      <c r="G52" s="263"/>
      <c r="H52" s="263"/>
      <c r="I52" s="263"/>
      <c r="J52" s="263"/>
      <c r="K52" s="263"/>
      <c r="L52" s="263"/>
      <c r="M52" s="263"/>
      <c r="N52" s="263"/>
      <c r="O52" s="263"/>
      <c r="P52" s="263"/>
      <c r="Q52" s="263"/>
      <c r="R52" s="263"/>
      <c r="S52" s="263"/>
      <c r="T52" s="263"/>
      <c r="U52" s="263"/>
      <c r="V52" s="263"/>
      <c r="W52" s="263"/>
      <c r="X52" s="263"/>
      <c r="Y52" s="263"/>
      <c r="Z52" s="263"/>
      <c r="AA52" s="263"/>
      <c r="AB52" s="263"/>
      <c r="AC52" s="263"/>
      <c r="AD52" s="263"/>
      <c r="AE52" s="263"/>
      <c r="AF52" s="263"/>
      <c r="AG52" s="263"/>
      <c r="AH52" s="263"/>
      <c r="AI52" s="263"/>
      <c r="AJ52" s="263"/>
      <c r="AK52" s="263"/>
      <c r="AL52" s="45"/>
      <c r="AM52" s="45"/>
      <c r="AN52" s="45"/>
      <c r="AO52" s="45"/>
      <c r="AP52" s="45"/>
      <c r="AQ52" s="45"/>
      <c r="AR52" s="45"/>
      <c r="AS52" s="45"/>
      <c r="AT52" s="45"/>
      <c r="AU52" s="45"/>
    </row>
    <row r="53" ht="15.75" customHeight="1">
      <c r="A53" s="295" t="s">
        <v>305</v>
      </c>
      <c r="D53" s="263"/>
      <c r="E53" s="263"/>
      <c r="F53" s="263"/>
      <c r="G53" s="263"/>
      <c r="H53" s="263"/>
      <c r="I53" s="263"/>
      <c r="J53" s="263"/>
      <c r="K53" s="263"/>
      <c r="L53" s="263"/>
      <c r="M53" s="263"/>
      <c r="N53" s="263"/>
      <c r="O53" s="263"/>
      <c r="P53" s="263"/>
      <c r="Q53" s="263"/>
      <c r="R53" s="263"/>
      <c r="S53" s="263"/>
      <c r="T53" s="263"/>
      <c r="U53" s="263"/>
      <c r="V53" s="263"/>
      <c r="W53" s="263"/>
      <c r="X53" s="263"/>
      <c r="Y53" s="263"/>
      <c r="Z53" s="263"/>
      <c r="AA53" s="263"/>
      <c r="AB53" s="263"/>
      <c r="AC53" s="263"/>
      <c r="AD53" s="263"/>
      <c r="AE53" s="263"/>
      <c r="AF53" s="263"/>
      <c r="AG53" s="263"/>
      <c r="AH53" s="263"/>
      <c r="AI53" s="263"/>
      <c r="AJ53" s="263"/>
      <c r="AK53" s="263"/>
      <c r="AL53" s="45"/>
      <c r="AM53" s="45"/>
      <c r="AN53" s="45"/>
      <c r="AO53" s="45"/>
      <c r="AP53" s="45"/>
      <c r="AQ53" s="45"/>
      <c r="AR53" s="45"/>
      <c r="AS53" s="45"/>
      <c r="AT53" s="45"/>
      <c r="AU53" s="45"/>
    </row>
    <row r="54" ht="15.75" customHeight="1">
      <c r="A54" s="263"/>
      <c r="B54" s="263"/>
      <c r="C54" s="263"/>
      <c r="D54" s="263"/>
      <c r="E54" s="263"/>
      <c r="F54" s="263"/>
      <c r="G54" s="263"/>
      <c r="H54" s="263"/>
      <c r="I54" s="263"/>
      <c r="J54" s="263"/>
      <c r="K54" s="263"/>
      <c r="L54" s="263"/>
      <c r="M54" s="263"/>
      <c r="N54" s="263"/>
      <c r="O54" s="263"/>
      <c r="P54" s="263"/>
      <c r="Q54" s="263"/>
      <c r="R54" s="263"/>
      <c r="S54" s="263"/>
      <c r="T54" s="263"/>
      <c r="U54" s="263"/>
      <c r="V54" s="263"/>
      <c r="W54" s="263"/>
      <c r="X54" s="263"/>
      <c r="Y54" s="263"/>
      <c r="Z54" s="263"/>
      <c r="AA54" s="263"/>
      <c r="AB54" s="263"/>
      <c r="AC54" s="263"/>
      <c r="AD54" s="263"/>
      <c r="AE54" s="263"/>
      <c r="AF54" s="263"/>
      <c r="AG54" s="263"/>
      <c r="AH54" s="263"/>
      <c r="AI54" s="263"/>
      <c r="AJ54" s="263"/>
      <c r="AK54" s="263"/>
      <c r="AL54" s="45"/>
      <c r="AM54" s="45"/>
      <c r="AN54" s="45"/>
      <c r="AO54" s="45"/>
      <c r="AP54" s="45"/>
      <c r="AQ54" s="45"/>
      <c r="AR54" s="45"/>
      <c r="AS54" s="45"/>
      <c r="AT54" s="45"/>
      <c r="AU54" s="45"/>
    </row>
    <row r="55" ht="15.75" customHeight="1">
      <c r="A55" s="263"/>
      <c r="B55" s="263"/>
      <c r="C55" s="263"/>
      <c r="D55" s="263"/>
      <c r="E55" s="263"/>
      <c r="F55" s="263"/>
      <c r="G55" s="263"/>
      <c r="H55" s="263"/>
      <c r="I55" s="263"/>
      <c r="J55" s="263"/>
      <c r="K55" s="263"/>
      <c r="L55" s="263"/>
      <c r="M55" s="263"/>
      <c r="N55" s="263"/>
      <c r="O55" s="263"/>
      <c r="P55" s="263"/>
      <c r="Q55" s="263"/>
      <c r="R55" s="263"/>
      <c r="S55" s="263"/>
      <c r="T55" s="263"/>
      <c r="U55" s="263"/>
      <c r="V55" s="263"/>
      <c r="W55" s="263"/>
      <c r="X55" s="263"/>
      <c r="Y55" s="263"/>
      <c r="Z55" s="263"/>
      <c r="AA55" s="263"/>
      <c r="AB55" s="263"/>
      <c r="AC55" s="263"/>
      <c r="AD55" s="263"/>
      <c r="AE55" s="263"/>
      <c r="AF55" s="263"/>
      <c r="AG55" s="263"/>
      <c r="AH55" s="263"/>
      <c r="AI55" s="263"/>
      <c r="AJ55" s="263"/>
      <c r="AK55" s="263"/>
      <c r="AL55" s="45"/>
      <c r="AM55" s="45"/>
      <c r="AN55" s="45"/>
      <c r="AO55" s="45"/>
      <c r="AP55" s="45"/>
      <c r="AQ55" s="45"/>
      <c r="AR55" s="45"/>
      <c r="AS55" s="45"/>
      <c r="AT55" s="45"/>
      <c r="AU55" s="45"/>
    </row>
    <row r="56" ht="15.75" customHeight="1">
      <c r="A56" s="263"/>
      <c r="B56" s="263"/>
      <c r="C56" s="263"/>
      <c r="D56" s="263"/>
      <c r="E56" s="263"/>
      <c r="F56" s="263"/>
      <c r="G56" s="263"/>
      <c r="H56" s="263"/>
      <c r="I56" s="263"/>
      <c r="J56" s="263"/>
      <c r="K56" s="263"/>
      <c r="L56" s="263"/>
      <c r="M56" s="263"/>
      <c r="N56" s="263"/>
      <c r="O56" s="263"/>
      <c r="P56" s="263"/>
      <c r="Q56" s="263"/>
      <c r="R56" s="263"/>
      <c r="S56" s="263"/>
      <c r="T56" s="263"/>
      <c r="U56" s="263"/>
      <c r="V56" s="263"/>
      <c r="W56" s="263"/>
      <c r="X56" s="263"/>
      <c r="Y56" s="263"/>
      <c r="Z56" s="263"/>
      <c r="AA56" s="263"/>
      <c r="AB56" s="263"/>
      <c r="AC56" s="263"/>
      <c r="AD56" s="263"/>
      <c r="AE56" s="263"/>
      <c r="AF56" s="263"/>
      <c r="AG56" s="263"/>
      <c r="AH56" s="263"/>
      <c r="AI56" s="263"/>
      <c r="AJ56" s="263"/>
      <c r="AK56" s="263"/>
      <c r="AL56" s="45"/>
      <c r="AM56" s="45"/>
      <c r="AN56" s="45"/>
      <c r="AO56" s="45"/>
      <c r="AP56" s="45"/>
      <c r="AQ56" s="45"/>
      <c r="AR56" s="45"/>
      <c r="AS56" s="45"/>
      <c r="AT56" s="45"/>
      <c r="AU56" s="45"/>
    </row>
    <row r="57" ht="15.75" customHeight="1">
      <c r="A57" s="263"/>
      <c r="B57" s="263"/>
      <c r="C57" s="263"/>
      <c r="D57" s="263"/>
      <c r="E57" s="263"/>
      <c r="F57" s="263"/>
      <c r="G57" s="263"/>
      <c r="H57" s="263"/>
      <c r="I57" s="263"/>
      <c r="J57" s="263"/>
      <c r="K57" s="263"/>
      <c r="L57" s="263"/>
      <c r="M57" s="263"/>
      <c r="N57" s="263"/>
      <c r="O57" s="263"/>
      <c r="P57" s="263"/>
      <c r="Q57" s="263"/>
      <c r="R57" s="263"/>
      <c r="S57" s="263"/>
      <c r="T57" s="263"/>
      <c r="U57" s="263"/>
      <c r="V57" s="263"/>
      <c r="W57" s="263"/>
      <c r="X57" s="263"/>
      <c r="Y57" s="263"/>
      <c r="Z57" s="263"/>
      <c r="AA57" s="263"/>
      <c r="AB57" s="263"/>
      <c r="AC57" s="263"/>
      <c r="AD57" s="263"/>
      <c r="AE57" s="263"/>
      <c r="AF57" s="263"/>
      <c r="AG57" s="263"/>
      <c r="AH57" s="263"/>
      <c r="AI57" s="263"/>
      <c r="AJ57" s="263"/>
      <c r="AK57" s="263"/>
      <c r="AL57" s="45"/>
      <c r="AM57" s="45"/>
      <c r="AN57" s="45"/>
      <c r="AO57" s="45"/>
      <c r="AP57" s="45"/>
      <c r="AQ57" s="45"/>
      <c r="AR57" s="45"/>
      <c r="AS57" s="45"/>
      <c r="AT57" s="45"/>
      <c r="AU57" s="45"/>
    </row>
    <row r="58" ht="15.75" customHeight="1">
      <c r="A58" s="298" t="s">
        <v>306</v>
      </c>
      <c r="B58" s="263"/>
      <c r="C58" s="263"/>
      <c r="D58" s="263"/>
      <c r="E58" s="263"/>
      <c r="F58" s="263"/>
      <c r="G58" s="263"/>
      <c r="H58" s="263"/>
      <c r="I58" s="263"/>
      <c r="J58" s="263"/>
      <c r="K58" s="263"/>
      <c r="L58" s="263"/>
      <c r="M58" s="263"/>
      <c r="N58" s="263"/>
      <c r="O58" s="263"/>
      <c r="P58" s="263"/>
      <c r="Q58" s="263"/>
      <c r="R58" s="263"/>
      <c r="S58" s="263"/>
      <c r="T58" s="263"/>
      <c r="U58" s="263"/>
      <c r="V58" s="263"/>
      <c r="W58" s="263"/>
      <c r="X58" s="263"/>
      <c r="Y58" s="263"/>
      <c r="Z58" s="263"/>
      <c r="AA58" s="263"/>
      <c r="AB58" s="263"/>
      <c r="AC58" s="263"/>
      <c r="AD58" s="263"/>
      <c r="AE58" s="263"/>
      <c r="AF58" s="263"/>
      <c r="AG58" s="263"/>
      <c r="AH58" s="263"/>
      <c r="AI58" s="263"/>
      <c r="AJ58" s="263"/>
      <c r="AK58" s="263"/>
      <c r="AL58" s="45"/>
      <c r="AM58" s="45"/>
      <c r="AN58" s="45"/>
      <c r="AO58" s="45"/>
      <c r="AP58" s="45"/>
      <c r="AQ58" s="45"/>
      <c r="AR58" s="45"/>
      <c r="AS58" s="45"/>
      <c r="AT58" s="45"/>
      <c r="AU58" s="45"/>
    </row>
    <row r="59" ht="15.75" customHeight="1">
      <c r="A59" s="299" t="s">
        <v>307</v>
      </c>
      <c r="B59" s="300" t="s">
        <v>308</v>
      </c>
      <c r="C59" s="300" t="s">
        <v>309</v>
      </c>
      <c r="D59" s="300" t="s">
        <v>310</v>
      </c>
      <c r="E59" s="300" t="s">
        <v>311</v>
      </c>
      <c r="F59" s="300" t="s">
        <v>312</v>
      </c>
      <c r="G59" s="300" t="s">
        <v>313</v>
      </c>
      <c r="H59" s="300" t="s">
        <v>314</v>
      </c>
      <c r="I59" s="300" t="s">
        <v>315</v>
      </c>
      <c r="J59" s="300" t="s">
        <v>316</v>
      </c>
      <c r="K59" s="300" t="s">
        <v>317</v>
      </c>
      <c r="L59" s="300" t="s">
        <v>318</v>
      </c>
      <c r="M59" s="300" t="s">
        <v>319</v>
      </c>
      <c r="N59" s="300" t="s">
        <v>320</v>
      </c>
      <c r="O59" s="300" t="s">
        <v>321</v>
      </c>
      <c r="P59" s="300" t="s">
        <v>322</v>
      </c>
      <c r="Q59" s="300" t="s">
        <v>323</v>
      </c>
      <c r="R59" s="300" t="s">
        <v>324</v>
      </c>
      <c r="S59" s="300" t="s">
        <v>325</v>
      </c>
      <c r="T59" s="300" t="s">
        <v>326</v>
      </c>
      <c r="U59" s="300" t="s">
        <v>327</v>
      </c>
      <c r="V59" s="300" t="s">
        <v>328</v>
      </c>
      <c r="W59" s="300" t="s">
        <v>329</v>
      </c>
      <c r="X59" s="300" t="s">
        <v>330</v>
      </c>
      <c r="Y59" s="300" t="s">
        <v>331</v>
      </c>
      <c r="Z59" s="300" t="s">
        <v>332</v>
      </c>
      <c r="AA59" s="300" t="s">
        <v>333</v>
      </c>
      <c r="AB59" s="263"/>
      <c r="AC59" s="263"/>
      <c r="AD59" s="263"/>
      <c r="AE59" s="263"/>
      <c r="AF59" s="263"/>
      <c r="AG59" s="263"/>
      <c r="AH59" s="263"/>
      <c r="AI59" s="263"/>
      <c r="AJ59" s="263"/>
      <c r="AK59" s="263"/>
      <c r="AL59" s="45"/>
      <c r="AM59" s="45"/>
      <c r="AN59" s="45"/>
      <c r="AO59" s="45"/>
      <c r="AP59" s="45"/>
      <c r="AQ59" s="45"/>
      <c r="AR59" s="45"/>
      <c r="AS59" s="45"/>
      <c r="AT59" s="45"/>
      <c r="AU59" s="45"/>
    </row>
    <row r="60" ht="15.75" customHeight="1">
      <c r="A60" s="301" t="s">
        <v>334</v>
      </c>
      <c r="B60" s="302">
        <f>-'Hypothèses'!$B$14</f>
        <v>-15000</v>
      </c>
      <c r="C60" s="302">
        <f>B4-'Tableau dAMT financier'!G16-C4+AG4+H4-G4-AS4</f>
        <v>9464.638689</v>
      </c>
      <c r="D60" s="263"/>
      <c r="E60" s="263"/>
      <c r="F60" s="263"/>
      <c r="G60" s="263"/>
      <c r="H60" s="263"/>
      <c r="I60" s="263"/>
      <c r="J60" s="263"/>
      <c r="K60" s="263"/>
      <c r="L60" s="263"/>
      <c r="M60" s="263"/>
      <c r="N60" s="263"/>
      <c r="O60" s="263"/>
      <c r="P60" s="263"/>
      <c r="Q60" s="263"/>
      <c r="R60" s="263"/>
      <c r="S60" s="263"/>
      <c r="T60" s="263"/>
      <c r="U60" s="263"/>
      <c r="V60" s="263"/>
      <c r="W60" s="263"/>
      <c r="X60" s="263"/>
      <c r="Y60" s="263"/>
      <c r="Z60" s="263"/>
      <c r="AA60" s="263"/>
      <c r="AB60" s="263"/>
      <c r="AC60" s="263"/>
      <c r="AD60" s="263"/>
      <c r="AE60" s="263"/>
      <c r="AF60" s="263"/>
      <c r="AG60" s="263"/>
      <c r="AH60" s="263"/>
      <c r="AI60" s="263"/>
      <c r="AJ60" s="263"/>
      <c r="AK60" s="263"/>
      <c r="AL60" s="45"/>
      <c r="AM60" s="45"/>
      <c r="AN60" s="45"/>
      <c r="AO60" s="45"/>
      <c r="AP60" s="45"/>
      <c r="AQ60" s="45"/>
      <c r="AR60" s="45"/>
      <c r="AS60" s="45"/>
      <c r="AT60" s="45"/>
      <c r="AU60" s="45"/>
    </row>
    <row r="61" ht="15.75" customHeight="1">
      <c r="A61" s="301" t="s">
        <v>335</v>
      </c>
      <c r="B61" s="302">
        <f>-'Hypothèses'!$B$14</f>
        <v>-15000</v>
      </c>
      <c r="C61" s="302">
        <f>B4-'Tableau dAMT financier'!G16-C4+AG4</f>
        <v>-4355.976379</v>
      </c>
      <c r="D61" s="302">
        <f>B5-'Tableau dAMT financier'!G17-C5+AG5+H5-G5-AS5</f>
        <v>15004.67446</v>
      </c>
      <c r="E61" s="263"/>
      <c r="F61" s="263"/>
      <c r="G61" s="263"/>
      <c r="H61" s="263"/>
      <c r="I61" s="263"/>
      <c r="J61" s="263"/>
      <c r="K61" s="263"/>
      <c r="L61" s="263"/>
      <c r="M61" s="263"/>
      <c r="N61" s="263"/>
      <c r="O61" s="263"/>
      <c r="P61" s="263"/>
      <c r="Q61" s="263"/>
      <c r="R61" s="263"/>
      <c r="S61" s="263"/>
      <c r="T61" s="263"/>
      <c r="U61" s="263"/>
      <c r="V61" s="263"/>
      <c r="W61" s="263"/>
      <c r="X61" s="263"/>
      <c r="Y61" s="263"/>
      <c r="Z61" s="263"/>
      <c r="AA61" s="263"/>
      <c r="AB61" s="263"/>
      <c r="AC61" s="263"/>
      <c r="AD61" s="263"/>
      <c r="AE61" s="263"/>
      <c r="AF61" s="263"/>
      <c r="AG61" s="263"/>
      <c r="AH61" s="263"/>
      <c r="AI61" s="263"/>
      <c r="AJ61" s="263"/>
      <c r="AK61" s="263"/>
      <c r="AL61" s="45"/>
      <c r="AM61" s="45"/>
      <c r="AN61" s="45"/>
      <c r="AO61" s="45"/>
      <c r="AP61" s="45"/>
      <c r="AQ61" s="45"/>
      <c r="AR61" s="45"/>
      <c r="AS61" s="45"/>
      <c r="AT61" s="45"/>
      <c r="AU61" s="45"/>
    </row>
    <row r="62" ht="15.75" customHeight="1">
      <c r="A62" s="301" t="s">
        <v>336</v>
      </c>
      <c r="B62" s="302">
        <f>-'Hypothèses'!$B$14</f>
        <v>-15000</v>
      </c>
      <c r="C62" s="302">
        <f>B4-'Tableau dAMT financier'!G16-C4+AG4</f>
        <v>-4355.976379</v>
      </c>
      <c r="D62" s="302">
        <f>B5-'Tableau dAMT financier'!G17-C5+AG5</f>
        <v>-5658.370967</v>
      </c>
      <c r="E62" s="302">
        <f>B6-'Tableau dAMT financier'!G18-C6+AG6+H6-G6-AS6</f>
        <v>21227.63992</v>
      </c>
      <c r="F62" s="263"/>
      <c r="G62" s="263"/>
      <c r="H62" s="263"/>
      <c r="I62" s="263"/>
      <c r="J62" s="263"/>
      <c r="K62" s="263"/>
      <c r="L62" s="263"/>
      <c r="M62" s="263"/>
      <c r="N62" s="263"/>
      <c r="O62" s="263"/>
      <c r="P62" s="263"/>
      <c r="Q62" s="263"/>
      <c r="R62" s="263"/>
      <c r="S62" s="263"/>
      <c r="T62" s="263"/>
      <c r="U62" s="263"/>
      <c r="V62" s="263"/>
      <c r="W62" s="263"/>
      <c r="X62" s="263"/>
      <c r="Y62" s="263"/>
      <c r="Z62" s="263"/>
      <c r="AA62" s="263"/>
      <c r="AB62" s="263"/>
      <c r="AC62" s="263"/>
      <c r="AD62" s="263"/>
      <c r="AE62" s="263"/>
      <c r="AF62" s="263"/>
      <c r="AG62" s="263"/>
      <c r="AH62" s="263"/>
      <c r="AI62" s="263"/>
      <c r="AJ62" s="263"/>
      <c r="AK62" s="263"/>
      <c r="AL62" s="45"/>
      <c r="AM62" s="45"/>
      <c r="AN62" s="45"/>
      <c r="AO62" s="45"/>
      <c r="AP62" s="45"/>
      <c r="AQ62" s="45"/>
      <c r="AR62" s="45"/>
      <c r="AS62" s="45"/>
      <c r="AT62" s="45"/>
      <c r="AU62" s="45"/>
    </row>
    <row r="63" ht="15.75" customHeight="1">
      <c r="A63" s="301" t="s">
        <v>337</v>
      </c>
      <c r="B63" s="302">
        <f>-'Hypothèses'!$B$14</f>
        <v>-15000</v>
      </c>
      <c r="C63" s="302">
        <f>B4-'Tableau dAMT financier'!G16-C4+AG4</f>
        <v>-4355.976379</v>
      </c>
      <c r="D63" s="302">
        <f>B5-'Tableau dAMT financier'!G17-C5+AG5</f>
        <v>-5658.370967</v>
      </c>
      <c r="E63" s="302">
        <f>B6-'Tableau dAMT financier'!G18-C6+AG6</f>
        <v>-5660.002796</v>
      </c>
      <c r="F63" s="302">
        <f>B7-'Tableau dAMT financier'!G19-C7+AG7+H7-G7-AS7</f>
        <v>25897.95589</v>
      </c>
      <c r="G63" s="263"/>
      <c r="H63" s="263"/>
      <c r="I63" s="263"/>
      <c r="J63" s="263"/>
      <c r="K63" s="263"/>
      <c r="L63" s="263"/>
      <c r="M63" s="263"/>
      <c r="N63" s="263"/>
      <c r="O63" s="263"/>
      <c r="P63" s="263"/>
      <c r="Q63" s="263"/>
      <c r="R63" s="263"/>
      <c r="S63" s="263"/>
      <c r="T63" s="263"/>
      <c r="U63" s="263"/>
      <c r="V63" s="263"/>
      <c r="W63" s="263"/>
      <c r="X63" s="263"/>
      <c r="Y63" s="263"/>
      <c r="Z63" s="263"/>
      <c r="AA63" s="263"/>
      <c r="AB63" s="263"/>
      <c r="AC63" s="263"/>
      <c r="AD63" s="263"/>
      <c r="AE63" s="263"/>
      <c r="AF63" s="263"/>
      <c r="AG63" s="263"/>
      <c r="AH63" s="263"/>
      <c r="AI63" s="263"/>
      <c r="AJ63" s="263"/>
      <c r="AK63" s="263"/>
      <c r="AL63" s="45"/>
      <c r="AM63" s="45"/>
      <c r="AN63" s="45"/>
      <c r="AO63" s="45"/>
      <c r="AP63" s="45"/>
      <c r="AQ63" s="45"/>
      <c r="AR63" s="45"/>
      <c r="AS63" s="45"/>
      <c r="AT63" s="45"/>
      <c r="AU63" s="45"/>
    </row>
    <row r="64" ht="15.75" customHeight="1">
      <c r="A64" s="301" t="s">
        <v>338</v>
      </c>
      <c r="B64" s="302">
        <f>-'Hypothèses'!$B$14</f>
        <v>-15000</v>
      </c>
      <c r="C64" s="302">
        <f>B4-'Tableau dAMT financier'!G16-C4+AG4</f>
        <v>-4355.976379</v>
      </c>
      <c r="D64" s="302">
        <f>B5-'Tableau dAMT financier'!G17-C5+AG5</f>
        <v>-5658.370967</v>
      </c>
      <c r="E64" s="302">
        <f>B6-'Tableau dAMT financier'!G18-C6+AG6</f>
        <v>-5660.002796</v>
      </c>
      <c r="F64" s="302">
        <f>B7-'Tableau dAMT financier'!G19-C7+AG7</f>
        <v>-5662.931679</v>
      </c>
      <c r="G64" s="302">
        <f>B8-'Tableau dAMT financier'!G20-C8+AG8+H8-G8-AS8</f>
        <v>30811.77822</v>
      </c>
      <c r="H64" s="263"/>
      <c r="I64" s="263"/>
      <c r="J64" s="263"/>
      <c r="K64" s="263"/>
      <c r="L64" s="263"/>
      <c r="M64" s="263"/>
      <c r="N64" s="263"/>
      <c r="O64" s="263"/>
      <c r="P64" s="263"/>
      <c r="Q64" s="263"/>
      <c r="R64" s="263"/>
      <c r="S64" s="263"/>
      <c r="T64" s="263"/>
      <c r="U64" s="263"/>
      <c r="V64" s="263"/>
      <c r="W64" s="263"/>
      <c r="X64" s="263"/>
      <c r="Y64" s="263"/>
      <c r="Z64" s="263"/>
      <c r="AA64" s="263"/>
      <c r="AB64" s="263"/>
      <c r="AC64" s="263"/>
      <c r="AD64" s="263"/>
      <c r="AE64" s="263"/>
      <c r="AF64" s="263"/>
      <c r="AG64" s="263"/>
      <c r="AH64" s="263"/>
      <c r="AI64" s="263"/>
      <c r="AJ64" s="263"/>
      <c r="AK64" s="263"/>
      <c r="AL64" s="45"/>
      <c r="AM64" s="45"/>
      <c r="AN64" s="45"/>
      <c r="AO64" s="45"/>
      <c r="AP64" s="45"/>
      <c r="AQ64" s="45"/>
      <c r="AR64" s="45"/>
      <c r="AS64" s="45"/>
      <c r="AT64" s="45"/>
      <c r="AU64" s="45"/>
    </row>
    <row r="65" ht="15.75" customHeight="1">
      <c r="A65" s="301" t="s">
        <v>339</v>
      </c>
      <c r="B65" s="302">
        <f>-'Hypothèses'!$B$14</f>
        <v>-15000</v>
      </c>
      <c r="C65" s="302">
        <f>B4-'Tableau dAMT financier'!G16-C4+AG4</f>
        <v>-4355.976379</v>
      </c>
      <c r="D65" s="302">
        <f>B5-'Tableau dAMT financier'!G17-C5+AG5</f>
        <v>-5658.370967</v>
      </c>
      <c r="E65" s="302">
        <f>B6-'Tableau dAMT financier'!G18-C6+AG6</f>
        <v>-5660.002796</v>
      </c>
      <c r="F65" s="302">
        <f>B7-'Tableau dAMT financier'!G19-C7+AG7</f>
        <v>-5662.931679</v>
      </c>
      <c r="G65" s="302">
        <f>B8-'Tableau dAMT financier'!G20-C8+AG8</f>
        <v>-5667.219709</v>
      </c>
      <c r="H65" s="302">
        <f>B9-'Tableau dAMT financier'!G21-C9+AG9+H9-G9-AS9</f>
        <v>44730.40638</v>
      </c>
      <c r="I65" s="263"/>
      <c r="J65" s="263"/>
      <c r="K65" s="263"/>
      <c r="L65" s="263"/>
      <c r="M65" s="263"/>
      <c r="N65" s="263"/>
      <c r="O65" s="263"/>
      <c r="P65" s="263"/>
      <c r="Q65" s="263"/>
      <c r="R65" s="263"/>
      <c r="S65" s="263"/>
      <c r="T65" s="263"/>
      <c r="U65" s="263"/>
      <c r="V65" s="263"/>
      <c r="W65" s="263"/>
      <c r="X65" s="263"/>
      <c r="Y65" s="263"/>
      <c r="Z65" s="263"/>
      <c r="AA65" s="263"/>
      <c r="AB65" s="263"/>
      <c r="AC65" s="263"/>
      <c r="AD65" s="263"/>
      <c r="AE65" s="263"/>
      <c r="AF65" s="263"/>
      <c r="AG65" s="263"/>
      <c r="AH65" s="263"/>
      <c r="AI65" s="263"/>
      <c r="AJ65" s="263"/>
      <c r="AK65" s="263"/>
      <c r="AL65" s="45"/>
      <c r="AM65" s="45"/>
      <c r="AN65" s="45"/>
      <c r="AO65" s="45"/>
      <c r="AP65" s="45"/>
      <c r="AQ65" s="45"/>
      <c r="AR65" s="45"/>
      <c r="AS65" s="45"/>
      <c r="AT65" s="45"/>
      <c r="AU65" s="45"/>
    </row>
    <row r="66" ht="15.75" customHeight="1">
      <c r="A66" s="301" t="s">
        <v>340</v>
      </c>
      <c r="B66" s="302">
        <f>-'Hypothèses'!$B$14</f>
        <v>-15000</v>
      </c>
      <c r="C66" s="302">
        <f>B4-'Tableau dAMT financier'!G16-C4+AG4</f>
        <v>-4355.976379</v>
      </c>
      <c r="D66" s="302">
        <f>B5-'Tableau dAMT financier'!G17-C5+AG5</f>
        <v>-5658.370967</v>
      </c>
      <c r="E66" s="302">
        <f>B6-'Tableau dAMT financier'!G18-C6+AG6</f>
        <v>-5660.002796</v>
      </c>
      <c r="F66" s="302">
        <f>B7-'Tableau dAMT financier'!G19-C7+AG7</f>
        <v>-5662.931679</v>
      </c>
      <c r="G66" s="302">
        <f>B8-'Tableau dAMT financier'!G20-C8+AG8</f>
        <v>-5667.219709</v>
      </c>
      <c r="H66" s="302">
        <f>B9-'Tableau dAMT financier'!G21-C9+AG9</f>
        <v>-5672.931337</v>
      </c>
      <c r="I66" s="302">
        <f>B10-'Tableau dAMT financier'!G22-C10+AG10+H10-G10-AS10</f>
        <v>52791.29223</v>
      </c>
      <c r="J66" s="263"/>
      <c r="K66" s="263"/>
      <c r="L66" s="263"/>
      <c r="M66" s="263"/>
      <c r="N66" s="263"/>
      <c r="O66" s="263"/>
      <c r="P66" s="263"/>
      <c r="Q66" s="263"/>
      <c r="R66" s="263"/>
      <c r="S66" s="263"/>
      <c r="T66" s="263"/>
      <c r="U66" s="263"/>
      <c r="V66" s="263"/>
      <c r="W66" s="263"/>
      <c r="X66" s="263"/>
      <c r="Y66" s="263"/>
      <c r="Z66" s="263"/>
      <c r="AA66" s="263"/>
      <c r="AB66" s="263"/>
      <c r="AC66" s="263"/>
      <c r="AD66" s="263"/>
      <c r="AE66" s="263"/>
      <c r="AF66" s="263"/>
      <c r="AG66" s="263"/>
      <c r="AH66" s="263"/>
      <c r="AI66" s="263"/>
      <c r="AJ66" s="263"/>
      <c r="AK66" s="263"/>
      <c r="AL66" s="45"/>
      <c r="AM66" s="45"/>
      <c r="AN66" s="45"/>
      <c r="AO66" s="45"/>
      <c r="AP66" s="45"/>
      <c r="AQ66" s="45"/>
      <c r="AR66" s="45"/>
      <c r="AS66" s="45"/>
      <c r="AT66" s="45"/>
      <c r="AU66" s="45"/>
    </row>
    <row r="67" ht="15.75" customHeight="1">
      <c r="A67" s="301" t="s">
        <v>341</v>
      </c>
      <c r="B67" s="302">
        <f>-'Hypothèses'!$B$14</f>
        <v>-15000</v>
      </c>
      <c r="C67" s="302">
        <f>B4-'Tableau dAMT financier'!G16-C4+AG4</f>
        <v>-4355.976379</v>
      </c>
      <c r="D67" s="302">
        <f>B5-'Tableau dAMT financier'!G17-C5+AG5</f>
        <v>-5658.370967</v>
      </c>
      <c r="E67" s="302">
        <f>B6-'Tableau dAMT financier'!G18-C6+AG6</f>
        <v>-5660.002796</v>
      </c>
      <c r="F67" s="302">
        <f>B7-'Tableau dAMT financier'!G19-C7+AG7</f>
        <v>-5662.931679</v>
      </c>
      <c r="G67" s="302">
        <f>B8-'Tableau dAMT financier'!G20-C8+AG8</f>
        <v>-5667.219709</v>
      </c>
      <c r="H67" s="302">
        <f>B9-'Tableau dAMT financier'!G21-C9+AG9</f>
        <v>-5672.931337</v>
      </c>
      <c r="I67" s="302">
        <f>B10-'Tableau dAMT financier'!G22-C10+AG10</f>
        <v>-5680.133458</v>
      </c>
      <c r="J67" s="302">
        <f>B11-'Tableau dAMT financier'!G23-C11+AG11+H11-G11-AS11</f>
        <v>61120.9292</v>
      </c>
      <c r="K67" s="263"/>
      <c r="L67" s="263"/>
      <c r="M67" s="263"/>
      <c r="N67" s="263"/>
      <c r="O67" s="263"/>
      <c r="P67" s="263"/>
      <c r="Q67" s="263"/>
      <c r="R67" s="263"/>
      <c r="S67" s="263"/>
      <c r="T67" s="263"/>
      <c r="U67" s="263"/>
      <c r="V67" s="263"/>
      <c r="W67" s="263"/>
      <c r="X67" s="263"/>
      <c r="Y67" s="263"/>
      <c r="Z67" s="263"/>
      <c r="AA67" s="263"/>
      <c r="AB67" s="263"/>
      <c r="AC67" s="263"/>
      <c r="AD67" s="263"/>
      <c r="AE67" s="263"/>
      <c r="AF67" s="263"/>
      <c r="AG67" s="263"/>
      <c r="AH67" s="263"/>
      <c r="AI67" s="263"/>
      <c r="AJ67" s="263"/>
      <c r="AK67" s="263"/>
      <c r="AL67" s="45"/>
      <c r="AM67" s="45"/>
      <c r="AN67" s="45"/>
      <c r="AO67" s="45"/>
      <c r="AP67" s="45"/>
      <c r="AQ67" s="45"/>
      <c r="AR67" s="45"/>
      <c r="AS67" s="45"/>
      <c r="AT67" s="45"/>
      <c r="AU67" s="45"/>
    </row>
    <row r="68" ht="15.75" customHeight="1">
      <c r="A68" s="301" t="s">
        <v>342</v>
      </c>
      <c r="B68" s="302">
        <f>-'Hypothèses'!$B$14</f>
        <v>-15000</v>
      </c>
      <c r="C68" s="302">
        <f>B4-'Tableau dAMT financier'!G16-C4+AG4</f>
        <v>-4355.976379</v>
      </c>
      <c r="D68" s="302">
        <f>B5-'Tableau dAMT financier'!G17-C5+AG5</f>
        <v>-5658.370967</v>
      </c>
      <c r="E68" s="302">
        <f>B6-'Tableau dAMT financier'!G18-C6+AG6</f>
        <v>-5660.002796</v>
      </c>
      <c r="F68" s="302">
        <f>B7-'Tableau dAMT financier'!G19-C7+AG7</f>
        <v>-5662.931679</v>
      </c>
      <c r="G68" s="302">
        <f>B8-'Tableau dAMT financier'!G20-C8+AG8</f>
        <v>-5667.219709</v>
      </c>
      <c r="H68" s="302">
        <f>B9-'Tableau dAMT financier'!G21-C9+AG9</f>
        <v>-5672.931337</v>
      </c>
      <c r="I68" s="302">
        <f>B10-'Tableau dAMT financier'!G22-C10+AG10</f>
        <v>-5680.133458</v>
      </c>
      <c r="J68" s="302">
        <f>B11-'Tableau dAMT financier'!G23-C11+AG11</f>
        <v>-5688.895495</v>
      </c>
      <c r="K68" s="302">
        <f>B12-'Tableau dAMT financier'!G24-C12+AG12+H12-G12-AS12</f>
        <v>67586.86471</v>
      </c>
      <c r="L68" s="263"/>
      <c r="M68" s="263"/>
      <c r="N68" s="263"/>
      <c r="O68" s="263"/>
      <c r="P68" s="263"/>
      <c r="Q68" s="263"/>
      <c r="R68" s="263"/>
      <c r="S68" s="263"/>
      <c r="T68" s="263"/>
      <c r="U68" s="263"/>
      <c r="V68" s="263"/>
      <c r="W68" s="263"/>
      <c r="X68" s="263"/>
      <c r="Y68" s="263"/>
      <c r="Z68" s="263"/>
      <c r="AA68" s="263"/>
      <c r="AB68" s="263"/>
      <c r="AC68" s="263"/>
      <c r="AD68" s="263"/>
      <c r="AE68" s="263"/>
      <c r="AF68" s="263"/>
      <c r="AG68" s="263"/>
      <c r="AH68" s="263"/>
      <c r="AI68" s="263"/>
      <c r="AJ68" s="263"/>
      <c r="AK68" s="263"/>
      <c r="AL68" s="45"/>
      <c r="AM68" s="45"/>
      <c r="AN68" s="45"/>
      <c r="AO68" s="45"/>
      <c r="AP68" s="45"/>
      <c r="AQ68" s="45"/>
      <c r="AR68" s="45"/>
      <c r="AS68" s="45"/>
      <c r="AT68" s="45"/>
      <c r="AU68" s="45"/>
    </row>
    <row r="69" ht="15.75" customHeight="1">
      <c r="A69" s="301" t="s">
        <v>343</v>
      </c>
      <c r="B69" s="302">
        <f>-'Hypothèses'!$B$14</f>
        <v>-15000</v>
      </c>
      <c r="C69" s="302">
        <f>B4-'Tableau dAMT financier'!G16-C4+AG4</f>
        <v>-4355.976379</v>
      </c>
      <c r="D69" s="302">
        <f>B5-'Tableau dAMT financier'!G17-C5+AG5</f>
        <v>-5658.370967</v>
      </c>
      <c r="E69" s="302">
        <f>B6-'Tableau dAMT financier'!G18-C6+AG6</f>
        <v>-5660.002796</v>
      </c>
      <c r="F69" s="302">
        <f>B7-'Tableau dAMT financier'!G19-C7+AG7</f>
        <v>-5662.931679</v>
      </c>
      <c r="G69" s="302">
        <f>B8-'Tableau dAMT financier'!G20-C8+AG8</f>
        <v>-5667.219709</v>
      </c>
      <c r="H69" s="302">
        <f>B9-'Tableau dAMT financier'!G21-C9+AG9</f>
        <v>-5672.931337</v>
      </c>
      <c r="I69" s="302">
        <f>B10-'Tableau dAMT financier'!G22-C10+AG10</f>
        <v>-5680.133458</v>
      </c>
      <c r="J69" s="302">
        <f>B11-'Tableau dAMT financier'!G23-C11+AG11</f>
        <v>-5688.895495</v>
      </c>
      <c r="K69" s="302">
        <f>B12-'Tableau dAMT financier'!G24-C12+AG12</f>
        <v>-5699.289491</v>
      </c>
      <c r="L69" s="302">
        <f>B13-'Tableau dAMT financier'!G25-C13+AG13+H13-G13-AS13</f>
        <v>74464.11174</v>
      </c>
      <c r="M69" s="263"/>
      <c r="N69" s="263"/>
      <c r="O69" s="263"/>
      <c r="P69" s="263"/>
      <c r="Q69" s="263"/>
      <c r="R69" s="263"/>
      <c r="S69" s="263"/>
      <c r="T69" s="263"/>
      <c r="U69" s="263"/>
      <c r="V69" s="263"/>
      <c r="W69" s="263"/>
      <c r="X69" s="263"/>
      <c r="Y69" s="263"/>
      <c r="Z69" s="263"/>
      <c r="AA69" s="263"/>
      <c r="AB69" s="263"/>
      <c r="AC69" s="263"/>
      <c r="AD69" s="263"/>
      <c r="AE69" s="263"/>
      <c r="AF69" s="263"/>
      <c r="AG69" s="263"/>
      <c r="AH69" s="263"/>
      <c r="AI69" s="263"/>
      <c r="AJ69" s="263"/>
      <c r="AK69" s="263"/>
      <c r="AL69" s="45"/>
      <c r="AM69" s="45"/>
      <c r="AN69" s="45"/>
      <c r="AO69" s="45"/>
      <c r="AP69" s="45"/>
      <c r="AQ69" s="45"/>
      <c r="AR69" s="45"/>
      <c r="AS69" s="45"/>
      <c r="AT69" s="45"/>
      <c r="AU69" s="45"/>
    </row>
    <row r="70" ht="15.75" customHeight="1">
      <c r="A70" s="301" t="s">
        <v>344</v>
      </c>
      <c r="B70" s="302">
        <f>-'Hypothèses'!$B$14</f>
        <v>-15000</v>
      </c>
      <c r="C70" s="302">
        <f>B4-'Tableau dAMT financier'!G16-C4+AG4</f>
        <v>-4355.976379</v>
      </c>
      <c r="D70" s="302">
        <f>B5-'Tableau dAMT financier'!G17-C5+AG5</f>
        <v>-5658.370967</v>
      </c>
      <c r="E70" s="302">
        <f>B6-'Tableau dAMT financier'!G18-C6+AG6</f>
        <v>-5660.002796</v>
      </c>
      <c r="F70" s="302">
        <f>B7-'Tableau dAMT financier'!G19-C7+AG7</f>
        <v>-5662.931679</v>
      </c>
      <c r="G70" s="302">
        <f>B8-'Tableau dAMT financier'!G20-C8+AG8</f>
        <v>-5667.219709</v>
      </c>
      <c r="H70" s="302">
        <f>B9-'Tableau dAMT financier'!G21-C9+AG9</f>
        <v>-5672.931337</v>
      </c>
      <c r="I70" s="302">
        <f>B10-'Tableau dAMT financier'!G22-C10+AG10</f>
        <v>-5680.133458</v>
      </c>
      <c r="J70" s="302">
        <f>B11-'Tableau dAMT financier'!G23-C11+AG11</f>
        <v>-5688.895495</v>
      </c>
      <c r="K70" s="302">
        <f>B12-'Tableau dAMT financier'!G24-C12+AG12</f>
        <v>-5699.289491</v>
      </c>
      <c r="L70" s="302">
        <f>B13-'Tableau dAMT financier'!G25-C13+AG13</f>
        <v>-5711.3902</v>
      </c>
      <c r="M70" s="302">
        <f>B14-'Tableau dAMT financier'!G26-C14+AG14+H14-G14-AS14</f>
        <v>81845.28052</v>
      </c>
      <c r="N70" s="263"/>
      <c r="O70" s="263"/>
      <c r="P70" s="263"/>
      <c r="Q70" s="263"/>
      <c r="R70" s="263"/>
      <c r="S70" s="263"/>
      <c r="T70" s="263"/>
      <c r="U70" s="263"/>
      <c r="V70" s="263"/>
      <c r="W70" s="263"/>
      <c r="X70" s="263"/>
      <c r="Y70" s="263"/>
      <c r="Z70" s="263"/>
      <c r="AA70" s="263"/>
      <c r="AB70" s="263"/>
      <c r="AC70" s="263"/>
      <c r="AD70" s="263"/>
      <c r="AE70" s="263"/>
      <c r="AF70" s="263"/>
      <c r="AG70" s="263"/>
      <c r="AH70" s="263"/>
      <c r="AI70" s="263"/>
      <c r="AJ70" s="263"/>
      <c r="AK70" s="263"/>
      <c r="AL70" s="45"/>
      <c r="AM70" s="45"/>
      <c r="AN70" s="45"/>
      <c r="AO70" s="45"/>
      <c r="AP70" s="45"/>
      <c r="AQ70" s="45"/>
      <c r="AR70" s="45"/>
      <c r="AS70" s="45"/>
      <c r="AT70" s="45"/>
      <c r="AU70" s="45"/>
    </row>
    <row r="71" ht="15.75" customHeight="1">
      <c r="A71" s="301" t="s">
        <v>345</v>
      </c>
      <c r="B71" s="302">
        <f>-'Hypothèses'!$B$14</f>
        <v>-15000</v>
      </c>
      <c r="C71" s="302">
        <f>B4-'Tableau dAMT financier'!G16-C4+AG4</f>
        <v>-4355.976379</v>
      </c>
      <c r="D71" s="302">
        <f>B5-'Tableau dAMT financier'!G17-C5+AG5</f>
        <v>-5658.370967</v>
      </c>
      <c r="E71" s="302">
        <f>B6-'Tableau dAMT financier'!G18-C6+AG6</f>
        <v>-5660.002796</v>
      </c>
      <c r="F71" s="302">
        <f>B7-'Tableau dAMT financier'!G19-C7+AG7</f>
        <v>-5662.931679</v>
      </c>
      <c r="G71" s="302">
        <f>B8-'Tableau dAMT financier'!G20-C8+AG8</f>
        <v>-5667.219709</v>
      </c>
      <c r="H71" s="302">
        <f>B9-'Tableau dAMT financier'!G21-C9+AG9</f>
        <v>-5672.931337</v>
      </c>
      <c r="I71" s="302">
        <f>B10-'Tableau dAMT financier'!G22-C10+AG10</f>
        <v>-5680.133458</v>
      </c>
      <c r="J71" s="302">
        <f>B11-'Tableau dAMT financier'!G23-C11+AG11</f>
        <v>-5688.895495</v>
      </c>
      <c r="K71" s="302">
        <f>B12-'Tableau dAMT financier'!G24-C12+AG12</f>
        <v>-5699.289491</v>
      </c>
      <c r="L71" s="302">
        <f>B13-'Tableau dAMT financier'!G25-C13+AG13</f>
        <v>-5711.3902</v>
      </c>
      <c r="M71" s="302">
        <f>B14-'Tableau dAMT financier'!G26-C14+AG14</f>
        <v>-5725.275179</v>
      </c>
      <c r="N71" s="302">
        <f>B15-'Tableau dAMT financier'!G27-C15+AG15+H15-G15-AS15</f>
        <v>89740.28815</v>
      </c>
      <c r="O71" s="263"/>
      <c r="P71" s="263"/>
      <c r="Q71" s="263"/>
      <c r="R71" s="263"/>
      <c r="S71" s="263"/>
      <c r="T71" s="263"/>
      <c r="U71" s="263"/>
      <c r="V71" s="263"/>
      <c r="W71" s="263"/>
      <c r="X71" s="263"/>
      <c r="Y71" s="263"/>
      <c r="Z71" s="263"/>
      <c r="AA71" s="263"/>
      <c r="AB71" s="263"/>
      <c r="AC71" s="263"/>
      <c r="AD71" s="263"/>
      <c r="AE71" s="263"/>
      <c r="AF71" s="263"/>
      <c r="AG71" s="263"/>
      <c r="AH71" s="263"/>
      <c r="AI71" s="263"/>
      <c r="AJ71" s="263"/>
      <c r="AK71" s="263"/>
      <c r="AL71" s="45"/>
      <c r="AM71" s="45"/>
      <c r="AN71" s="45"/>
      <c r="AO71" s="45"/>
      <c r="AP71" s="45"/>
      <c r="AQ71" s="45"/>
      <c r="AR71" s="45"/>
      <c r="AS71" s="45"/>
      <c r="AT71" s="45"/>
      <c r="AU71" s="45"/>
    </row>
    <row r="72" ht="15.75" customHeight="1">
      <c r="A72" s="301" t="s">
        <v>346</v>
      </c>
      <c r="B72" s="302">
        <f>-'Hypothèses'!$B$14</f>
        <v>-15000</v>
      </c>
      <c r="C72" s="302">
        <f>B4-'Tableau dAMT financier'!G16-C4+AG4</f>
        <v>-4355.976379</v>
      </c>
      <c r="D72" s="302">
        <f>B5-'Tableau dAMT financier'!G17-C5+AG5</f>
        <v>-5658.370967</v>
      </c>
      <c r="E72" s="302">
        <f>B6-'Tableau dAMT financier'!G18-C6+AG6</f>
        <v>-5660.002796</v>
      </c>
      <c r="F72" s="302">
        <f>B7-'Tableau dAMT financier'!G19-C7+AG7</f>
        <v>-5662.931679</v>
      </c>
      <c r="G72" s="302">
        <f>B8-'Tableau dAMT financier'!G20-C8+AG8</f>
        <v>-5667.219709</v>
      </c>
      <c r="H72" s="302">
        <f>B9-'Tableau dAMT financier'!G21-C9+AG9</f>
        <v>-5672.931337</v>
      </c>
      <c r="I72" s="302">
        <f>B10-'Tableau dAMT financier'!G22-C10+AG10</f>
        <v>-5680.133458</v>
      </c>
      <c r="J72" s="302">
        <f>B11-'Tableau dAMT financier'!G23-C11+AG11</f>
        <v>-5688.895495</v>
      </c>
      <c r="K72" s="302">
        <f>B12-'Tableau dAMT financier'!G24-C12+AG12</f>
        <v>-5699.289491</v>
      </c>
      <c r="L72" s="302">
        <f>B13-'Tableau dAMT financier'!G25-C13+AG13</f>
        <v>-5711.3902</v>
      </c>
      <c r="M72" s="302">
        <f>B14-'Tableau dAMT financier'!G26-C14+AG14</f>
        <v>-5725.275179</v>
      </c>
      <c r="N72" s="302">
        <f>B15-'Tableau dAMT financier'!G27-C15+AG15</f>
        <v>-5741.02489</v>
      </c>
      <c r="O72" s="302">
        <f>B16-'Tableau dAMT financier'!G28-C16+AG16+H16-G16-AS16</f>
        <v>98159.38364</v>
      </c>
      <c r="P72" s="263"/>
      <c r="Q72" s="263"/>
      <c r="R72" s="263"/>
      <c r="S72" s="263"/>
      <c r="T72" s="263"/>
      <c r="U72" s="263"/>
      <c r="V72" s="263"/>
      <c r="W72" s="263"/>
      <c r="X72" s="263"/>
      <c r="Y72" s="263"/>
      <c r="Z72" s="263"/>
      <c r="AA72" s="263"/>
      <c r="AB72" s="263"/>
      <c r="AC72" s="263"/>
      <c r="AD72" s="263"/>
      <c r="AE72" s="263"/>
      <c r="AF72" s="263"/>
      <c r="AG72" s="263"/>
      <c r="AH72" s="263"/>
      <c r="AI72" s="263"/>
      <c r="AJ72" s="263"/>
      <c r="AK72" s="263"/>
      <c r="AL72" s="45"/>
      <c r="AM72" s="45"/>
      <c r="AN72" s="45"/>
      <c r="AO72" s="45"/>
      <c r="AP72" s="45"/>
      <c r="AQ72" s="45"/>
      <c r="AR72" s="45"/>
      <c r="AS72" s="45"/>
      <c r="AT72" s="45"/>
      <c r="AU72" s="45"/>
    </row>
    <row r="73" ht="15.75" customHeight="1">
      <c r="A73" s="301" t="s">
        <v>347</v>
      </c>
      <c r="B73" s="302">
        <f>-'Hypothèses'!$B$14</f>
        <v>-15000</v>
      </c>
      <c r="C73" s="302">
        <f>B4-'Tableau dAMT financier'!G16-C4+AG4</f>
        <v>-4355.976379</v>
      </c>
      <c r="D73" s="302">
        <f>B5-'Tableau dAMT financier'!G17-C5+AG5</f>
        <v>-5658.370967</v>
      </c>
      <c r="E73" s="302">
        <f>B6-'Tableau dAMT financier'!G18-C6+AG6</f>
        <v>-5660.002796</v>
      </c>
      <c r="F73" s="302">
        <f>B7-'Tableau dAMT financier'!G19-C7+AG7</f>
        <v>-5662.931679</v>
      </c>
      <c r="G73" s="302">
        <f>B8-'Tableau dAMT financier'!G20-C8+AG8</f>
        <v>-5667.219709</v>
      </c>
      <c r="H73" s="302">
        <f>B9-'Tableau dAMT financier'!G21-C9+AG9</f>
        <v>-5672.931337</v>
      </c>
      <c r="I73" s="302">
        <f>B10-'Tableau dAMT financier'!G22-C10+AG10</f>
        <v>-5680.133458</v>
      </c>
      <c r="J73" s="302">
        <f>B11-'Tableau dAMT financier'!G23-C11+AG11</f>
        <v>-5688.895495</v>
      </c>
      <c r="K73" s="302">
        <f>B12-'Tableau dAMT financier'!G24-C12+AG12</f>
        <v>-5699.289491</v>
      </c>
      <c r="L73" s="302">
        <f>B13-'Tableau dAMT financier'!G25-C13+AG13</f>
        <v>-5711.3902</v>
      </c>
      <c r="M73" s="302">
        <f>B14-'Tableau dAMT financier'!G26-C14+AG14</f>
        <v>-5725.275179</v>
      </c>
      <c r="N73" s="302">
        <f>B15-'Tableau dAMT financier'!G27-C15+AG15</f>
        <v>-5741.02489</v>
      </c>
      <c r="O73" s="302">
        <f>B16-'Tableau dAMT financier'!G28-C16+AG16</f>
        <v>-5758.722802</v>
      </c>
      <c r="P73" s="302">
        <f>B17-'Tableau dAMT financier'!G29-C17+AG17+H17-G17-AS17</f>
        <v>107113.1591</v>
      </c>
      <c r="Q73" s="263"/>
      <c r="R73" s="263"/>
      <c r="S73" s="263"/>
      <c r="T73" s="263"/>
      <c r="U73" s="263"/>
      <c r="V73" s="263"/>
      <c r="W73" s="263"/>
      <c r="X73" s="263"/>
      <c r="Y73" s="263"/>
      <c r="Z73" s="263"/>
      <c r="AA73" s="263"/>
      <c r="AB73" s="263"/>
      <c r="AC73" s="263"/>
      <c r="AD73" s="263"/>
      <c r="AE73" s="263"/>
      <c r="AF73" s="263"/>
      <c r="AG73" s="263"/>
      <c r="AH73" s="263"/>
      <c r="AI73" s="263"/>
      <c r="AJ73" s="263"/>
      <c r="AK73" s="263"/>
      <c r="AL73" s="45"/>
      <c r="AM73" s="45"/>
      <c r="AN73" s="45"/>
      <c r="AO73" s="45"/>
      <c r="AP73" s="45"/>
      <c r="AQ73" s="45"/>
      <c r="AR73" s="45"/>
      <c r="AS73" s="45"/>
      <c r="AT73" s="45"/>
      <c r="AU73" s="45"/>
    </row>
    <row r="74" ht="15.75" customHeight="1">
      <c r="A74" s="301" t="s">
        <v>348</v>
      </c>
      <c r="B74" s="302">
        <f>-'Hypothèses'!$B$14</f>
        <v>-15000</v>
      </c>
      <c r="C74" s="302">
        <f>B4-'Tableau dAMT financier'!G16-C4+AG4</f>
        <v>-4355.976379</v>
      </c>
      <c r="D74" s="302">
        <f>B5-'Tableau dAMT financier'!G17-C5+AG5</f>
        <v>-5658.370967</v>
      </c>
      <c r="E74" s="302">
        <f>B6-'Tableau dAMT financier'!G18-C6+AG6</f>
        <v>-5660.002796</v>
      </c>
      <c r="F74" s="302">
        <f>B7-'Tableau dAMT financier'!G19-C7+AG7</f>
        <v>-5662.931679</v>
      </c>
      <c r="G74" s="302">
        <f>B8-'Tableau dAMT financier'!G20-C8+AG8</f>
        <v>-5667.219709</v>
      </c>
      <c r="H74" s="302">
        <f>B9-'Tableau dAMT financier'!G21-C9+AG9</f>
        <v>-5672.931337</v>
      </c>
      <c r="I74" s="302">
        <f>B10-'Tableau dAMT financier'!G22-C10+AG10</f>
        <v>-5680.133458</v>
      </c>
      <c r="J74" s="302">
        <f>B11-'Tableau dAMT financier'!G23-C11+AG11</f>
        <v>-5688.895495</v>
      </c>
      <c r="K74" s="302">
        <f>B12-'Tableau dAMT financier'!G24-C12+AG12</f>
        <v>-5699.289491</v>
      </c>
      <c r="L74" s="302">
        <f>B13-'Tableau dAMT financier'!G25-C13+AG13</f>
        <v>-5711.3902</v>
      </c>
      <c r="M74" s="302">
        <f>B14-'Tableau dAMT financier'!G26-C14+AG14</f>
        <v>-5725.275179</v>
      </c>
      <c r="N74" s="302">
        <f>B15-'Tableau dAMT financier'!G27-C15+AG15</f>
        <v>-5741.02489</v>
      </c>
      <c r="O74" s="302">
        <f>B16-'Tableau dAMT financier'!G28-C16+AG16</f>
        <v>-5758.722802</v>
      </c>
      <c r="P74" s="302">
        <f>B17-'Tableau dAMT financier'!G29-C17+AG17</f>
        <v>-5778.455496</v>
      </c>
      <c r="Q74" s="302">
        <f>B18-'Tableau dAMT financier'!G30-C18+AG18+H18-G18-AS18</f>
        <v>116572.3706</v>
      </c>
      <c r="R74" s="263"/>
      <c r="S74" s="263"/>
      <c r="T74" s="263"/>
      <c r="U74" s="263"/>
      <c r="V74" s="263"/>
      <c r="W74" s="263"/>
      <c r="X74" s="263"/>
      <c r="Y74" s="263"/>
      <c r="Z74" s="263"/>
      <c r="AA74" s="263"/>
      <c r="AB74" s="263"/>
      <c r="AC74" s="263"/>
      <c r="AD74" s="263"/>
      <c r="AE74" s="263"/>
      <c r="AF74" s="263"/>
      <c r="AG74" s="263"/>
      <c r="AH74" s="263"/>
      <c r="AI74" s="263"/>
      <c r="AJ74" s="263"/>
      <c r="AK74" s="263"/>
      <c r="AL74" s="45"/>
      <c r="AM74" s="45"/>
      <c r="AN74" s="45"/>
      <c r="AO74" s="45"/>
      <c r="AP74" s="45"/>
      <c r="AQ74" s="45"/>
      <c r="AR74" s="45"/>
      <c r="AS74" s="45"/>
      <c r="AT74" s="45"/>
      <c r="AU74" s="45"/>
    </row>
    <row r="75" ht="15.75" customHeight="1">
      <c r="A75" s="301" t="s">
        <v>349</v>
      </c>
      <c r="B75" s="302">
        <f>-'Hypothèses'!$B$14</f>
        <v>-15000</v>
      </c>
      <c r="C75" s="302">
        <f>B4-'Tableau dAMT financier'!G16-C4+AG4</f>
        <v>-4355.976379</v>
      </c>
      <c r="D75" s="302">
        <f>B5-'Tableau dAMT financier'!G17-C5+AG5</f>
        <v>-5658.370967</v>
      </c>
      <c r="E75" s="302">
        <f>B6-'Tableau dAMT financier'!G18-C6+AG6</f>
        <v>-5660.002796</v>
      </c>
      <c r="F75" s="302">
        <f>B7-'Tableau dAMT financier'!G19-C7+AG7</f>
        <v>-5662.931679</v>
      </c>
      <c r="G75" s="302">
        <f>B8-'Tableau dAMT financier'!G20-C8+AG8</f>
        <v>-5667.219709</v>
      </c>
      <c r="H75" s="302">
        <f>B9-'Tableau dAMT financier'!G21-C9+AG9</f>
        <v>-5672.931337</v>
      </c>
      <c r="I75" s="302">
        <f>B10-'Tableau dAMT financier'!G22-C10+AG10</f>
        <v>-5680.133458</v>
      </c>
      <c r="J75" s="302">
        <f>B11-'Tableau dAMT financier'!G23-C11+AG11</f>
        <v>-5688.895495</v>
      </c>
      <c r="K75" s="302">
        <f>B12-'Tableau dAMT financier'!G24-C12+AG12</f>
        <v>-5699.289491</v>
      </c>
      <c r="L75" s="302">
        <f>B13-'Tableau dAMT financier'!G25-C13+AG13</f>
        <v>-5711.3902</v>
      </c>
      <c r="M75" s="302">
        <f>B14-'Tableau dAMT financier'!G26-C14+AG14</f>
        <v>-5725.275179</v>
      </c>
      <c r="N75" s="302">
        <f>B15-'Tableau dAMT financier'!G27-C15+AG15</f>
        <v>-5741.02489</v>
      </c>
      <c r="O75" s="302">
        <f>B16-'Tableau dAMT financier'!G28-C16+AG16</f>
        <v>-5758.722802</v>
      </c>
      <c r="P75" s="302">
        <f>B17-'Tableau dAMT financier'!G29-C17+AG17</f>
        <v>-5778.455496</v>
      </c>
      <c r="Q75" s="302">
        <f>B18-'Tableau dAMT financier'!G30-C18+AG18</f>
        <v>-5840.503317</v>
      </c>
      <c r="R75" s="302">
        <f>B19-'Tableau dAMT financier'!G31-C19+AG19+H19-G19-AS19</f>
        <v>126552.9395</v>
      </c>
      <c r="S75" s="263"/>
      <c r="T75" s="263"/>
      <c r="U75" s="263"/>
      <c r="V75" s="263"/>
      <c r="W75" s="263"/>
      <c r="X75" s="263"/>
      <c r="Y75" s="263"/>
      <c r="Z75" s="263"/>
      <c r="AA75" s="263"/>
      <c r="AB75" s="263"/>
      <c r="AC75" s="263"/>
      <c r="AD75" s="263"/>
      <c r="AE75" s="263"/>
      <c r="AF75" s="263"/>
      <c r="AG75" s="263"/>
      <c r="AH75" s="263"/>
      <c r="AI75" s="263"/>
      <c r="AJ75" s="263"/>
      <c r="AK75" s="263"/>
      <c r="AL75" s="45"/>
      <c r="AM75" s="45"/>
      <c r="AN75" s="45"/>
      <c r="AO75" s="45"/>
      <c r="AP75" s="45"/>
      <c r="AQ75" s="45"/>
      <c r="AR75" s="45"/>
      <c r="AS75" s="45"/>
      <c r="AT75" s="45"/>
      <c r="AU75" s="45"/>
    </row>
    <row r="76" ht="15.75" customHeight="1">
      <c r="A76" s="301" t="s">
        <v>350</v>
      </c>
      <c r="B76" s="302">
        <f>-'Hypothèses'!$B$14</f>
        <v>-15000</v>
      </c>
      <c r="C76" s="302">
        <f>B4-'Tableau dAMT financier'!G16-C4+AG4</f>
        <v>-4355.976379</v>
      </c>
      <c r="D76" s="302">
        <f>B5-'Tableau dAMT financier'!G17-C5+AG5</f>
        <v>-5658.370967</v>
      </c>
      <c r="E76" s="302">
        <f>B6-'Tableau dAMT financier'!G18-C6+AG6</f>
        <v>-5660.002796</v>
      </c>
      <c r="F76" s="302">
        <f>B7-'Tableau dAMT financier'!G19-C7+AG7</f>
        <v>-5662.931679</v>
      </c>
      <c r="G76" s="302">
        <f>B8-'Tableau dAMT financier'!G20-C8+AG8</f>
        <v>-5667.219709</v>
      </c>
      <c r="H76" s="302">
        <f>B9-'Tableau dAMT financier'!G21-C9+AG9</f>
        <v>-5672.931337</v>
      </c>
      <c r="I76" s="302">
        <f>B10-'Tableau dAMT financier'!G22-C10+AG10</f>
        <v>-5680.133458</v>
      </c>
      <c r="J76" s="302">
        <f>B11-'Tableau dAMT financier'!G23-C11+AG11</f>
        <v>-5688.895495</v>
      </c>
      <c r="K76" s="302">
        <f>B12-'Tableau dAMT financier'!G24-C12+AG12</f>
        <v>-5699.289491</v>
      </c>
      <c r="L76" s="302">
        <f>B13-'Tableau dAMT financier'!G25-C13+AG13</f>
        <v>-5711.3902</v>
      </c>
      <c r="M76" s="302">
        <f>B14-'Tableau dAMT financier'!G26-C14+AG14</f>
        <v>-5725.275179</v>
      </c>
      <c r="N76" s="302">
        <f>B15-'Tableau dAMT financier'!G27-C15+AG15</f>
        <v>-5741.02489</v>
      </c>
      <c r="O76" s="302">
        <f>B16-'Tableau dAMT financier'!G28-C16+AG16</f>
        <v>-5758.722802</v>
      </c>
      <c r="P76" s="302">
        <f>B17-'Tableau dAMT financier'!G29-C17+AG17</f>
        <v>-5778.455496</v>
      </c>
      <c r="Q76" s="302">
        <f>B18-'Tableau dAMT financier'!G30-C18+AG18</f>
        <v>-5840.503317</v>
      </c>
      <c r="R76" s="302">
        <f>B19-'Tableau dAMT financier'!G31-C19+AG19</f>
        <v>-5940.35104</v>
      </c>
      <c r="S76" s="302">
        <f>B20-'Tableau dAMT financier'!G32-C20+AG20+H20-G20-AS20</f>
        <v>137104.5976</v>
      </c>
      <c r="T76" s="263"/>
      <c r="U76" s="263"/>
      <c r="V76" s="263"/>
      <c r="W76" s="263"/>
      <c r="X76" s="263"/>
      <c r="Y76" s="263"/>
      <c r="Z76" s="263"/>
      <c r="AA76" s="263"/>
      <c r="AB76" s="263"/>
      <c r="AC76" s="263"/>
      <c r="AD76" s="263"/>
      <c r="AE76" s="263"/>
      <c r="AF76" s="263"/>
      <c r="AG76" s="263"/>
      <c r="AH76" s="263"/>
      <c r="AI76" s="263"/>
      <c r="AJ76" s="263"/>
      <c r="AK76" s="263"/>
      <c r="AL76" s="45"/>
      <c r="AM76" s="45"/>
      <c r="AN76" s="45"/>
      <c r="AO76" s="45"/>
      <c r="AP76" s="45"/>
      <c r="AQ76" s="45"/>
      <c r="AR76" s="45"/>
      <c r="AS76" s="45"/>
      <c r="AT76" s="45"/>
      <c r="AU76" s="45"/>
    </row>
    <row r="77" ht="15.75" customHeight="1">
      <c r="A77" s="301" t="s">
        <v>351</v>
      </c>
      <c r="B77" s="302">
        <f>-'Hypothèses'!$B$14</f>
        <v>-15000</v>
      </c>
      <c r="C77" s="302">
        <f>B4-'Tableau dAMT financier'!G16-C4+AG4</f>
        <v>-4355.976379</v>
      </c>
      <c r="D77" s="302">
        <f>B5-'Tableau dAMT financier'!G17-C5+AG5</f>
        <v>-5658.370967</v>
      </c>
      <c r="E77" s="302">
        <f>B6-'Tableau dAMT financier'!G18-C6+AG6</f>
        <v>-5660.002796</v>
      </c>
      <c r="F77" s="302">
        <f>B7-'Tableau dAMT financier'!G19-C7+AG7</f>
        <v>-5662.931679</v>
      </c>
      <c r="G77" s="302">
        <f>B8-'Tableau dAMT financier'!G20-C8+AG8</f>
        <v>-5667.219709</v>
      </c>
      <c r="H77" s="302">
        <f>B9-'Tableau dAMT financier'!G21-C9+AG9</f>
        <v>-5672.931337</v>
      </c>
      <c r="I77" s="302">
        <f>B10-'Tableau dAMT financier'!G22-C10+AG10</f>
        <v>-5680.133458</v>
      </c>
      <c r="J77" s="302">
        <f>B11-'Tableau dAMT financier'!G23-C11+AG11</f>
        <v>-5688.895495</v>
      </c>
      <c r="K77" s="302">
        <f>B12-'Tableau dAMT financier'!G24-C12+AG12</f>
        <v>-5699.289491</v>
      </c>
      <c r="L77" s="302">
        <f>B13-'Tableau dAMT financier'!G25-C13+AG13</f>
        <v>-5711.3902</v>
      </c>
      <c r="M77" s="302">
        <f>B14-'Tableau dAMT financier'!G26-C14+AG14</f>
        <v>-5725.275179</v>
      </c>
      <c r="N77" s="302">
        <f>B15-'Tableau dAMT financier'!G27-C15+AG15</f>
        <v>-5741.02489</v>
      </c>
      <c r="O77" s="302">
        <f>B16-'Tableau dAMT financier'!G28-C16+AG16</f>
        <v>-5758.722802</v>
      </c>
      <c r="P77" s="302">
        <f>B17-'Tableau dAMT financier'!G29-C17+AG17</f>
        <v>-5778.455496</v>
      </c>
      <c r="Q77" s="302">
        <f>B18-'Tableau dAMT financier'!G30-C18+AG18</f>
        <v>-5840.503317</v>
      </c>
      <c r="R77" s="302">
        <f>B19-'Tableau dAMT financier'!G31-C19+AG19</f>
        <v>-5940.35104</v>
      </c>
      <c r="S77" s="302">
        <f>B20-'Tableau dAMT financier'!G32-C20+AG20</f>
        <v>-6040.055397</v>
      </c>
      <c r="T77" s="302">
        <f>B21-'Tableau dAMT financier'!G33-C21+AG21+H21-G21-AS21</f>
        <v>148234.846</v>
      </c>
      <c r="U77" s="263"/>
      <c r="V77" s="263"/>
      <c r="W77" s="263"/>
      <c r="X77" s="263"/>
      <c r="Y77" s="263"/>
      <c r="Z77" s="263"/>
      <c r="AA77" s="263"/>
      <c r="AB77" s="263"/>
      <c r="AC77" s="263"/>
      <c r="AD77" s="263"/>
      <c r="AE77" s="263"/>
      <c r="AF77" s="263"/>
      <c r="AG77" s="263"/>
      <c r="AH77" s="263"/>
      <c r="AI77" s="263"/>
      <c r="AJ77" s="263"/>
      <c r="AK77" s="263"/>
      <c r="AL77" s="45"/>
      <c r="AM77" s="45"/>
      <c r="AN77" s="45"/>
      <c r="AO77" s="45"/>
      <c r="AP77" s="45"/>
      <c r="AQ77" s="45"/>
      <c r="AR77" s="45"/>
      <c r="AS77" s="45"/>
      <c r="AT77" s="45"/>
      <c r="AU77" s="45"/>
    </row>
    <row r="78" ht="15.75" customHeight="1">
      <c r="A78" s="301" t="s">
        <v>352</v>
      </c>
      <c r="B78" s="302">
        <f>-'Hypothèses'!$B$14</f>
        <v>-15000</v>
      </c>
      <c r="C78" s="302">
        <f>B4-'Tableau dAMT financier'!G16-C4+AG4</f>
        <v>-4355.976379</v>
      </c>
      <c r="D78" s="302">
        <f>B5-'Tableau dAMT financier'!G17-C5+AG5</f>
        <v>-5658.370967</v>
      </c>
      <c r="E78" s="302">
        <f>B6-'Tableau dAMT financier'!G18-C6+AG6</f>
        <v>-5660.002796</v>
      </c>
      <c r="F78" s="302">
        <f>B7-'Tableau dAMT financier'!G19-C7+AG7</f>
        <v>-5662.931679</v>
      </c>
      <c r="G78" s="302">
        <f>B8-'Tableau dAMT financier'!G20-C8+AG8</f>
        <v>-5667.219709</v>
      </c>
      <c r="H78" s="302">
        <f>B9-'Tableau dAMT financier'!G21-C9+AG9</f>
        <v>-5672.931337</v>
      </c>
      <c r="I78" s="302">
        <f>B10-'Tableau dAMT financier'!G22-C10+AG10</f>
        <v>-5680.133458</v>
      </c>
      <c r="J78" s="302">
        <f>B11-'Tableau dAMT financier'!G23-C11+AG11</f>
        <v>-5688.895495</v>
      </c>
      <c r="K78" s="302">
        <f>B12-'Tableau dAMT financier'!G24-C12+AG12</f>
        <v>-5699.289491</v>
      </c>
      <c r="L78" s="302">
        <f>B13-'Tableau dAMT financier'!G25-C13+AG13</f>
        <v>-5711.3902</v>
      </c>
      <c r="M78" s="302">
        <f>B14-'Tableau dAMT financier'!G26-C14+AG14</f>
        <v>-5725.275179</v>
      </c>
      <c r="N78" s="302">
        <f>B15-'Tableau dAMT financier'!G27-C15+AG15</f>
        <v>-5741.02489</v>
      </c>
      <c r="O78" s="302">
        <f>B16-'Tableau dAMT financier'!G28-C16+AG16</f>
        <v>-5758.722802</v>
      </c>
      <c r="P78" s="302">
        <f>B17-'Tableau dAMT financier'!G29-C17+AG17</f>
        <v>-5778.455496</v>
      </c>
      <c r="Q78" s="302">
        <f>B18-'Tableau dAMT financier'!G30-C18+AG18</f>
        <v>-5840.503317</v>
      </c>
      <c r="R78" s="302">
        <f>B19-'Tableau dAMT financier'!G31-C19+AG19</f>
        <v>-5940.35104</v>
      </c>
      <c r="S78" s="302">
        <f>B20-'Tableau dAMT financier'!G32-C20+AG20</f>
        <v>-6040.055397</v>
      </c>
      <c r="T78" s="302">
        <f>B21-'Tableau dAMT financier'!G33-C21+AG21</f>
        <v>-6144.298451</v>
      </c>
      <c r="U78" s="302">
        <f>B22-'Tableau dAMT financier'!G34-C22+AG22+H22-G22-AS22</f>
        <v>159956.1063</v>
      </c>
      <c r="V78" s="263"/>
      <c r="W78" s="263"/>
      <c r="X78" s="263"/>
      <c r="Y78" s="263"/>
      <c r="Z78" s="263"/>
      <c r="AA78" s="263"/>
      <c r="AB78" s="263"/>
      <c r="AC78" s="263"/>
      <c r="AD78" s="263"/>
      <c r="AE78" s="263"/>
      <c r="AF78" s="263"/>
      <c r="AG78" s="263"/>
      <c r="AH78" s="263"/>
      <c r="AI78" s="263"/>
      <c r="AJ78" s="263"/>
      <c r="AK78" s="263"/>
      <c r="AL78" s="45"/>
      <c r="AM78" s="45"/>
      <c r="AN78" s="45"/>
      <c r="AO78" s="45"/>
      <c r="AP78" s="45"/>
      <c r="AQ78" s="45"/>
      <c r="AR78" s="45"/>
      <c r="AS78" s="45"/>
      <c r="AT78" s="45"/>
      <c r="AU78" s="45"/>
    </row>
    <row r="79" ht="15.75" customHeight="1">
      <c r="A79" s="301" t="s">
        <v>353</v>
      </c>
      <c r="B79" s="302">
        <f>-'Hypothèses'!$B$14</f>
        <v>-15000</v>
      </c>
      <c r="C79" s="302">
        <f>B4-'Tableau dAMT financier'!G16-C4+AG4</f>
        <v>-4355.976379</v>
      </c>
      <c r="D79" s="302">
        <f>B5-'Tableau dAMT financier'!G17-C5+AG5</f>
        <v>-5658.370967</v>
      </c>
      <c r="E79" s="302">
        <f>B6-'Tableau dAMT financier'!G18-C6+AG6</f>
        <v>-5660.002796</v>
      </c>
      <c r="F79" s="302">
        <f>B7-'Tableau dAMT financier'!G19-C7+AG7</f>
        <v>-5662.931679</v>
      </c>
      <c r="G79" s="302">
        <f>B8-'Tableau dAMT financier'!G20-C8+AG8</f>
        <v>-5667.219709</v>
      </c>
      <c r="H79" s="302">
        <f>B9-'Tableau dAMT financier'!G21-C9+AG9</f>
        <v>-5672.931337</v>
      </c>
      <c r="I79" s="302">
        <f>B10-'Tableau dAMT financier'!G22-C10+AG10</f>
        <v>-5680.133458</v>
      </c>
      <c r="J79" s="302">
        <f>B11-'Tableau dAMT financier'!G23-C11+AG11</f>
        <v>-5688.895495</v>
      </c>
      <c r="K79" s="302">
        <f>B12-'Tableau dAMT financier'!G24-C12+AG12</f>
        <v>-5699.289491</v>
      </c>
      <c r="L79" s="302">
        <f>B13-'Tableau dAMT financier'!G25-C13+AG13</f>
        <v>-5711.3902</v>
      </c>
      <c r="M79" s="302">
        <f>B14-'Tableau dAMT financier'!G26-C14+AG14</f>
        <v>-5725.275179</v>
      </c>
      <c r="N79" s="302">
        <f>B15-'Tableau dAMT financier'!G27-C15+AG15</f>
        <v>-5741.02489</v>
      </c>
      <c r="O79" s="302">
        <f>B16-'Tableau dAMT financier'!G28-C16+AG16</f>
        <v>-5758.722802</v>
      </c>
      <c r="P79" s="302">
        <f>B17-'Tableau dAMT financier'!G29-C17+AG17</f>
        <v>-5778.455496</v>
      </c>
      <c r="Q79" s="302">
        <f>B18-'Tableau dAMT financier'!G30-C18+AG18</f>
        <v>-5840.503317</v>
      </c>
      <c r="R79" s="302">
        <f>B19-'Tableau dAMT financier'!G31-C19+AG19</f>
        <v>-5940.35104</v>
      </c>
      <c r="S79" s="302">
        <f>B20-'Tableau dAMT financier'!G32-C20+AG20</f>
        <v>-6040.055397</v>
      </c>
      <c r="T79" s="302">
        <f>B21-'Tableau dAMT financier'!G33-C21+AG21</f>
        <v>-6144.298451</v>
      </c>
      <c r="U79" s="302">
        <f>B22-'Tableau dAMT financier'!G34-C22+AG22</f>
        <v>-6253.250241</v>
      </c>
      <c r="V79" s="302">
        <f>B23-'Tableau dAMT financier'!G35-C23+AG23+H23-G23-AS23</f>
        <v>172281.2157</v>
      </c>
      <c r="W79" s="263"/>
      <c r="X79" s="263"/>
      <c r="Y79" s="263"/>
      <c r="Z79" s="263"/>
      <c r="AA79" s="263"/>
      <c r="AB79" s="263"/>
      <c r="AC79" s="263"/>
      <c r="AD79" s="263"/>
      <c r="AE79" s="263"/>
      <c r="AF79" s="263"/>
      <c r="AG79" s="263"/>
      <c r="AH79" s="263"/>
      <c r="AI79" s="263"/>
      <c r="AJ79" s="263"/>
      <c r="AK79" s="263"/>
      <c r="AL79" s="45"/>
      <c r="AM79" s="45"/>
      <c r="AN79" s="45"/>
      <c r="AO79" s="45"/>
      <c r="AP79" s="45"/>
      <c r="AQ79" s="45"/>
      <c r="AR79" s="45"/>
      <c r="AS79" s="45"/>
      <c r="AT79" s="45"/>
      <c r="AU79" s="45"/>
    </row>
    <row r="80" ht="15.75" customHeight="1">
      <c r="A80" s="301" t="s">
        <v>354</v>
      </c>
      <c r="B80" s="302">
        <f>-'Hypothèses'!$B$14</f>
        <v>-15000</v>
      </c>
      <c r="C80" s="302">
        <f>B4-'Tableau dAMT financier'!G16-C4+AG4</f>
        <v>-4355.976379</v>
      </c>
      <c r="D80" s="302">
        <f>B5-'Tableau dAMT financier'!G17-C5+AG5</f>
        <v>-5658.370967</v>
      </c>
      <c r="E80" s="302">
        <f>B6-'Tableau dAMT financier'!G18-C6+AG6</f>
        <v>-5660.002796</v>
      </c>
      <c r="F80" s="302">
        <f>B7-'Tableau dAMT financier'!G19-C7+AG7</f>
        <v>-5662.931679</v>
      </c>
      <c r="G80" s="302">
        <f>B8-'Tableau dAMT financier'!G20-C8+AG8</f>
        <v>-5667.219709</v>
      </c>
      <c r="H80" s="302">
        <f>B9-'Tableau dAMT financier'!G21-C9+AG9</f>
        <v>-5672.931337</v>
      </c>
      <c r="I80" s="302">
        <f>B10-'Tableau dAMT financier'!G22-C10+AG10</f>
        <v>-5680.133458</v>
      </c>
      <c r="J80" s="302">
        <f>B11-'Tableau dAMT financier'!G23-C11+AG11</f>
        <v>-5688.895495</v>
      </c>
      <c r="K80" s="302">
        <f>B12-'Tableau dAMT financier'!G24-C12+AG12</f>
        <v>-5699.289491</v>
      </c>
      <c r="L80" s="302">
        <f>B13-'Tableau dAMT financier'!G25-C13+AG13</f>
        <v>-5711.3902</v>
      </c>
      <c r="M80" s="302">
        <f>B14-'Tableau dAMT financier'!G26-C14+AG14</f>
        <v>-5725.275179</v>
      </c>
      <c r="N80" s="302">
        <f>B15-'Tableau dAMT financier'!G27-C15+AG15</f>
        <v>-5741.02489</v>
      </c>
      <c r="O80" s="302">
        <f>B16-'Tableau dAMT financier'!G28-C16+AG16</f>
        <v>-5758.722802</v>
      </c>
      <c r="P80" s="302">
        <f>B17-'Tableau dAMT financier'!G29-C17+AG17</f>
        <v>-5778.455496</v>
      </c>
      <c r="Q80" s="302">
        <f>B18-'Tableau dAMT financier'!G30-C18+AG18</f>
        <v>-5840.503317</v>
      </c>
      <c r="R80" s="302">
        <f>B19-'Tableau dAMT financier'!G31-C19+AG19</f>
        <v>-5940.35104</v>
      </c>
      <c r="S80" s="302">
        <f>B20-'Tableau dAMT financier'!G32-C20+AG20</f>
        <v>-6040.055397</v>
      </c>
      <c r="T80" s="302">
        <f>B21-'Tableau dAMT financier'!G33-C21+AG21</f>
        <v>-6144.298451</v>
      </c>
      <c r="U80" s="302">
        <f>B22-'Tableau dAMT financier'!G34-C22+AG22</f>
        <v>-6253.250241</v>
      </c>
      <c r="V80" s="302">
        <f>B23-'Tableau dAMT financier'!G35-C23+AG23</f>
        <v>-6367.086769</v>
      </c>
      <c r="W80" s="302">
        <f>B24-'Tableau dAMT financier'!G36-C24+AG24+H24-G24-AS24</f>
        <v>185223.4415</v>
      </c>
      <c r="X80" s="263"/>
      <c r="Y80" s="263"/>
      <c r="Z80" s="263"/>
      <c r="AA80" s="263"/>
      <c r="AB80" s="263"/>
      <c r="AC80" s="263"/>
      <c r="AD80" s="263"/>
      <c r="AE80" s="263"/>
      <c r="AF80" s="263"/>
      <c r="AG80" s="263"/>
      <c r="AH80" s="263"/>
      <c r="AI80" s="263"/>
      <c r="AJ80" s="263"/>
      <c r="AK80" s="263"/>
      <c r="AL80" s="45"/>
      <c r="AM80" s="45"/>
      <c r="AN80" s="45"/>
      <c r="AO80" s="45"/>
      <c r="AP80" s="45"/>
      <c r="AQ80" s="45"/>
      <c r="AR80" s="45"/>
      <c r="AS80" s="45"/>
      <c r="AT80" s="45"/>
      <c r="AU80" s="45"/>
    </row>
    <row r="81" ht="15.75" customHeight="1">
      <c r="A81" s="301" t="s">
        <v>355</v>
      </c>
      <c r="B81" s="302">
        <f>-'Hypothèses'!$B$14</f>
        <v>-15000</v>
      </c>
      <c r="C81" s="302">
        <f>B4-'Tableau dAMT financier'!G16-C4+AG4</f>
        <v>-4355.976379</v>
      </c>
      <c r="D81" s="302">
        <f>B5-'Tableau dAMT financier'!G17-C5+AG5</f>
        <v>-5658.370967</v>
      </c>
      <c r="E81" s="302">
        <f>B6-'Tableau dAMT financier'!G18-C6+AG6</f>
        <v>-5660.002796</v>
      </c>
      <c r="F81" s="302">
        <f>B7-'Tableau dAMT financier'!G19-C7+AG7</f>
        <v>-5662.931679</v>
      </c>
      <c r="G81" s="302">
        <f>B8-'Tableau dAMT financier'!G20-C8+AG8</f>
        <v>-5667.219709</v>
      </c>
      <c r="H81" s="302">
        <f>B9-'Tableau dAMT financier'!G21-C9+AG9</f>
        <v>-5672.931337</v>
      </c>
      <c r="I81" s="302">
        <f>B10-'Tableau dAMT financier'!G22-C10+AG10</f>
        <v>-5680.133458</v>
      </c>
      <c r="J81" s="302">
        <f>B11-'Tableau dAMT financier'!G23-C11+AG11</f>
        <v>-5688.895495</v>
      </c>
      <c r="K81" s="302">
        <f>B12-'Tableau dAMT financier'!G24-C12+AG12</f>
        <v>-5699.289491</v>
      </c>
      <c r="L81" s="302">
        <f>B13-'Tableau dAMT financier'!G25-C13+AG13</f>
        <v>-5711.3902</v>
      </c>
      <c r="M81" s="302">
        <f>B14-'Tableau dAMT financier'!G26-C14+AG14</f>
        <v>-5725.275179</v>
      </c>
      <c r="N81" s="302">
        <f>B15-'Tableau dAMT financier'!G27-C15+AG15</f>
        <v>-5741.02489</v>
      </c>
      <c r="O81" s="302">
        <f>B16-'Tableau dAMT financier'!G28-C16+AG16</f>
        <v>-5758.722802</v>
      </c>
      <c r="P81" s="302">
        <f>B17-'Tableau dAMT financier'!G29-C17+AG17</f>
        <v>-5778.455496</v>
      </c>
      <c r="Q81" s="302">
        <f>B18-'Tableau dAMT financier'!G30-C18+AG18</f>
        <v>-5840.503317</v>
      </c>
      <c r="R81" s="302">
        <f>B19-'Tableau dAMT financier'!G31-C19+AG19</f>
        <v>-5940.35104</v>
      </c>
      <c r="S81" s="302">
        <f>B20-'Tableau dAMT financier'!G32-C20+AG20</f>
        <v>-6040.055397</v>
      </c>
      <c r="T81" s="302">
        <f>B21-'Tableau dAMT financier'!G33-C21+AG21</f>
        <v>-6144.298451</v>
      </c>
      <c r="U81" s="302">
        <f>B22-'Tableau dAMT financier'!G34-C22+AG22</f>
        <v>-6253.250241</v>
      </c>
      <c r="V81" s="302">
        <f>B23-'Tableau dAMT financier'!G35-C23+AG23</f>
        <v>-6367.086769</v>
      </c>
      <c r="W81" s="302">
        <f>B24-'Tableau dAMT financier'!G36-C24+AG24</f>
        <v>-6485.990209</v>
      </c>
      <c r="X81" s="302">
        <f>B25-'Tableau dAMT financier'!G37-C25+AG25+H25-G25-AS25</f>
        <v>198401.4442</v>
      </c>
      <c r="Y81" s="263"/>
      <c r="Z81" s="263"/>
      <c r="AA81" s="263"/>
      <c r="AB81" s="263"/>
      <c r="AC81" s="263"/>
      <c r="AD81" s="263"/>
      <c r="AE81" s="263"/>
      <c r="AF81" s="263"/>
      <c r="AG81" s="263"/>
      <c r="AH81" s="263"/>
      <c r="AI81" s="263"/>
      <c r="AJ81" s="263"/>
      <c r="AK81" s="263"/>
      <c r="AL81" s="45"/>
      <c r="AM81" s="45"/>
      <c r="AN81" s="45"/>
      <c r="AO81" s="45"/>
      <c r="AP81" s="45"/>
      <c r="AQ81" s="45"/>
      <c r="AR81" s="45"/>
      <c r="AS81" s="45"/>
      <c r="AT81" s="45"/>
      <c r="AU81" s="45"/>
    </row>
    <row r="82" ht="15.75" customHeight="1">
      <c r="A82" s="301" t="s">
        <v>356</v>
      </c>
      <c r="B82" s="302">
        <f>-'Hypothèses'!$B$14</f>
        <v>-15000</v>
      </c>
      <c r="C82" s="302">
        <f>B4-'Tableau dAMT financier'!G16-C4+AG4</f>
        <v>-4355.976379</v>
      </c>
      <c r="D82" s="302">
        <f>B5-'Tableau dAMT financier'!G17-C5+AG5</f>
        <v>-5658.370967</v>
      </c>
      <c r="E82" s="302">
        <f>B6-'Tableau dAMT financier'!G18-C6+AG6</f>
        <v>-5660.002796</v>
      </c>
      <c r="F82" s="302">
        <f>B7-'Tableau dAMT financier'!G19-C7+AG7</f>
        <v>-5662.931679</v>
      </c>
      <c r="G82" s="302">
        <f>B8-'Tableau dAMT financier'!G20-C8+AG8</f>
        <v>-5667.219709</v>
      </c>
      <c r="H82" s="302">
        <f>B9-'Tableau dAMT financier'!G21-C9+AG9</f>
        <v>-5672.931337</v>
      </c>
      <c r="I82" s="302">
        <f>B10-'Tableau dAMT financier'!G22-C10+AG10</f>
        <v>-5680.133458</v>
      </c>
      <c r="J82" s="302">
        <f>B11-'Tableau dAMT financier'!G23-C11+AG11</f>
        <v>-5688.895495</v>
      </c>
      <c r="K82" s="302">
        <f>B12-'Tableau dAMT financier'!G24-C12+AG12</f>
        <v>-5699.289491</v>
      </c>
      <c r="L82" s="302">
        <f>B13-'Tableau dAMT financier'!G25-C13+AG13</f>
        <v>-5711.3902</v>
      </c>
      <c r="M82" s="302">
        <f>B14-'Tableau dAMT financier'!G26-C14+AG14</f>
        <v>-5725.275179</v>
      </c>
      <c r="N82" s="302">
        <f>B15-'Tableau dAMT financier'!G27-C15+AG15</f>
        <v>-5741.02489</v>
      </c>
      <c r="O82" s="302">
        <f>B16-'Tableau dAMT financier'!G28-C16+AG16</f>
        <v>-5758.722802</v>
      </c>
      <c r="P82" s="302">
        <f>B17-'Tableau dAMT financier'!G29-C17+AG17</f>
        <v>-5778.455496</v>
      </c>
      <c r="Q82" s="302">
        <f>B18-'Tableau dAMT financier'!G30-C18+AG18</f>
        <v>-5840.503317</v>
      </c>
      <c r="R82" s="302">
        <f>B19-'Tableau dAMT financier'!G31-C19+AG19</f>
        <v>-5940.35104</v>
      </c>
      <c r="S82" s="302">
        <f>B20-'Tableau dAMT financier'!G32-C20+AG20</f>
        <v>-6040.055397</v>
      </c>
      <c r="T82" s="302">
        <f>B21-'Tableau dAMT financier'!G33-C21+AG21</f>
        <v>-6144.298451</v>
      </c>
      <c r="U82" s="302">
        <f>B22-'Tableau dAMT financier'!G34-C22+AG22</f>
        <v>-6253.250241</v>
      </c>
      <c r="V82" s="302">
        <f>B23-'Tableau dAMT financier'!G35-C23+AG23</f>
        <v>-6367.086769</v>
      </c>
      <c r="W82" s="302">
        <f>B24-'Tableau dAMT financier'!G36-C24+AG24</f>
        <v>-6485.990209</v>
      </c>
      <c r="X82" s="302">
        <f>B25-'Tableau dAMT financier'!G37-C25+AG25</f>
        <v>-6610.149115</v>
      </c>
      <c r="Y82" s="302">
        <f>B26-'Tableau dAMT financier'!G38-C26+AG26+H26-G26-AS26</f>
        <v>212726.5094</v>
      </c>
      <c r="Z82" s="263"/>
      <c r="AA82" s="263"/>
      <c r="AB82" s="263"/>
      <c r="AC82" s="263"/>
      <c r="AD82" s="263"/>
      <c r="AE82" s="263"/>
      <c r="AF82" s="263"/>
      <c r="AG82" s="263"/>
      <c r="AH82" s="263"/>
      <c r="AI82" s="263"/>
      <c r="AJ82" s="263"/>
      <c r="AK82" s="263"/>
      <c r="AL82" s="45"/>
      <c r="AM82" s="45"/>
      <c r="AN82" s="45"/>
      <c r="AO82" s="45"/>
      <c r="AP82" s="45"/>
      <c r="AQ82" s="45"/>
      <c r="AR82" s="45"/>
      <c r="AS82" s="45"/>
      <c r="AT82" s="45"/>
      <c r="AU82" s="45"/>
    </row>
    <row r="83" ht="15.75" customHeight="1">
      <c r="A83" s="301" t="s">
        <v>357</v>
      </c>
      <c r="B83" s="302">
        <f>-'Hypothèses'!$B$14</f>
        <v>-15000</v>
      </c>
      <c r="C83" s="302">
        <f>B4-'Tableau dAMT financier'!G16-C4+AG4</f>
        <v>-4355.976379</v>
      </c>
      <c r="D83" s="302">
        <f>B5-'Tableau dAMT financier'!G17-C5+AG5</f>
        <v>-5658.370967</v>
      </c>
      <c r="E83" s="302">
        <f>B6-'Tableau dAMT financier'!G18-C6+AG6</f>
        <v>-5660.002796</v>
      </c>
      <c r="F83" s="302">
        <f>B7-'Tableau dAMT financier'!G19-C7+AG7</f>
        <v>-5662.931679</v>
      </c>
      <c r="G83" s="302">
        <f>B8-'Tableau dAMT financier'!G20-C8+AG8</f>
        <v>-5667.219709</v>
      </c>
      <c r="H83" s="302">
        <f>B9-'Tableau dAMT financier'!G21-C9+AG9</f>
        <v>-5672.931337</v>
      </c>
      <c r="I83" s="302">
        <f>B10-'Tableau dAMT financier'!G22-C10+AG10</f>
        <v>-5680.133458</v>
      </c>
      <c r="J83" s="302">
        <f>B11-'Tableau dAMT financier'!G23-C11+AG11</f>
        <v>-5688.895495</v>
      </c>
      <c r="K83" s="302">
        <f>B12-'Tableau dAMT financier'!G24-C12+AG12</f>
        <v>-5699.289491</v>
      </c>
      <c r="L83" s="302">
        <f>B13-'Tableau dAMT financier'!G25-C13+AG13</f>
        <v>-5711.3902</v>
      </c>
      <c r="M83" s="302">
        <f>B14-'Tableau dAMT financier'!G26-C14+AG14</f>
        <v>-5725.275179</v>
      </c>
      <c r="N83" s="302">
        <f>B15-'Tableau dAMT financier'!G27-C15+AG15</f>
        <v>-5741.02489</v>
      </c>
      <c r="O83" s="302">
        <f>B16-'Tableau dAMT financier'!G28-C16+AG16</f>
        <v>-5758.722802</v>
      </c>
      <c r="P83" s="302">
        <f>B17-'Tableau dAMT financier'!G29-C17+AG17</f>
        <v>-5778.455496</v>
      </c>
      <c r="Q83" s="302">
        <f>B18-'Tableau dAMT financier'!G30-C18+AG18</f>
        <v>-5840.503317</v>
      </c>
      <c r="R83" s="302">
        <f>B19-'Tableau dAMT financier'!G31-C19+AG19</f>
        <v>-5940.35104</v>
      </c>
      <c r="S83" s="302">
        <f>B20-'Tableau dAMT financier'!G32-C20+AG20</f>
        <v>-6040.055397</v>
      </c>
      <c r="T83" s="302">
        <f>B21-'Tableau dAMT financier'!G33-C21+AG21</f>
        <v>-6144.298451</v>
      </c>
      <c r="U83" s="302">
        <f>B22-'Tableau dAMT financier'!G34-C22+AG22</f>
        <v>-6253.250241</v>
      </c>
      <c r="V83" s="302">
        <f>B23-'Tableau dAMT financier'!G35-C23+AG23</f>
        <v>-6367.086769</v>
      </c>
      <c r="W83" s="302">
        <f>B24-'Tableau dAMT financier'!G36-C24+AG24</f>
        <v>-6485.990209</v>
      </c>
      <c r="X83" s="302">
        <f>B25-'Tableau dAMT financier'!G37-C25+AG25</f>
        <v>-6610.149115</v>
      </c>
      <c r="Y83" s="302">
        <f>B26-'Tableau dAMT financier'!G38-C26+AG26</f>
        <v>-6739.758642</v>
      </c>
      <c r="Z83" s="302">
        <f>B27-'Tableau dAMT financier'!G39-C27+AG27+H27-G27-AS27</f>
        <v>227729.3014</v>
      </c>
      <c r="AA83" s="263"/>
      <c r="AB83" s="263"/>
      <c r="AC83" s="263"/>
      <c r="AD83" s="263"/>
      <c r="AE83" s="263"/>
      <c r="AF83" s="263"/>
      <c r="AG83" s="263"/>
      <c r="AH83" s="263"/>
      <c r="AI83" s="263"/>
      <c r="AJ83" s="263"/>
      <c r="AK83" s="263"/>
      <c r="AL83" s="45"/>
      <c r="AM83" s="45"/>
      <c r="AN83" s="45"/>
      <c r="AO83" s="45"/>
      <c r="AP83" s="45"/>
      <c r="AQ83" s="45"/>
      <c r="AR83" s="45"/>
      <c r="AS83" s="45"/>
      <c r="AT83" s="45"/>
      <c r="AU83" s="45"/>
    </row>
    <row r="84" ht="15.75" customHeight="1">
      <c r="A84" s="301" t="s">
        <v>358</v>
      </c>
      <c r="B84" s="302">
        <f>-'Hypothèses'!$B$14</f>
        <v>-15000</v>
      </c>
      <c r="C84" s="302">
        <f>B4-'Tableau dAMT financier'!G16-C4+AG4</f>
        <v>-4355.976379</v>
      </c>
      <c r="D84" s="302">
        <f>B5-'Tableau dAMT financier'!G17-C5+AG5</f>
        <v>-5658.370967</v>
      </c>
      <c r="E84" s="302">
        <f>B6-'Tableau dAMT financier'!G18-C6+AG6</f>
        <v>-5660.002796</v>
      </c>
      <c r="F84" s="302">
        <f>B7-'Tableau dAMT financier'!G19-C7+AG7</f>
        <v>-5662.931679</v>
      </c>
      <c r="G84" s="302">
        <f>B8-'Tableau dAMT financier'!G20-C8+AG8</f>
        <v>-5667.219709</v>
      </c>
      <c r="H84" s="302">
        <f>B9-'Tableau dAMT financier'!G21-C9+AG9</f>
        <v>-5672.931337</v>
      </c>
      <c r="I84" s="302">
        <f>B10-'Tableau dAMT financier'!G22-C10+AG10</f>
        <v>-5680.133458</v>
      </c>
      <c r="J84" s="302">
        <f>B11-'Tableau dAMT financier'!G23-C11+AG11</f>
        <v>-5688.895495</v>
      </c>
      <c r="K84" s="302">
        <f>B12-'Tableau dAMT financier'!G24-C12+AG12</f>
        <v>-5699.289491</v>
      </c>
      <c r="L84" s="302">
        <f>B13-'Tableau dAMT financier'!G25-C13+AG13</f>
        <v>-5711.3902</v>
      </c>
      <c r="M84" s="302">
        <f>B14-'Tableau dAMT financier'!G26-C14+AG14</f>
        <v>-5725.275179</v>
      </c>
      <c r="N84" s="302">
        <f>B15-'Tableau dAMT financier'!G27-C15+AG15</f>
        <v>-5741.02489</v>
      </c>
      <c r="O84" s="302">
        <f>B16-'Tableau dAMT financier'!G28-C16+AG16</f>
        <v>-5758.722802</v>
      </c>
      <c r="P84" s="302">
        <f>B17-'Tableau dAMT financier'!G29-C17+AG17</f>
        <v>-5778.455496</v>
      </c>
      <c r="Q84" s="302">
        <f>B18-'Tableau dAMT financier'!G30-C18+AG18</f>
        <v>-5840.503317</v>
      </c>
      <c r="R84" s="302">
        <f>B19-'Tableau dAMT financier'!G31-C19+AG19</f>
        <v>-5940.35104</v>
      </c>
      <c r="S84" s="302">
        <f>B20-'Tableau dAMT financier'!G32-C20+AG20</f>
        <v>-6040.055397</v>
      </c>
      <c r="T84" s="302">
        <f>B21-'Tableau dAMT financier'!G33-C21+AG21</f>
        <v>-6144.298451</v>
      </c>
      <c r="U84" s="302">
        <f>B22-'Tableau dAMT financier'!G34-C22+AG22</f>
        <v>-6253.250241</v>
      </c>
      <c r="V84" s="302">
        <f>B23-'Tableau dAMT financier'!G35-C23+AG23</f>
        <v>-6367.086769</v>
      </c>
      <c r="W84" s="302">
        <f>B24-'Tableau dAMT financier'!G36-C24+AG24</f>
        <v>-6485.990209</v>
      </c>
      <c r="X84" s="302">
        <f>B25-'Tableau dAMT financier'!G37-C25+AG25</f>
        <v>-6610.149115</v>
      </c>
      <c r="Y84" s="302">
        <f>B26-'Tableau dAMT financier'!G38-C26+AG26</f>
        <v>-6739.758642</v>
      </c>
      <c r="Z84" s="302">
        <f>B27-'Tableau dAMT financier'!G39-C27+AG27</f>
        <v>-6875.020768</v>
      </c>
      <c r="AA84" s="302">
        <f>B28-'Tableau dAMT financier'!G40-C28+AG28+H28-G28-AS28</f>
        <v>243424.9555</v>
      </c>
      <c r="AB84" s="263"/>
      <c r="AC84" s="263"/>
      <c r="AD84" s="263"/>
      <c r="AE84" s="263"/>
      <c r="AF84" s="263"/>
      <c r="AG84" s="263"/>
      <c r="AH84" s="263"/>
      <c r="AI84" s="263"/>
      <c r="AJ84" s="263"/>
      <c r="AK84" s="263"/>
      <c r="AL84" s="45"/>
      <c r="AM84" s="45"/>
      <c r="AN84" s="45"/>
      <c r="AO84" s="45"/>
      <c r="AP84" s="45"/>
      <c r="AQ84" s="45"/>
      <c r="AR84" s="45"/>
      <c r="AS84" s="45"/>
      <c r="AT84" s="45"/>
      <c r="AU84" s="45"/>
    </row>
    <row r="85" ht="15.75" customHeight="1">
      <c r="A85" s="263"/>
      <c r="B85" s="263"/>
      <c r="C85" s="263"/>
      <c r="D85" s="263"/>
      <c r="E85" s="263"/>
      <c r="F85" s="263"/>
      <c r="G85" s="263"/>
      <c r="H85" s="263"/>
      <c r="I85" s="263"/>
      <c r="J85" s="263"/>
      <c r="K85" s="263"/>
      <c r="L85" s="263"/>
      <c r="M85" s="263"/>
      <c r="N85" s="263"/>
      <c r="O85" s="263"/>
      <c r="P85" s="263"/>
      <c r="Q85" s="263"/>
      <c r="R85" s="263"/>
      <c r="S85" s="263"/>
      <c r="T85" s="263"/>
      <c r="U85" s="263"/>
      <c r="V85" s="263"/>
      <c r="W85" s="263"/>
      <c r="X85" s="263"/>
      <c r="Y85" s="263"/>
      <c r="Z85" s="263"/>
      <c r="AA85" s="263"/>
      <c r="AB85" s="263"/>
      <c r="AC85" s="263"/>
      <c r="AD85" s="263"/>
      <c r="AE85" s="263"/>
      <c r="AF85" s="263"/>
      <c r="AG85" s="263"/>
      <c r="AH85" s="263"/>
      <c r="AI85" s="263"/>
      <c r="AJ85" s="263"/>
      <c r="AK85" s="263"/>
      <c r="AL85" s="45"/>
      <c r="AM85" s="45"/>
      <c r="AN85" s="45"/>
      <c r="AO85" s="45"/>
      <c r="AP85" s="45"/>
      <c r="AQ85" s="45"/>
      <c r="AR85" s="45"/>
      <c r="AS85" s="45"/>
      <c r="AT85" s="45"/>
      <c r="AU85" s="45"/>
    </row>
    <row r="86" ht="15.75" customHeight="1">
      <c r="A86" s="263"/>
      <c r="B86" s="263"/>
      <c r="C86" s="263"/>
      <c r="D86" s="263"/>
      <c r="E86" s="263"/>
      <c r="F86" s="263"/>
      <c r="G86" s="263"/>
      <c r="H86" s="263"/>
      <c r="I86" s="263"/>
      <c r="J86" s="263"/>
      <c r="K86" s="263"/>
      <c r="L86" s="263"/>
      <c r="M86" s="263"/>
      <c r="N86" s="263"/>
      <c r="O86" s="263"/>
      <c r="P86" s="263"/>
      <c r="Q86" s="263"/>
      <c r="R86" s="263"/>
      <c r="S86" s="263"/>
      <c r="T86" s="263"/>
      <c r="U86" s="263"/>
      <c r="V86" s="263"/>
      <c r="W86" s="263"/>
      <c r="X86" s="263"/>
      <c r="Y86" s="263"/>
      <c r="Z86" s="263"/>
      <c r="AA86" s="263"/>
      <c r="AB86" s="263"/>
      <c r="AC86" s="263"/>
      <c r="AD86" s="263"/>
      <c r="AE86" s="263"/>
      <c r="AF86" s="263"/>
      <c r="AG86" s="263"/>
      <c r="AH86" s="263"/>
      <c r="AI86" s="263"/>
      <c r="AJ86" s="263"/>
      <c r="AK86" s="263"/>
      <c r="AL86" s="45"/>
      <c r="AM86" s="45"/>
      <c r="AN86" s="45"/>
      <c r="AO86" s="45"/>
      <c r="AP86" s="45"/>
      <c r="AQ86" s="45"/>
      <c r="AR86" s="45"/>
      <c r="AS86" s="45"/>
      <c r="AT86" s="45"/>
      <c r="AU86" s="45"/>
    </row>
    <row r="87" ht="15.75" customHeight="1">
      <c r="A87" s="263"/>
      <c r="B87" s="263"/>
      <c r="C87" s="263"/>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c r="AC87" s="263"/>
      <c r="AD87" s="263"/>
      <c r="AE87" s="263"/>
      <c r="AF87" s="263"/>
      <c r="AG87" s="263"/>
      <c r="AH87" s="263"/>
      <c r="AI87" s="263"/>
      <c r="AJ87" s="263"/>
      <c r="AK87" s="263"/>
      <c r="AL87" s="45"/>
      <c r="AM87" s="45"/>
      <c r="AN87" s="45"/>
      <c r="AO87" s="45"/>
      <c r="AP87" s="45"/>
      <c r="AQ87" s="45"/>
      <c r="AR87" s="45"/>
      <c r="AS87" s="45"/>
      <c r="AT87" s="45"/>
      <c r="AU87" s="45"/>
    </row>
    <row r="88" ht="15.75" customHeight="1">
      <c r="A88" s="263"/>
      <c r="B88" s="263"/>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c r="AC88" s="263"/>
      <c r="AD88" s="263"/>
      <c r="AE88" s="263"/>
      <c r="AF88" s="263"/>
      <c r="AG88" s="263"/>
      <c r="AH88" s="263"/>
      <c r="AI88" s="263"/>
      <c r="AJ88" s="263"/>
      <c r="AK88" s="263"/>
      <c r="AL88" s="45"/>
      <c r="AM88" s="45"/>
      <c r="AN88" s="45"/>
      <c r="AO88" s="45"/>
      <c r="AP88" s="45"/>
      <c r="AQ88" s="45"/>
      <c r="AR88" s="45"/>
      <c r="AS88" s="45"/>
      <c r="AT88" s="45"/>
      <c r="AU88" s="45"/>
    </row>
    <row r="89" ht="15.75" customHeight="1">
      <c r="A89" s="263"/>
      <c r="B89" s="263"/>
      <c r="C89" s="263"/>
      <c r="D89" s="263"/>
      <c r="E89" s="263"/>
      <c r="F89" s="263"/>
      <c r="G89" s="263"/>
      <c r="H89" s="263"/>
      <c r="I89" s="263"/>
      <c r="J89" s="263"/>
      <c r="K89" s="263"/>
      <c r="L89" s="263"/>
      <c r="M89" s="263"/>
      <c r="N89" s="263"/>
      <c r="O89" s="263"/>
      <c r="P89" s="263"/>
      <c r="Q89" s="263"/>
      <c r="R89" s="263"/>
      <c r="S89" s="263"/>
      <c r="T89" s="263"/>
      <c r="U89" s="263"/>
      <c r="V89" s="263"/>
      <c r="W89" s="263"/>
      <c r="X89" s="263"/>
      <c r="Y89" s="263"/>
      <c r="Z89" s="263"/>
      <c r="AA89" s="263"/>
      <c r="AB89" s="263"/>
      <c r="AC89" s="263"/>
      <c r="AD89" s="263"/>
      <c r="AE89" s="263"/>
      <c r="AF89" s="263"/>
      <c r="AG89" s="263"/>
      <c r="AH89" s="263"/>
      <c r="AI89" s="263"/>
      <c r="AJ89" s="263"/>
      <c r="AK89" s="263"/>
      <c r="AL89" s="45"/>
      <c r="AM89" s="45"/>
      <c r="AN89" s="45"/>
      <c r="AO89" s="45"/>
      <c r="AP89" s="45"/>
      <c r="AQ89" s="45"/>
      <c r="AR89" s="45"/>
      <c r="AS89" s="45"/>
      <c r="AT89" s="45"/>
      <c r="AU89" s="45"/>
    </row>
    <row r="90" ht="15.75" customHeight="1">
      <c r="A90" s="303" t="s">
        <v>359</v>
      </c>
      <c r="B90" s="263"/>
      <c r="C90" s="263"/>
      <c r="D90" s="263"/>
      <c r="E90" s="263"/>
      <c r="F90" s="263"/>
      <c r="G90" s="263"/>
      <c r="H90" s="263"/>
      <c r="I90" s="263"/>
      <c r="J90" s="263"/>
      <c r="K90" s="263"/>
      <c r="L90" s="263"/>
      <c r="M90" s="263"/>
      <c r="N90" s="263"/>
      <c r="O90" s="263"/>
      <c r="P90" s="263"/>
      <c r="Q90" s="263"/>
      <c r="R90" s="263"/>
      <c r="S90" s="263"/>
      <c r="T90" s="263"/>
      <c r="U90" s="263"/>
      <c r="V90" s="263"/>
      <c r="W90" s="263"/>
      <c r="X90" s="263"/>
      <c r="Y90" s="263"/>
      <c r="Z90" s="263"/>
      <c r="AA90" s="263"/>
      <c r="AB90" s="263"/>
      <c r="AC90" s="263"/>
      <c r="AD90" s="263"/>
      <c r="AE90" s="263"/>
      <c r="AF90" s="263"/>
      <c r="AG90" s="263"/>
      <c r="AH90" s="263"/>
      <c r="AI90" s="263"/>
      <c r="AJ90" s="263"/>
      <c r="AK90" s="263"/>
      <c r="AL90" s="45"/>
      <c r="AM90" s="45"/>
      <c r="AN90" s="45"/>
      <c r="AO90" s="45"/>
      <c r="AP90" s="45"/>
      <c r="AQ90" s="45"/>
      <c r="AR90" s="45"/>
      <c r="AS90" s="45"/>
      <c r="AT90" s="45"/>
      <c r="AU90" s="45"/>
    </row>
    <row r="91" ht="15.75" customHeight="1">
      <c r="A91" s="263" t="s">
        <v>154</v>
      </c>
      <c r="B91" s="263">
        <v>1.0</v>
      </c>
      <c r="C91" s="263">
        <v>2.0</v>
      </c>
      <c r="D91" s="263">
        <v>3.0</v>
      </c>
      <c r="E91" s="263">
        <v>4.0</v>
      </c>
      <c r="F91" s="263">
        <v>5.0</v>
      </c>
      <c r="G91" s="263">
        <v>6.0</v>
      </c>
      <c r="H91" s="263">
        <v>7.0</v>
      </c>
      <c r="I91" s="263">
        <v>8.0</v>
      </c>
      <c r="J91" s="263">
        <v>9.0</v>
      </c>
      <c r="K91" s="263">
        <v>10.0</v>
      </c>
      <c r="L91" s="263">
        <v>11.0</v>
      </c>
      <c r="M91" s="263">
        <v>12.0</v>
      </c>
      <c r="N91" s="263">
        <v>13.0</v>
      </c>
      <c r="O91" s="263">
        <v>14.0</v>
      </c>
      <c r="P91" s="263">
        <v>15.0</v>
      </c>
      <c r="Q91" s="263">
        <v>16.0</v>
      </c>
      <c r="R91" s="263">
        <v>17.0</v>
      </c>
      <c r="S91" s="263">
        <v>18.0</v>
      </c>
      <c r="T91" s="263">
        <v>19.0</v>
      </c>
      <c r="U91" s="263">
        <v>20.0</v>
      </c>
      <c r="V91" s="263">
        <v>21.0</v>
      </c>
      <c r="W91" s="263">
        <v>22.0</v>
      </c>
      <c r="X91" s="263">
        <v>23.0</v>
      </c>
      <c r="Y91" s="263">
        <v>24.0</v>
      </c>
      <c r="Z91" s="263">
        <v>25.0</v>
      </c>
      <c r="AA91" s="263"/>
      <c r="AB91" s="263"/>
      <c r="AC91" s="263"/>
      <c r="AD91" s="263"/>
      <c r="AE91" s="263"/>
      <c r="AF91" s="263"/>
      <c r="AG91" s="263"/>
      <c r="AH91" s="263"/>
      <c r="AI91" s="263"/>
      <c r="AJ91" s="263"/>
      <c r="AK91" s="263"/>
      <c r="AL91" s="45"/>
      <c r="AM91" s="45"/>
      <c r="AN91" s="45"/>
      <c r="AO91" s="45"/>
      <c r="AP91" s="45"/>
      <c r="AQ91" s="45"/>
      <c r="AR91" s="45"/>
      <c r="AS91" s="45"/>
      <c r="AT91" s="45"/>
      <c r="AU91" s="45"/>
    </row>
    <row r="92" ht="15.75" customHeight="1">
      <c r="A92" s="263" t="s">
        <v>360</v>
      </c>
      <c r="B92" s="304">
        <f>'Hypothèses'!$B$4</f>
        <v>260000</v>
      </c>
      <c r="C92" s="304">
        <f>'Hypothèses'!$B$4</f>
        <v>260000</v>
      </c>
      <c r="D92" s="304">
        <f>'Hypothèses'!$B$4</f>
        <v>260000</v>
      </c>
      <c r="E92" s="304">
        <f>'Hypothèses'!$B$4</f>
        <v>260000</v>
      </c>
      <c r="F92" s="304">
        <f>'Hypothèses'!$B$4</f>
        <v>260000</v>
      </c>
      <c r="G92" s="304">
        <f>'Hypothèses'!$B$4</f>
        <v>260000</v>
      </c>
      <c r="H92" s="304">
        <f>'Hypothèses'!$B$4</f>
        <v>260000</v>
      </c>
      <c r="I92" s="304">
        <f>'Hypothèses'!$B$4</f>
        <v>260000</v>
      </c>
      <c r="J92" s="304">
        <f>'Hypothèses'!$B$4</f>
        <v>260000</v>
      </c>
      <c r="K92" s="304">
        <f>'Hypothèses'!$B$4</f>
        <v>260000</v>
      </c>
      <c r="L92" s="304">
        <f>'Hypothèses'!$B$4</f>
        <v>260000</v>
      </c>
      <c r="M92" s="304">
        <f>'Hypothèses'!$B$4</f>
        <v>260000</v>
      </c>
      <c r="N92" s="304">
        <f>'Hypothèses'!$B$4</f>
        <v>260000</v>
      </c>
      <c r="O92" s="304">
        <f>'Hypothèses'!$B$4</f>
        <v>260000</v>
      </c>
      <c r="P92" s="304">
        <f>'Hypothèses'!$B$4</f>
        <v>260000</v>
      </c>
      <c r="Q92" s="304">
        <f>'Hypothèses'!$B$4</f>
        <v>260000</v>
      </c>
      <c r="R92" s="304">
        <f>'Hypothèses'!$B$4</f>
        <v>260000</v>
      </c>
      <c r="S92" s="304">
        <f>'Hypothèses'!$B$4</f>
        <v>260000</v>
      </c>
      <c r="T92" s="304">
        <f>'Hypothèses'!$B$4</f>
        <v>260000</v>
      </c>
      <c r="U92" s="304">
        <f>'Hypothèses'!$B$4</f>
        <v>260000</v>
      </c>
      <c r="V92" s="304">
        <f>'Hypothèses'!$B$4</f>
        <v>260000</v>
      </c>
      <c r="W92" s="304">
        <f>'Hypothèses'!$B$4</f>
        <v>260000</v>
      </c>
      <c r="X92" s="304">
        <f>'Hypothèses'!$B$4</f>
        <v>260000</v>
      </c>
      <c r="Y92" s="304">
        <f>'Hypothèses'!$B$4</f>
        <v>260000</v>
      </c>
      <c r="Z92" s="304">
        <f>'Hypothèses'!$B$4</f>
        <v>260000</v>
      </c>
      <c r="AA92" s="304"/>
      <c r="AB92" s="263"/>
      <c r="AC92" s="263"/>
      <c r="AD92" s="263"/>
      <c r="AE92" s="263"/>
      <c r="AF92" s="263"/>
      <c r="AG92" s="263"/>
      <c r="AH92" s="263"/>
      <c r="AI92" s="263"/>
      <c r="AJ92" s="263"/>
      <c r="AK92" s="263"/>
      <c r="AL92" s="45"/>
      <c r="AM92" s="45"/>
      <c r="AN92" s="45"/>
      <c r="AO92" s="45"/>
      <c r="AP92" s="45"/>
      <c r="AQ92" s="45"/>
      <c r="AR92" s="45"/>
      <c r="AS92" s="45"/>
      <c r="AT92" s="45"/>
      <c r="AU92" s="45"/>
    </row>
    <row r="93" ht="15.75" customHeight="1">
      <c r="A93" s="263" t="s">
        <v>361</v>
      </c>
      <c r="B93" s="304">
        <f>'Hypothèses'!$B$4*(1.015^1)</f>
        <v>263900</v>
      </c>
      <c r="C93" s="304">
        <f>'Hypothèses'!$B$4*(1.015^2)</f>
        <v>267858.5</v>
      </c>
      <c r="D93" s="304">
        <f>'Hypothèses'!$B$4*(1.015^3)</f>
        <v>271876.3775</v>
      </c>
      <c r="E93" s="304">
        <f>'Hypothèses'!$B$4*(1.015^4)</f>
        <v>275954.5232</v>
      </c>
      <c r="F93" s="304">
        <f>'Hypothèses'!$B$4*(1.015^5)</f>
        <v>280093.841</v>
      </c>
      <c r="G93" s="304">
        <f>'Hypothèses'!$B$4*(1.015^6)</f>
        <v>284295.2486</v>
      </c>
      <c r="H93" s="304">
        <f>'Hypothèses'!$B$4*(1.015^7)</f>
        <v>288559.6774</v>
      </c>
      <c r="I93" s="304">
        <f>'Hypothèses'!$B$4*(1.015^8)</f>
        <v>292888.0725</v>
      </c>
      <c r="J93" s="304">
        <f>'Hypothèses'!$B$4*(1.015^9)</f>
        <v>297281.3936</v>
      </c>
      <c r="K93" s="304">
        <f>'Hypothèses'!$B$4*(1.015^10)</f>
        <v>301740.6145</v>
      </c>
      <c r="L93" s="304">
        <f>'Hypothèses'!$B$4*(1.015^11)</f>
        <v>306266.7237</v>
      </c>
      <c r="M93" s="304">
        <f>'Hypothèses'!$B$4*(1.015^12)</f>
        <v>310860.7246</v>
      </c>
      <c r="N93" s="304">
        <f>'Hypothèses'!$B$4*(1.015^13)</f>
        <v>315523.6354</v>
      </c>
      <c r="O93" s="304">
        <f>'Hypothèses'!$B$4*(1.015^14)</f>
        <v>320256.49</v>
      </c>
      <c r="P93" s="304">
        <f>'Hypothèses'!$B$4*(1.015^15)</f>
        <v>325060.3373</v>
      </c>
      <c r="Q93" s="304">
        <f>'Hypothèses'!$B$4*(1.015^16)</f>
        <v>329936.2424</v>
      </c>
      <c r="R93" s="304">
        <f>'Hypothèses'!$B$4*(1.015^17)</f>
        <v>334885.286</v>
      </c>
      <c r="S93" s="304">
        <f>'Hypothèses'!$B$4*(1.015^18)</f>
        <v>339908.5653</v>
      </c>
      <c r="T93" s="304">
        <f>'Hypothèses'!$B$4*(1.015^19)</f>
        <v>345007.1938</v>
      </c>
      <c r="U93" s="304">
        <f>'Hypothèses'!$B$4*(1.015^20)</f>
        <v>350182.3017</v>
      </c>
      <c r="V93" s="304">
        <f>'Hypothèses'!$B$4*(1.015^21)</f>
        <v>355435.0362</v>
      </c>
      <c r="W93" s="304">
        <f>'Hypothèses'!$B$4*(1.015^22)</f>
        <v>360766.5618</v>
      </c>
      <c r="X93" s="304">
        <f>'Hypothèses'!$B$4*(1.015^23)</f>
        <v>366178.0602</v>
      </c>
      <c r="Y93" s="304">
        <f>'Hypothèses'!$B$4*(1.015^24)</f>
        <v>371670.7311</v>
      </c>
      <c r="Z93" s="304">
        <f>'Hypothèses'!$B$4*(1.015^25)</f>
        <v>377245.7921</v>
      </c>
      <c r="AA93" s="304"/>
      <c r="AB93" s="263"/>
      <c r="AC93" s="263"/>
      <c r="AD93" s="263"/>
      <c r="AE93" s="263"/>
      <c r="AF93" s="263"/>
      <c r="AG93" s="263"/>
      <c r="AH93" s="263"/>
      <c r="AI93" s="263"/>
      <c r="AJ93" s="263"/>
      <c r="AK93" s="263"/>
      <c r="AL93" s="45"/>
      <c r="AM93" s="45"/>
      <c r="AN93" s="45"/>
      <c r="AO93" s="45"/>
      <c r="AP93" s="45"/>
      <c r="AQ93" s="45"/>
      <c r="AR93" s="45"/>
      <c r="AS93" s="45"/>
      <c r="AT93" s="45"/>
      <c r="AU93" s="45"/>
    </row>
    <row r="94" ht="15.75" customHeight="1">
      <c r="A94" s="263" t="s">
        <v>362</v>
      </c>
      <c r="B94" s="304">
        <f>G4</f>
        <v>246179.3849</v>
      </c>
      <c r="C94" s="304">
        <f>G5</f>
        <v>239336.9546</v>
      </c>
      <c r="D94" s="304">
        <f>G6</f>
        <v>232265.2773</v>
      </c>
      <c r="E94" s="304">
        <f>G7</f>
        <v>224956.6724</v>
      </c>
      <c r="F94" s="304">
        <f>G8</f>
        <v>217403.2021</v>
      </c>
      <c r="G94" s="304">
        <f>G9</f>
        <v>209596.6623</v>
      </c>
      <c r="H94" s="304">
        <f>G10</f>
        <v>201528.5743</v>
      </c>
      <c r="I94" s="304">
        <f>G11</f>
        <v>193190.1753</v>
      </c>
      <c r="J94" s="304">
        <f>G12</f>
        <v>184572.4088</v>
      </c>
      <c r="K94" s="304">
        <f>G13</f>
        <v>175665.9151</v>
      </c>
      <c r="L94" s="304">
        <f>G14</f>
        <v>166461.0205</v>
      </c>
      <c r="M94" s="304">
        <f>G15</f>
        <v>156947.7277</v>
      </c>
      <c r="N94" s="304">
        <f>G16</f>
        <v>147115.7041</v>
      </c>
      <c r="O94" s="304">
        <f>G17</f>
        <v>136954.2711</v>
      </c>
      <c r="P94" s="304">
        <f>G18</f>
        <v>126452.3921</v>
      </c>
      <c r="Q94" s="304">
        <f>G19</f>
        <v>115598.6611</v>
      </c>
      <c r="R94" s="304">
        <f>G20</f>
        <v>104381.2896</v>
      </c>
      <c r="S94" s="304">
        <f>G21</f>
        <v>92788.09428</v>
      </c>
      <c r="T94" s="304">
        <f>G22</f>
        <v>80806.48373</v>
      </c>
      <c r="U94" s="304">
        <f>G23</f>
        <v>68423.44454</v>
      </c>
      <c r="V94" s="304">
        <f>G24</f>
        <v>55625.52737</v>
      </c>
      <c r="W94" s="304">
        <f>G25</f>
        <v>42398.83226</v>
      </c>
      <c r="X94" s="304">
        <f>G26</f>
        <v>28728.99354</v>
      </c>
      <c r="Y94" s="304">
        <f>G27</f>
        <v>14601.16425</v>
      </c>
      <c r="Z94" s="304">
        <f>G28</f>
        <v>0.000000002852175385</v>
      </c>
      <c r="AA94" s="304"/>
      <c r="AB94" s="263"/>
      <c r="AC94" s="263"/>
      <c r="AD94" s="263"/>
      <c r="AE94" s="263"/>
      <c r="AF94" s="263"/>
      <c r="AG94" s="263"/>
      <c r="AH94" s="263"/>
      <c r="AI94" s="263"/>
      <c r="AJ94" s="263"/>
      <c r="AK94" s="263"/>
      <c r="AL94" s="45"/>
      <c r="AM94" s="45"/>
      <c r="AN94" s="45"/>
      <c r="AO94" s="45"/>
      <c r="AP94" s="45"/>
      <c r="AQ94" s="45"/>
      <c r="AR94" s="45"/>
      <c r="AS94" s="45"/>
      <c r="AT94" s="45"/>
      <c r="AU94" s="45"/>
    </row>
    <row r="95" ht="15.75" customHeight="1">
      <c r="A95" s="263" t="s">
        <v>363</v>
      </c>
      <c r="B95" s="304">
        <f>AL4</f>
        <v>7280</v>
      </c>
      <c r="C95" s="304">
        <f>AL5</f>
        <v>14560</v>
      </c>
      <c r="D95" s="304">
        <f>AL6</f>
        <v>21840</v>
      </c>
      <c r="E95" s="304">
        <f>AL7</f>
        <v>29120</v>
      </c>
      <c r="F95" s="304">
        <f>AL8</f>
        <v>36400</v>
      </c>
      <c r="G95" s="304">
        <f>AL9</f>
        <v>43680</v>
      </c>
      <c r="H95" s="304">
        <f>AL10</f>
        <v>50960</v>
      </c>
      <c r="I95" s="304">
        <f>AL11</f>
        <v>58240</v>
      </c>
      <c r="J95" s="304">
        <f>AL12</f>
        <v>65520</v>
      </c>
      <c r="K95" s="304">
        <f>AL13</f>
        <v>72800</v>
      </c>
      <c r="L95" s="304">
        <f>AL14</f>
        <v>80080</v>
      </c>
      <c r="M95" s="304">
        <f>AL15</f>
        <v>87360</v>
      </c>
      <c r="N95" s="304">
        <f>AL16</f>
        <v>94640</v>
      </c>
      <c r="O95" s="304">
        <f>AL17</f>
        <v>101920</v>
      </c>
      <c r="P95" s="304">
        <f>AL18</f>
        <v>109200</v>
      </c>
      <c r="Q95" s="304">
        <f>AL19</f>
        <v>116480</v>
      </c>
      <c r="R95" s="304">
        <f>AL20</f>
        <v>123760</v>
      </c>
      <c r="S95" s="304">
        <f>AL21</f>
        <v>131040</v>
      </c>
      <c r="T95" s="304">
        <f>AL22</f>
        <v>138320</v>
      </c>
      <c r="U95" s="304">
        <f>AL23</f>
        <v>145600</v>
      </c>
      <c r="V95" s="304">
        <f>AL24</f>
        <v>152880</v>
      </c>
      <c r="W95" s="304">
        <f>AL25</f>
        <v>160160</v>
      </c>
      <c r="X95" s="304">
        <f>AL26</f>
        <v>167440</v>
      </c>
      <c r="Y95" s="304">
        <f>AL27</f>
        <v>174720</v>
      </c>
      <c r="Z95" s="304">
        <f>AL28</f>
        <v>182000</v>
      </c>
      <c r="AA95" s="304"/>
      <c r="AB95" s="263"/>
      <c r="AC95" s="263"/>
      <c r="AD95" s="263"/>
      <c r="AE95" s="263"/>
      <c r="AF95" s="263"/>
      <c r="AG95" s="263"/>
      <c r="AH95" s="263"/>
      <c r="AI95" s="263"/>
      <c r="AJ95" s="263"/>
      <c r="AK95" s="263"/>
      <c r="AL95" s="45"/>
      <c r="AM95" s="45"/>
      <c r="AN95" s="45"/>
      <c r="AO95" s="45"/>
      <c r="AP95" s="45"/>
      <c r="AQ95" s="45"/>
      <c r="AR95" s="45"/>
      <c r="AS95" s="45"/>
      <c r="AT95" s="45"/>
      <c r="AU95" s="45"/>
    </row>
    <row r="96" ht="15.75" customHeight="1">
      <c r="A96" s="263" t="s">
        <v>364</v>
      </c>
      <c r="B96" s="304">
        <f>AO4</f>
        <v>0</v>
      </c>
      <c r="C96" s="304">
        <f>AO5</f>
        <v>0</v>
      </c>
      <c r="D96" s="304">
        <f>AO6</f>
        <v>0</v>
      </c>
      <c r="E96" s="304">
        <f>AO7</f>
        <v>0</v>
      </c>
      <c r="F96" s="304">
        <f>AO8</f>
        <v>0</v>
      </c>
      <c r="G96" s="304">
        <f>AO9</f>
        <v>0.06</v>
      </c>
      <c r="H96" s="304">
        <f>AO10</f>
        <v>0.12</v>
      </c>
      <c r="I96" s="304">
        <f>AO11</f>
        <v>0.18</v>
      </c>
      <c r="J96" s="304">
        <f>AO12</f>
        <v>0.24</v>
      </c>
      <c r="K96" s="304">
        <f>AO13</f>
        <v>0.3</v>
      </c>
      <c r="L96" s="304">
        <f>AO14</f>
        <v>0.36</v>
      </c>
      <c r="M96" s="304">
        <f>AO15</f>
        <v>0.42</v>
      </c>
      <c r="N96" s="304">
        <f>AO16</f>
        <v>0.48</v>
      </c>
      <c r="O96" s="304">
        <f>AO17</f>
        <v>0.54</v>
      </c>
      <c r="P96" s="304">
        <f>AO18</f>
        <v>0.6</v>
      </c>
      <c r="Q96" s="304">
        <f>AO19</f>
        <v>0.66</v>
      </c>
      <c r="R96" s="304">
        <f>AO20</f>
        <v>0.72</v>
      </c>
      <c r="S96" s="304">
        <f>AO21</f>
        <v>0.78</v>
      </c>
      <c r="T96" s="304">
        <f>AO22</f>
        <v>0.84</v>
      </c>
      <c r="U96" s="304">
        <f>AO23</f>
        <v>0.9</v>
      </c>
      <c r="V96" s="304">
        <f>AO24</f>
        <v>0.96</v>
      </c>
      <c r="W96" s="304">
        <f>AO25</f>
        <v>1</v>
      </c>
      <c r="X96" s="304">
        <f>AO26</f>
        <v>1</v>
      </c>
      <c r="Y96" s="304">
        <f>AO27</f>
        <v>1</v>
      </c>
      <c r="Z96" s="304">
        <f>AO28</f>
        <v>1</v>
      </c>
      <c r="AA96" s="304"/>
      <c r="AB96" s="263"/>
      <c r="AC96" s="263"/>
      <c r="AD96" s="263"/>
      <c r="AE96" s="263"/>
      <c r="AF96" s="263"/>
      <c r="AG96" s="263"/>
      <c r="AH96" s="263"/>
      <c r="AI96" s="263"/>
      <c r="AJ96" s="263"/>
      <c r="AK96" s="263"/>
      <c r="AL96" s="45"/>
      <c r="AM96" s="45"/>
      <c r="AN96" s="45"/>
      <c r="AO96" s="45"/>
      <c r="AP96" s="45"/>
      <c r="AQ96" s="45"/>
      <c r="AR96" s="45"/>
      <c r="AS96" s="45"/>
      <c r="AT96" s="45"/>
      <c r="AU96" s="45"/>
    </row>
    <row r="97" ht="15.75" customHeight="1">
      <c r="A97" s="263" t="s">
        <v>365</v>
      </c>
      <c r="B97" s="304">
        <f>AQ4</f>
        <v>0</v>
      </c>
      <c r="C97" s="304">
        <f>AQ5</f>
        <v>0</v>
      </c>
      <c r="D97" s="304">
        <f>AQ6</f>
        <v>0</v>
      </c>
      <c r="E97" s="304">
        <f>AQ7</f>
        <v>0</v>
      </c>
      <c r="F97" s="304">
        <f>AQ8</f>
        <v>0</v>
      </c>
      <c r="G97" s="304">
        <f>AQ9</f>
        <v>0.0165</v>
      </c>
      <c r="H97" s="304">
        <f>AQ10</f>
        <v>0.033</v>
      </c>
      <c r="I97" s="304">
        <f>AQ11</f>
        <v>0.0495</v>
      </c>
      <c r="J97" s="304">
        <f>AQ12</f>
        <v>0.066</v>
      </c>
      <c r="K97" s="304">
        <f>AQ13</f>
        <v>0.0825</v>
      </c>
      <c r="L97" s="304">
        <f>AQ14</f>
        <v>0.099</v>
      </c>
      <c r="M97" s="304">
        <f>AQ15</f>
        <v>0.1155</v>
      </c>
      <c r="N97" s="304">
        <f>AQ16</f>
        <v>0.132</v>
      </c>
      <c r="O97" s="304">
        <f>AQ17</f>
        <v>0.1485</v>
      </c>
      <c r="P97" s="304">
        <f>AQ18</f>
        <v>0.165</v>
      </c>
      <c r="Q97" s="304">
        <f>AQ19</f>
        <v>0.1815</v>
      </c>
      <c r="R97" s="304">
        <f>AQ20</f>
        <v>0.198</v>
      </c>
      <c r="S97" s="304">
        <f>AQ21</f>
        <v>0.2145</v>
      </c>
      <c r="T97" s="304">
        <f>AQ22</f>
        <v>0.231</v>
      </c>
      <c r="U97" s="304">
        <f>AQ23</f>
        <v>0.2475</v>
      </c>
      <c r="V97" s="304">
        <f>AQ24</f>
        <v>0.264</v>
      </c>
      <c r="W97" s="304">
        <f>AQ25</f>
        <v>0.28</v>
      </c>
      <c r="X97" s="304">
        <f>AQ26</f>
        <v>0.37</v>
      </c>
      <c r="Y97" s="304">
        <f>AQ27</f>
        <v>0.46</v>
      </c>
      <c r="Z97" s="304">
        <f>AQ28</f>
        <v>0.55</v>
      </c>
      <c r="AA97" s="304"/>
      <c r="AB97" s="263"/>
      <c r="AC97" s="263"/>
      <c r="AD97" s="263"/>
      <c r="AE97" s="263"/>
      <c r="AF97" s="263"/>
      <c r="AG97" s="263"/>
      <c r="AH97" s="263"/>
      <c r="AI97" s="263"/>
      <c r="AJ97" s="263"/>
      <c r="AK97" s="263"/>
      <c r="AL97" s="45"/>
      <c r="AM97" s="45"/>
      <c r="AN97" s="45"/>
      <c r="AO97" s="45"/>
      <c r="AP97" s="45"/>
      <c r="AQ97" s="45"/>
      <c r="AR97" s="45"/>
      <c r="AS97" s="45"/>
      <c r="AT97" s="45"/>
      <c r="AU97" s="45"/>
    </row>
    <row r="98" ht="15.75" customHeight="1">
      <c r="A98" s="263" t="s">
        <v>366</v>
      </c>
      <c r="B98" s="304">
        <f>B92-('Hypothèses'!$B$4+MAX('Hypothèses'!$B$4*'Hypothèses'!$B$5,'Hypothèses'!$B$4*'Hypothèses'!$B$43)+IF(B91&gt;5,'Hypothèses'!$B$4*'Hypothèses'!$B$44,0)-B95)</f>
        <v>-12220</v>
      </c>
      <c r="C98" s="304">
        <f>C92-('Hypothèses'!$B$4+MAX('Hypothèses'!$B$4*'Hypothèses'!$B$5,'Hypothèses'!$B$4*'Hypothèses'!$B$43)+IF(C91&gt;5,'Hypothèses'!$B$4*'Hypothèses'!$B$44,0)-C95)</f>
        <v>-4940</v>
      </c>
      <c r="D98" s="304">
        <f>D92-('Hypothèses'!$B$4+MAX('Hypothèses'!$B$4*'Hypothèses'!$B$5,'Hypothèses'!$B$4*'Hypothèses'!$B$43)+IF(D91&gt;5,'Hypothèses'!$B$4*'Hypothèses'!$B$44,0)-D95)</f>
        <v>2340</v>
      </c>
      <c r="E98" s="304">
        <f>E92-('Hypothèses'!$B$4+MAX('Hypothèses'!$B$4*'Hypothèses'!$B$5,'Hypothèses'!$B$4*'Hypothèses'!$B$43)+IF(E91&gt;5,'Hypothèses'!$B$4*'Hypothèses'!$B$44,0)-E95)</f>
        <v>9620</v>
      </c>
      <c r="F98" s="304">
        <f>F92-('Hypothèses'!$B$4+MAX('Hypothèses'!$B$4*'Hypothèses'!$B$5,'Hypothèses'!$B$4*'Hypothèses'!$B$43)+IF(F91&gt;5,'Hypothèses'!$B$4*'Hypothèses'!$B$44,0)-F95)</f>
        <v>16900</v>
      </c>
      <c r="G98" s="304">
        <f>G92-('Hypothèses'!$B$4+MAX('Hypothèses'!$B$4*'Hypothèses'!$B$5,'Hypothèses'!$B$4*'Hypothèses'!$B$43)+IF(G91&gt;5,'Hypothèses'!$B$4*'Hypothèses'!$B$44,0)-G95)</f>
        <v>-14820</v>
      </c>
      <c r="H98" s="304">
        <f>H92-('Hypothèses'!$B$4+MAX('Hypothèses'!$B$4*'Hypothèses'!$B$5,'Hypothèses'!$B$4*'Hypothèses'!$B$43)+IF(H91&gt;5,'Hypothèses'!$B$4*'Hypothèses'!$B$44,0)-H95)</f>
        <v>-7540</v>
      </c>
      <c r="I98" s="304">
        <f>I92-('Hypothèses'!$B$4+MAX('Hypothèses'!$B$4*'Hypothèses'!$B$5,'Hypothèses'!$B$4*'Hypothèses'!$B$43)+IF(I91&gt;5,'Hypothèses'!$B$4*'Hypothèses'!$B$44,0)-I95)</f>
        <v>-260</v>
      </c>
      <c r="J98" s="304">
        <f>J92-('Hypothèses'!$B$4+MAX('Hypothèses'!$B$4*'Hypothèses'!$B$5,'Hypothèses'!$B$4*'Hypothèses'!$B$43)+IF(J91&gt;5,'Hypothèses'!$B$4*'Hypothèses'!$B$44,0)-J95)</f>
        <v>7020</v>
      </c>
      <c r="K98" s="304">
        <f>K92-('Hypothèses'!$B$4+MAX('Hypothèses'!$B$4*'Hypothèses'!$B$5,'Hypothèses'!$B$4*'Hypothèses'!$B$43)+IF(K91&gt;5,'Hypothèses'!$B$4*'Hypothèses'!$B$44,0)-K95)</f>
        <v>14300</v>
      </c>
      <c r="L98" s="304">
        <f>L92-('Hypothèses'!$B$4+MAX('Hypothèses'!$B$4*'Hypothèses'!$B$5,'Hypothèses'!$B$4*'Hypothèses'!$B$43)+IF(L91&gt;5,'Hypothèses'!$B$4*'Hypothèses'!$B$44,0)-L95)</f>
        <v>21580</v>
      </c>
      <c r="M98" s="304">
        <f>M92-('Hypothèses'!$B$4+MAX('Hypothèses'!$B$4*'Hypothèses'!$B$5,'Hypothèses'!$B$4*'Hypothèses'!$B$43)+IF(M91&gt;5,'Hypothèses'!$B$4*'Hypothèses'!$B$44,0)-M95)</f>
        <v>28860</v>
      </c>
      <c r="N98" s="304">
        <f>N92-('Hypothèses'!$B$4+MAX('Hypothèses'!$B$4*'Hypothèses'!$B$5,'Hypothèses'!$B$4*'Hypothèses'!$B$43)+IF(N91&gt;5,'Hypothèses'!$B$4*'Hypothèses'!$B$44,0)-N95)</f>
        <v>36140</v>
      </c>
      <c r="O98" s="304">
        <f>O92-('Hypothèses'!$B$4+MAX('Hypothèses'!$B$4*'Hypothèses'!$B$5,'Hypothèses'!$B$4*'Hypothèses'!$B$43)+IF(O91&gt;5,'Hypothèses'!$B$4*'Hypothèses'!$B$44,0)-O95)</f>
        <v>43420</v>
      </c>
      <c r="P98" s="304">
        <f>P92-('Hypothèses'!$B$4+MAX('Hypothèses'!$B$4*'Hypothèses'!$B$5,'Hypothèses'!$B$4*'Hypothèses'!$B$43)+IF(P91&gt;5,'Hypothèses'!$B$4*'Hypothèses'!$B$44,0)-P95)</f>
        <v>50700</v>
      </c>
      <c r="Q98" s="304">
        <f>Q92-('Hypothèses'!$B$4+MAX('Hypothèses'!$B$4*'Hypothèses'!$B$5,'Hypothèses'!$B$4*'Hypothèses'!$B$43)+IF(Q91&gt;5,'Hypothèses'!$B$4*'Hypothèses'!$B$44,0)-Q95)</f>
        <v>57980</v>
      </c>
      <c r="R98" s="304">
        <f>R92-('Hypothèses'!$B$4+MAX('Hypothèses'!$B$4*'Hypothèses'!$B$5,'Hypothèses'!$B$4*'Hypothèses'!$B$43)+IF(R91&gt;5,'Hypothèses'!$B$4*'Hypothèses'!$B$44,0)-R95)</f>
        <v>65260</v>
      </c>
      <c r="S98" s="304">
        <f>S92-('Hypothèses'!$B$4+MAX('Hypothèses'!$B$4*'Hypothèses'!$B$5,'Hypothèses'!$B$4*'Hypothèses'!$B$43)+IF(S91&gt;5,'Hypothèses'!$B$4*'Hypothèses'!$B$44,0)-S95)</f>
        <v>72540</v>
      </c>
      <c r="T98" s="304">
        <f>T92-('Hypothèses'!$B$4+MAX('Hypothèses'!$B$4*'Hypothèses'!$B$5,'Hypothèses'!$B$4*'Hypothèses'!$B$43)+IF(T91&gt;5,'Hypothèses'!$B$4*'Hypothèses'!$B$44,0)-T95)</f>
        <v>79820</v>
      </c>
      <c r="U98" s="304">
        <f>U92-('Hypothèses'!$B$4+MAX('Hypothèses'!$B$4*'Hypothèses'!$B$5,'Hypothèses'!$B$4*'Hypothèses'!$B$43)+IF(U91&gt;5,'Hypothèses'!$B$4*'Hypothèses'!$B$44,0)-U95)</f>
        <v>87100</v>
      </c>
      <c r="V98" s="304">
        <f>V92-('Hypothèses'!$B$4+MAX('Hypothèses'!$B$4*'Hypothèses'!$B$5,'Hypothèses'!$B$4*'Hypothèses'!$B$43)+IF(V91&gt;5,'Hypothèses'!$B$4*'Hypothèses'!$B$44,0)-V95)</f>
        <v>94380</v>
      </c>
      <c r="W98" s="304">
        <f>W92-('Hypothèses'!$B$4+MAX('Hypothèses'!$B$4*'Hypothèses'!$B$5,'Hypothèses'!$B$4*'Hypothèses'!$B$43)+IF(W91&gt;5,'Hypothèses'!$B$4*'Hypothèses'!$B$44,0)-W95)</f>
        <v>101660</v>
      </c>
      <c r="X98" s="304">
        <f>X92-('Hypothèses'!$B$4+MAX('Hypothèses'!$B$4*'Hypothèses'!$B$5,'Hypothèses'!$B$4*'Hypothèses'!$B$43)+IF(X91&gt;5,'Hypothèses'!$B$4*'Hypothèses'!$B$44,0)-X95)</f>
        <v>108940</v>
      </c>
      <c r="Y98" s="304">
        <f>Y92-('Hypothèses'!$B$4+MAX('Hypothèses'!$B$4*'Hypothèses'!$B$5,'Hypothèses'!$B$4*'Hypothèses'!$B$43)+IF(Y91&gt;5,'Hypothèses'!$B$4*'Hypothèses'!$B$44,0)-Y95)</f>
        <v>116220</v>
      </c>
      <c r="Z98" s="304">
        <f>Z92-('Hypothèses'!$B$4+MAX('Hypothèses'!$B$4*'Hypothèses'!$B$5,'Hypothèses'!$B$4*'Hypothèses'!$B$43)+IF(Z91&gt;5,'Hypothèses'!$B$4*'Hypothèses'!$B$44,0)-Z95)</f>
        <v>123500</v>
      </c>
      <c r="AA98" s="304"/>
      <c r="AB98" s="263"/>
      <c r="AC98" s="263"/>
      <c r="AD98" s="263"/>
      <c r="AE98" s="263"/>
      <c r="AF98" s="263"/>
      <c r="AG98" s="263"/>
      <c r="AH98" s="263"/>
      <c r="AI98" s="263"/>
      <c r="AJ98" s="263"/>
      <c r="AK98" s="263"/>
      <c r="AL98" s="45"/>
      <c r="AM98" s="45"/>
      <c r="AN98" s="45"/>
      <c r="AO98" s="45"/>
      <c r="AP98" s="45"/>
      <c r="AQ98" s="45"/>
      <c r="AR98" s="45"/>
      <c r="AS98" s="45"/>
      <c r="AT98" s="45"/>
      <c r="AU98" s="45"/>
    </row>
    <row r="99" ht="15.75" customHeight="1">
      <c r="A99" s="263" t="s">
        <v>367</v>
      </c>
      <c r="B99" s="304">
        <f t="shared" ref="B99:Z99" si="25">MAX(0,B98*(1-B96))</f>
        <v>0</v>
      </c>
      <c r="C99" s="304">
        <f t="shared" si="25"/>
        <v>0</v>
      </c>
      <c r="D99" s="304">
        <f t="shared" si="25"/>
        <v>2340</v>
      </c>
      <c r="E99" s="304">
        <f t="shared" si="25"/>
        <v>9620</v>
      </c>
      <c r="F99" s="304">
        <f t="shared" si="25"/>
        <v>16900</v>
      </c>
      <c r="G99" s="304">
        <f t="shared" si="25"/>
        <v>0</v>
      </c>
      <c r="H99" s="304">
        <f t="shared" si="25"/>
        <v>0</v>
      </c>
      <c r="I99" s="304">
        <f t="shared" si="25"/>
        <v>0</v>
      </c>
      <c r="J99" s="304">
        <f t="shared" si="25"/>
        <v>5335.2</v>
      </c>
      <c r="K99" s="304">
        <f t="shared" si="25"/>
        <v>10010</v>
      </c>
      <c r="L99" s="304">
        <f t="shared" si="25"/>
        <v>13811.2</v>
      </c>
      <c r="M99" s="304">
        <f t="shared" si="25"/>
        <v>16738.8</v>
      </c>
      <c r="N99" s="304">
        <f t="shared" si="25"/>
        <v>18792.8</v>
      </c>
      <c r="O99" s="304">
        <f t="shared" si="25"/>
        <v>19973.2</v>
      </c>
      <c r="P99" s="304">
        <f t="shared" si="25"/>
        <v>20280</v>
      </c>
      <c r="Q99" s="304">
        <f t="shared" si="25"/>
        <v>19713.2</v>
      </c>
      <c r="R99" s="304">
        <f t="shared" si="25"/>
        <v>18272.8</v>
      </c>
      <c r="S99" s="304">
        <f t="shared" si="25"/>
        <v>15958.8</v>
      </c>
      <c r="T99" s="304">
        <f t="shared" si="25"/>
        <v>12771.2</v>
      </c>
      <c r="U99" s="304">
        <f t="shared" si="25"/>
        <v>8710</v>
      </c>
      <c r="V99" s="304">
        <f t="shared" si="25"/>
        <v>3775.2</v>
      </c>
      <c r="W99" s="304">
        <f t="shared" si="25"/>
        <v>0</v>
      </c>
      <c r="X99" s="304">
        <f t="shared" si="25"/>
        <v>0</v>
      </c>
      <c r="Y99" s="304">
        <f t="shared" si="25"/>
        <v>0</v>
      </c>
      <c r="Z99" s="304">
        <f t="shared" si="25"/>
        <v>0</v>
      </c>
      <c r="AA99" s="304"/>
      <c r="AB99" s="263"/>
      <c r="AC99" s="263"/>
      <c r="AD99" s="263"/>
      <c r="AE99" s="263"/>
      <c r="AF99" s="263"/>
      <c r="AG99" s="263"/>
      <c r="AH99" s="263"/>
      <c r="AI99" s="263"/>
      <c r="AJ99" s="263"/>
      <c r="AK99" s="263"/>
      <c r="AL99" s="45"/>
      <c r="AM99" s="45"/>
      <c r="AN99" s="45"/>
      <c r="AO99" s="45"/>
      <c r="AP99" s="45"/>
      <c r="AQ99" s="45"/>
      <c r="AR99" s="45"/>
      <c r="AS99" s="45"/>
      <c r="AT99" s="45"/>
      <c r="AU99" s="45"/>
    </row>
    <row r="100" ht="15.75" customHeight="1">
      <c r="A100" s="263" t="s">
        <v>368</v>
      </c>
      <c r="B100" s="304">
        <f t="shared" ref="B100:Z100" si="26">MAX(0,B98*(1-B97))</f>
        <v>0</v>
      </c>
      <c r="C100" s="304">
        <f t="shared" si="26"/>
        <v>0</v>
      </c>
      <c r="D100" s="304">
        <f t="shared" si="26"/>
        <v>2340</v>
      </c>
      <c r="E100" s="304">
        <f t="shared" si="26"/>
        <v>9620</v>
      </c>
      <c r="F100" s="304">
        <f t="shared" si="26"/>
        <v>16900</v>
      </c>
      <c r="G100" s="304">
        <f t="shared" si="26"/>
        <v>0</v>
      </c>
      <c r="H100" s="304">
        <f t="shared" si="26"/>
        <v>0</v>
      </c>
      <c r="I100" s="304">
        <f t="shared" si="26"/>
        <v>0</v>
      </c>
      <c r="J100" s="304">
        <f t="shared" si="26"/>
        <v>6556.68</v>
      </c>
      <c r="K100" s="304">
        <f t="shared" si="26"/>
        <v>13120.25</v>
      </c>
      <c r="L100" s="304">
        <f t="shared" si="26"/>
        <v>19443.58</v>
      </c>
      <c r="M100" s="304">
        <f t="shared" si="26"/>
        <v>25526.67</v>
      </c>
      <c r="N100" s="304">
        <f t="shared" si="26"/>
        <v>31369.52</v>
      </c>
      <c r="O100" s="304">
        <f t="shared" si="26"/>
        <v>36972.13</v>
      </c>
      <c r="P100" s="304">
        <f t="shared" si="26"/>
        <v>42334.5</v>
      </c>
      <c r="Q100" s="304">
        <f t="shared" si="26"/>
        <v>47456.63</v>
      </c>
      <c r="R100" s="304">
        <f t="shared" si="26"/>
        <v>52338.52</v>
      </c>
      <c r="S100" s="304">
        <f t="shared" si="26"/>
        <v>56980.17</v>
      </c>
      <c r="T100" s="304">
        <f t="shared" si="26"/>
        <v>61381.58</v>
      </c>
      <c r="U100" s="304">
        <f t="shared" si="26"/>
        <v>65542.75</v>
      </c>
      <c r="V100" s="304">
        <f t="shared" si="26"/>
        <v>69463.68</v>
      </c>
      <c r="W100" s="304">
        <f t="shared" si="26"/>
        <v>73195.2</v>
      </c>
      <c r="X100" s="304">
        <f t="shared" si="26"/>
        <v>68632.2</v>
      </c>
      <c r="Y100" s="304">
        <f t="shared" si="26"/>
        <v>62758.8</v>
      </c>
      <c r="Z100" s="304">
        <f t="shared" si="26"/>
        <v>55575</v>
      </c>
      <c r="AA100" s="304"/>
      <c r="AB100" s="263"/>
      <c r="AC100" s="263"/>
      <c r="AD100" s="263"/>
      <c r="AE100" s="263"/>
      <c r="AF100" s="263"/>
      <c r="AG100" s="263"/>
      <c r="AH100" s="263"/>
      <c r="AI100" s="263"/>
      <c r="AJ100" s="263"/>
      <c r="AK100" s="263"/>
      <c r="AL100" s="45"/>
      <c r="AM100" s="45"/>
      <c r="AN100" s="45"/>
      <c r="AO100" s="45"/>
      <c r="AP100" s="45"/>
      <c r="AQ100" s="45"/>
      <c r="AR100" s="45"/>
      <c r="AS100" s="45"/>
      <c r="AT100" s="45"/>
      <c r="AU100" s="45"/>
    </row>
    <row r="101" ht="15.75" customHeight="1">
      <c r="A101" s="263" t="s">
        <v>369</v>
      </c>
      <c r="B101" s="304">
        <f>IF(B98&lt;=0,0,B99*'Hypothèses'!$B$45+B100*'Hypothèses'!$B$46+IF(B99&lt;=50000,0,IF(B99&lt;=60000,B99*0.02-(60000-B99)/20,IF(B99&lt;=100000,B99*0.02,IF(B99&lt;=110000,B99*0.03-(110000-B99)/10,IF(B99&lt;=150000,B99*0.03,IF(B99&lt;=160000,B99*0.04-(160000-B99)*3/20,IF(B99&lt;=200000,B99*0.04,IF(B99&lt;=210000,B99*0.05-(210000-B99)/5,IF(B99&lt;=250000,B99*0.05,IF(B99&lt;=260000,B99*0.06-(260000-B99)/4,B99*0.06)))))))))))</f>
        <v>0</v>
      </c>
      <c r="C101" s="304">
        <f>IF(C98&lt;=0,0,C99*'Hypothèses'!$B$45+C100*'Hypothèses'!$B$46+IF(C99&lt;=50000,0,IF(C99&lt;=60000,C99*0.02-(60000-C99)/20,IF(C99&lt;=100000,C99*0.02,IF(C99&lt;=110000,C99*0.03-(110000-C99)/10,IF(C99&lt;=150000,C99*0.03,IF(C99&lt;=160000,C99*0.04-(160000-C99)*3/20,IF(C99&lt;=200000,C99*0.04,IF(C99&lt;=210000,C99*0.05-(210000-C99)/5,IF(C99&lt;=250000,C99*0.05,IF(C99&lt;=260000,C99*0.06-(260000-C99)/4,C99*0.06)))))))))))</f>
        <v>0</v>
      </c>
      <c r="D101" s="304">
        <f>IF(D98&lt;=0,0,D99*'Hypothèses'!$B$45+D100*'Hypothèses'!$B$46+IF(D99&lt;=50000,0,IF(D99&lt;=60000,D99*0.02-(60000-D99)/20,IF(D99&lt;=100000,D99*0.02,IF(D99&lt;=110000,D99*0.03-(110000-D99)/10,IF(D99&lt;=150000,D99*0.03,IF(D99&lt;=160000,D99*0.04-(160000-D99)*3/20,IF(D99&lt;=200000,D99*0.04,IF(D99&lt;=210000,D99*0.05-(210000-D99)/5,IF(D99&lt;=250000,D99*0.05,IF(D99&lt;=260000,D99*0.06-(260000-D99)/4,D99*0.06)))))))))))</f>
        <v>847.08</v>
      </c>
      <c r="E101" s="304">
        <f>IF(E98&lt;=0,0,E99*'Hypothèses'!$B$45+E100*'Hypothèses'!$B$46+IF(E99&lt;=50000,0,IF(E99&lt;=60000,E99*0.02-(60000-E99)/20,IF(E99&lt;=100000,E99*0.02,IF(E99&lt;=110000,E99*0.03-(110000-E99)/10,IF(E99&lt;=150000,E99*0.03,IF(E99&lt;=160000,E99*0.04-(160000-E99)*3/20,IF(E99&lt;=200000,E99*0.04,IF(E99&lt;=210000,E99*0.05-(210000-E99)/5,IF(E99&lt;=250000,E99*0.05,IF(E99&lt;=260000,E99*0.06-(260000-E99)/4,E99*0.06)))))))))))</f>
        <v>3482.44</v>
      </c>
      <c r="F101" s="304">
        <f>IF(F98&lt;=0,0,F99*'Hypothèses'!$B$45+F100*'Hypothèses'!$B$46+IF(F99&lt;=50000,0,IF(F99&lt;=60000,F99*0.02-(60000-F99)/20,IF(F99&lt;=100000,F99*0.02,IF(F99&lt;=110000,F99*0.03-(110000-F99)/10,IF(F99&lt;=150000,F99*0.03,IF(F99&lt;=160000,F99*0.04-(160000-F99)*3/20,IF(F99&lt;=200000,F99*0.04,IF(F99&lt;=210000,F99*0.05-(210000-F99)/5,IF(F99&lt;=250000,F99*0.05,IF(F99&lt;=260000,F99*0.06-(260000-F99)/4,F99*0.06)))))))))))</f>
        <v>6117.8</v>
      </c>
      <c r="G101" s="304">
        <f>IF(G98&lt;=0,0,G99*'Hypothèses'!$B$45+G100*'Hypothèses'!$B$46+IF(G99&lt;=50000,0,IF(G99&lt;=60000,G99*0.02-(60000-G99)/20,IF(G99&lt;=100000,G99*0.02,IF(G99&lt;=110000,G99*0.03-(110000-G99)/10,IF(G99&lt;=150000,G99*0.03,IF(G99&lt;=160000,G99*0.04-(160000-G99)*3/20,IF(G99&lt;=200000,G99*0.04,IF(G99&lt;=210000,G99*0.05-(210000-G99)/5,IF(G99&lt;=250000,G99*0.05,IF(G99&lt;=260000,G99*0.06-(260000-G99)/4,G99*0.06)))))))))))</f>
        <v>0</v>
      </c>
      <c r="H101" s="304">
        <f>IF(H98&lt;=0,0,H99*'Hypothèses'!$B$45+H100*'Hypothèses'!$B$46+IF(H99&lt;=50000,0,IF(H99&lt;=60000,H99*0.02-(60000-H99)/20,IF(H99&lt;=100000,H99*0.02,IF(H99&lt;=110000,H99*0.03-(110000-H99)/10,IF(H99&lt;=150000,H99*0.03,IF(H99&lt;=160000,H99*0.04-(160000-H99)*3/20,IF(H99&lt;=200000,H99*0.04,IF(H99&lt;=210000,H99*0.05-(210000-H99)/5,IF(H99&lt;=250000,H99*0.05,IF(H99&lt;=260000,H99*0.06-(260000-H99)/4,H99*0.06)))))))))))</f>
        <v>0</v>
      </c>
      <c r="I101" s="304">
        <f>IF(I98&lt;=0,0,I99*'Hypothèses'!$B$45+I100*'Hypothèses'!$B$46+IF(I99&lt;=50000,0,IF(I99&lt;=60000,I99*0.02-(60000-I99)/20,IF(I99&lt;=100000,I99*0.02,IF(I99&lt;=110000,I99*0.03-(110000-I99)/10,IF(I99&lt;=150000,I99*0.03,IF(I99&lt;=160000,I99*0.04-(160000-I99)*3/20,IF(I99&lt;=200000,I99*0.04,IF(I99&lt;=210000,I99*0.05-(210000-I99)/5,IF(I99&lt;=250000,I99*0.05,IF(I99&lt;=260000,I99*0.06-(260000-I99)/4,I99*0.06)))))))))))</f>
        <v>0</v>
      </c>
      <c r="J101" s="304">
        <f>IF(J98&lt;=0,0,J99*'Hypothèses'!$B$45+J100*'Hypothèses'!$B$46+IF(J99&lt;=50000,0,IF(J99&lt;=60000,J99*0.02-(60000-J99)/20,IF(J99&lt;=100000,J99*0.02,IF(J99&lt;=110000,J99*0.03-(110000-J99)/10,IF(J99&lt;=150000,J99*0.03,IF(J99&lt;=160000,J99*0.04-(160000-J99)*3/20,IF(J99&lt;=200000,J99*0.04,IF(J99&lt;=210000,J99*0.05-(210000-J99)/5,IF(J99&lt;=250000,J99*0.05,IF(J99&lt;=260000,J99*0.06-(260000-J99)/4,J99*0.06)))))))))))</f>
        <v>2141.43696</v>
      </c>
      <c r="K101" s="304">
        <f>IF(K98&lt;=0,0,K99*'Hypothèses'!$B$45+K100*'Hypothèses'!$B$46+IF(K99&lt;=50000,0,IF(K99&lt;=60000,K99*0.02-(60000-K99)/20,IF(K99&lt;=100000,K99*0.02,IF(K99&lt;=110000,K99*0.03-(110000-K99)/10,IF(K99&lt;=150000,K99*0.03,IF(K99&lt;=160000,K99*0.04-(160000-K99)*3/20,IF(K99&lt;=200000,K99*0.04,IF(K99&lt;=210000,K99*0.05-(210000-K99)/5,IF(K99&lt;=250000,K99*0.05,IF(K99&lt;=260000,K99*0.06-(260000-K99)/4,K99*0.06)))))))))))</f>
        <v>4158.583</v>
      </c>
      <c r="L101" s="304">
        <f>IF(L98&lt;=0,0,L99*'Hypothèses'!$B$45+L100*'Hypothèses'!$B$46+IF(L99&lt;=50000,0,IF(L99&lt;=60000,L99*0.02-(60000-L99)/20,IF(L99&lt;=100000,L99*0.02,IF(L99&lt;=110000,L99*0.03-(110000-L99)/10,IF(L99&lt;=150000,L99*0.03,IF(L99&lt;=160000,L99*0.04-(160000-L99)*3/20,IF(L99&lt;=200000,L99*0.04,IF(L99&lt;=210000,L99*0.05-(210000-L99)/5,IF(L99&lt;=250000,L99*0.05,IF(L99&lt;=260000,L99*0.06-(260000-L99)/4,L99*0.06)))))))))))</f>
        <v>5968.42376</v>
      </c>
      <c r="M101" s="304">
        <f>IF(M98&lt;=0,0,M99*'Hypothèses'!$B$45+M100*'Hypothèses'!$B$46+IF(M99&lt;=50000,0,IF(M99&lt;=60000,M99*0.02-(60000-M99)/20,IF(M99&lt;=100000,M99*0.02,IF(M99&lt;=110000,M99*0.03-(110000-M99)/10,IF(M99&lt;=150000,M99*0.03,IF(M99&lt;=160000,M99*0.04-(160000-M99)*3/20,IF(M99&lt;=200000,M99*0.04,IF(M99&lt;=210000,M99*0.05-(210000-M99)/5,IF(M99&lt;=250000,M99*0.05,IF(M99&lt;=260000,M99*0.06-(260000-M99)/4,M99*0.06)))))))))))</f>
        <v>7570.95924</v>
      </c>
      <c r="N101" s="304">
        <f>IF(N98&lt;=0,0,N99*'Hypothèses'!$B$45+N100*'Hypothèses'!$B$46+IF(N99&lt;=50000,0,IF(N99&lt;=60000,N99*0.02-(60000-N99)/20,IF(N99&lt;=100000,N99*0.02,IF(N99&lt;=110000,N99*0.03-(110000-N99)/10,IF(N99&lt;=150000,N99*0.03,IF(N99&lt;=160000,N99*0.04-(160000-N99)*3/20,IF(N99&lt;=200000,N99*0.04,IF(N99&lt;=210000,N99*0.05-(210000-N99)/5,IF(N99&lt;=250000,N99*0.05,IF(N99&lt;=260000,N99*0.06-(260000-N99)/4,N99*0.06)))))))))))</f>
        <v>8966.18944</v>
      </c>
      <c r="O101" s="304">
        <f>IF(O98&lt;=0,0,O99*'Hypothèses'!$B$45+O100*'Hypothèses'!$B$46+IF(O99&lt;=50000,0,IF(O99&lt;=60000,O99*0.02-(60000-O99)/20,IF(O99&lt;=100000,O99*0.02,IF(O99&lt;=110000,O99*0.03-(110000-O99)/10,IF(O99&lt;=150000,O99*0.03,IF(O99&lt;=160000,O99*0.04-(160000-O99)*3/20,IF(O99&lt;=200000,O99*0.04,IF(O99&lt;=210000,O99*0.05-(210000-O99)/5,IF(O99&lt;=250000,O99*0.05,IF(O99&lt;=260000,O99*0.06-(260000-O99)/4,O99*0.06)))))))))))</f>
        <v>10154.11436</v>
      </c>
      <c r="P101" s="304">
        <f>IF(P98&lt;=0,0,P99*'Hypothèses'!$B$45+P100*'Hypothèses'!$B$46+IF(P99&lt;=50000,0,IF(P99&lt;=60000,P99*0.02-(60000-P99)/20,IF(P99&lt;=100000,P99*0.02,IF(P99&lt;=110000,P99*0.03-(110000-P99)/10,IF(P99&lt;=150000,P99*0.03,IF(P99&lt;=160000,P99*0.04-(160000-P99)*3/20,IF(P99&lt;=200000,P99*0.04,IF(P99&lt;=210000,P99*0.05-(210000-P99)/5,IF(P99&lt;=250000,P99*0.05,IF(P99&lt;=260000,P99*0.06-(260000-P99)/4,P99*0.06)))))))))))</f>
        <v>11134.734</v>
      </c>
      <c r="Q101" s="304">
        <f>IF(Q98&lt;=0,0,Q99*'Hypothèses'!$B$45+Q100*'Hypothèses'!$B$46+IF(Q99&lt;=50000,0,IF(Q99&lt;=60000,Q99*0.02-(60000-Q99)/20,IF(Q99&lt;=100000,Q99*0.02,IF(Q99&lt;=110000,Q99*0.03-(110000-Q99)/10,IF(Q99&lt;=150000,Q99*0.03,IF(Q99&lt;=160000,Q99*0.04-(160000-Q99)*3/20,IF(Q99&lt;=200000,Q99*0.04,IF(Q99&lt;=210000,Q99*0.05-(210000-Q99)/5,IF(Q99&lt;=250000,Q99*0.05,IF(Q99&lt;=260000,Q99*0.06-(260000-Q99)/4,Q99*0.06)))))))))))</f>
        <v>11908.04836</v>
      </c>
      <c r="R101" s="304">
        <f>IF(R98&lt;=0,0,R99*'Hypothèses'!$B$45+R100*'Hypothèses'!$B$46+IF(R99&lt;=50000,0,IF(R99&lt;=60000,R99*0.02-(60000-R99)/20,IF(R99&lt;=100000,R99*0.02,IF(R99&lt;=110000,R99*0.03-(110000-R99)/10,IF(R99&lt;=150000,R99*0.03,IF(R99&lt;=160000,R99*0.04-(160000-R99)*3/20,IF(R99&lt;=200000,R99*0.04,IF(R99&lt;=210000,R99*0.05-(210000-R99)/5,IF(R99&lt;=250000,R99*0.05,IF(R99&lt;=260000,R99*0.06-(260000-R99)/4,R99*0.06)))))))))))</f>
        <v>12474.05744</v>
      </c>
      <c r="S101" s="304">
        <f>IF(S98&lt;=0,0,S99*'Hypothèses'!$B$45+S100*'Hypothèses'!$B$46+IF(S99&lt;=50000,0,IF(S99&lt;=60000,S99*0.02-(60000-S99)/20,IF(S99&lt;=100000,S99*0.02,IF(S99&lt;=110000,S99*0.03-(110000-S99)/10,IF(S99&lt;=150000,S99*0.03,IF(S99&lt;=160000,S99*0.04-(160000-S99)*3/20,IF(S99&lt;=200000,S99*0.04,IF(S99&lt;=210000,S99*0.05-(210000-S99)/5,IF(S99&lt;=250000,S99*0.05,IF(S99&lt;=260000,S99*0.06-(260000-S99)/4,S99*0.06)))))))))))</f>
        <v>12832.76124</v>
      </c>
      <c r="T101" s="304">
        <f>IF(T98&lt;=0,0,T99*'Hypothèses'!$B$45+T100*'Hypothèses'!$B$46+IF(T99&lt;=50000,0,IF(T99&lt;=60000,T99*0.02-(60000-T99)/20,IF(T99&lt;=100000,T99*0.02,IF(T99&lt;=110000,T99*0.03-(110000-T99)/10,IF(T99&lt;=150000,T99*0.03,IF(T99&lt;=160000,T99*0.04-(160000-T99)*3/20,IF(T99&lt;=200000,T99*0.04,IF(T99&lt;=210000,T99*0.05-(210000-T99)/5,IF(T99&lt;=250000,T99*0.05,IF(T99&lt;=260000,T99*0.06-(260000-T99)/4,T99*0.06)))))))))))</f>
        <v>12984.15976</v>
      </c>
      <c r="U101" s="304">
        <f>IF(U98&lt;=0,0,U99*'Hypothèses'!$B$45+U100*'Hypothèses'!$B$46+IF(U99&lt;=50000,0,IF(U99&lt;=60000,U99*0.02-(60000-U99)/20,IF(U99&lt;=100000,U99*0.02,IF(U99&lt;=110000,U99*0.03-(110000-U99)/10,IF(U99&lt;=150000,U99*0.03,IF(U99&lt;=160000,U99*0.04-(160000-U99)*3/20,IF(U99&lt;=200000,U99*0.04,IF(U99&lt;=210000,U99*0.05-(210000-U99)/5,IF(U99&lt;=250000,U99*0.05,IF(U99&lt;=260000,U99*0.06-(260000-U99)/4,U99*0.06)))))))))))</f>
        <v>12928.253</v>
      </c>
      <c r="V101" s="304">
        <f>IF(V98&lt;=0,0,V99*'Hypothèses'!$B$45+V100*'Hypothèses'!$B$46+IF(V99&lt;=50000,0,IF(V99&lt;=60000,V99*0.02-(60000-V99)/20,IF(V99&lt;=100000,V99*0.02,IF(V99&lt;=110000,V99*0.03-(110000-V99)/10,IF(V99&lt;=150000,V99*0.03,IF(V99&lt;=160000,V99*0.04-(160000-V99)*3/20,IF(V99&lt;=200000,V99*0.04,IF(V99&lt;=210000,V99*0.05-(210000-V99)/5,IF(V99&lt;=250000,V99*0.05,IF(V99&lt;=260000,V99*0.06-(260000-V99)/4,V99*0.06)))))))))))</f>
        <v>12665.04096</v>
      </c>
      <c r="W101" s="304">
        <f>IF(W98&lt;=0,0,W99*'Hypothèses'!$B$45+W100*'Hypothèses'!$B$46+IF(W99&lt;=50000,0,IF(W99&lt;=60000,W99*0.02-(60000-W99)/20,IF(W99&lt;=100000,W99*0.02,IF(W99&lt;=110000,W99*0.03-(110000-W99)/10,IF(W99&lt;=150000,W99*0.03,IF(W99&lt;=160000,W99*0.04-(160000-W99)*3/20,IF(W99&lt;=200000,W99*0.04,IF(W99&lt;=210000,W99*0.05-(210000-W99)/5,IF(W99&lt;=250000,W99*0.05,IF(W99&lt;=260000,W99*0.06-(260000-W99)/4,W99*0.06)))))))))))</f>
        <v>12589.5744</v>
      </c>
      <c r="X101" s="304">
        <f>IF(X98&lt;=0,0,X99*'Hypothèses'!$B$45+X100*'Hypothèses'!$B$46+IF(X99&lt;=50000,0,IF(X99&lt;=60000,X99*0.02-(60000-X99)/20,IF(X99&lt;=100000,X99*0.02,IF(X99&lt;=110000,X99*0.03-(110000-X99)/10,IF(X99&lt;=150000,X99*0.03,IF(X99&lt;=160000,X99*0.04-(160000-X99)*3/20,IF(X99&lt;=200000,X99*0.04,IF(X99&lt;=210000,X99*0.05-(210000-X99)/5,IF(X99&lt;=250000,X99*0.05,IF(X99&lt;=260000,X99*0.06-(260000-X99)/4,X99*0.06)))))))))))</f>
        <v>11804.7384</v>
      </c>
      <c r="Y101" s="304">
        <f>IF(Y98&lt;=0,0,Y99*'Hypothèses'!$B$45+Y100*'Hypothèses'!$B$46+IF(Y99&lt;=50000,0,IF(Y99&lt;=60000,Y99*0.02-(60000-Y99)/20,IF(Y99&lt;=100000,Y99*0.02,IF(Y99&lt;=110000,Y99*0.03-(110000-Y99)/10,IF(Y99&lt;=150000,Y99*0.03,IF(Y99&lt;=160000,Y99*0.04-(160000-Y99)*3/20,IF(Y99&lt;=200000,Y99*0.04,IF(Y99&lt;=210000,Y99*0.05-(210000-Y99)/5,IF(Y99&lt;=250000,Y99*0.05,IF(Y99&lt;=260000,Y99*0.06-(260000-Y99)/4,Y99*0.06)))))))))))</f>
        <v>10794.5136</v>
      </c>
      <c r="Z101" s="304">
        <f>IF(Z98&lt;=0,0,Z99*'Hypothèses'!$B$45+Z100*'Hypothèses'!$B$46+IF(Z99&lt;=50000,0,IF(Z99&lt;=60000,Z99*0.02-(60000-Z99)/20,IF(Z99&lt;=100000,Z99*0.02,IF(Z99&lt;=110000,Z99*0.03-(110000-Z99)/10,IF(Z99&lt;=150000,Z99*0.03,IF(Z99&lt;=160000,Z99*0.04-(160000-Z99)*3/20,IF(Z99&lt;=200000,Z99*0.04,IF(Z99&lt;=210000,Z99*0.05-(210000-Z99)/5,IF(Z99&lt;=250000,Z99*0.05,IF(Z99&lt;=260000,Z99*0.06-(260000-Z99)/4,Z99*0.06)))))))))))</f>
        <v>9558.9</v>
      </c>
      <c r="AA101" s="304"/>
      <c r="AB101" s="263"/>
      <c r="AC101" s="263"/>
      <c r="AD101" s="263"/>
      <c r="AE101" s="263"/>
      <c r="AF101" s="263"/>
      <c r="AG101" s="263"/>
      <c r="AH101" s="263"/>
      <c r="AI101" s="263"/>
      <c r="AJ101" s="263"/>
      <c r="AK101" s="263"/>
      <c r="AL101" s="45"/>
      <c r="AM101" s="45"/>
      <c r="AN101" s="45"/>
      <c r="AO101" s="45"/>
      <c r="AP101" s="45"/>
      <c r="AQ101" s="45"/>
      <c r="AR101" s="45"/>
      <c r="AS101" s="45"/>
      <c r="AT101" s="45"/>
      <c r="AU101" s="45"/>
    </row>
    <row r="102" ht="15.75" customHeight="1">
      <c r="A102" s="305" t="s">
        <v>155</v>
      </c>
      <c r="B102" s="304">
        <f t="shared" ref="B102:Z102" si="27">B92-B94-B101</f>
        <v>13820.61507</v>
      </c>
      <c r="C102" s="304">
        <f t="shared" si="27"/>
        <v>20663.04543</v>
      </c>
      <c r="D102" s="304">
        <f t="shared" si="27"/>
        <v>26887.64272</v>
      </c>
      <c r="E102" s="304">
        <f t="shared" si="27"/>
        <v>31560.88757</v>
      </c>
      <c r="F102" s="304">
        <f t="shared" si="27"/>
        <v>36478.99793</v>
      </c>
      <c r="G102" s="304">
        <f t="shared" si="27"/>
        <v>50403.33771</v>
      </c>
      <c r="H102" s="304">
        <f t="shared" si="27"/>
        <v>58471.42569</v>
      </c>
      <c r="I102" s="304">
        <f t="shared" si="27"/>
        <v>66809.8247</v>
      </c>
      <c r="J102" s="304">
        <f t="shared" si="27"/>
        <v>73286.1542</v>
      </c>
      <c r="K102" s="304">
        <f t="shared" si="27"/>
        <v>80175.50194</v>
      </c>
      <c r="L102" s="304">
        <f t="shared" si="27"/>
        <v>87570.5557</v>
      </c>
      <c r="M102" s="304">
        <f t="shared" si="27"/>
        <v>95481.31304</v>
      </c>
      <c r="N102" s="304">
        <f t="shared" si="27"/>
        <v>103918.1064</v>
      </c>
      <c r="O102" s="304">
        <f t="shared" si="27"/>
        <v>112891.6146</v>
      </c>
      <c r="P102" s="304">
        <f t="shared" si="27"/>
        <v>122412.8739</v>
      </c>
      <c r="Q102" s="304">
        <f t="shared" si="27"/>
        <v>132493.2906</v>
      </c>
      <c r="R102" s="304">
        <f t="shared" si="27"/>
        <v>143144.653</v>
      </c>
      <c r="S102" s="304">
        <f t="shared" si="27"/>
        <v>154379.1445</v>
      </c>
      <c r="T102" s="304">
        <f t="shared" si="27"/>
        <v>166209.3565</v>
      </c>
      <c r="U102" s="304">
        <f t="shared" si="27"/>
        <v>178648.3025</v>
      </c>
      <c r="V102" s="304">
        <f t="shared" si="27"/>
        <v>191709.4317</v>
      </c>
      <c r="W102" s="304">
        <f t="shared" si="27"/>
        <v>205011.5933</v>
      </c>
      <c r="X102" s="304">
        <f t="shared" si="27"/>
        <v>219466.2681</v>
      </c>
      <c r="Y102" s="304">
        <f t="shared" si="27"/>
        <v>234604.3222</v>
      </c>
      <c r="Z102" s="304">
        <f t="shared" si="27"/>
        <v>250441.1</v>
      </c>
      <c r="AA102" s="304"/>
      <c r="AB102" s="263"/>
      <c r="AC102" s="263"/>
      <c r="AD102" s="263"/>
      <c r="AE102" s="263"/>
      <c r="AF102" s="263"/>
      <c r="AG102" s="263"/>
      <c r="AH102" s="263"/>
      <c r="AI102" s="263"/>
      <c r="AJ102" s="263"/>
      <c r="AK102" s="263"/>
      <c r="AL102" s="45"/>
      <c r="AM102" s="45"/>
      <c r="AN102" s="45"/>
      <c r="AO102" s="45"/>
      <c r="AP102" s="45"/>
      <c r="AQ102" s="45"/>
      <c r="AR102" s="45"/>
      <c r="AS102" s="45"/>
      <c r="AT102" s="45"/>
      <c r="AU102" s="45"/>
    </row>
    <row r="103" ht="15.75" customHeight="1">
      <c r="A103" s="263" t="s">
        <v>370</v>
      </c>
      <c r="B103" s="304">
        <f>B93-('Hypothèses'!$B$4+MAX('Hypothèses'!$B$4*'Hypothèses'!$B$5,'Hypothèses'!$B$4*'Hypothèses'!$B$43)+IF(B91&gt;5,'Hypothèses'!$B$4*'Hypothèses'!$B$44,0)-B95)</f>
        <v>-8320</v>
      </c>
      <c r="C103" s="304">
        <f>C93-('Hypothèses'!$B$4+MAX('Hypothèses'!$B$4*'Hypothèses'!$B$5,'Hypothèses'!$B$4*'Hypothèses'!$B$43)+IF(C91&gt;5,'Hypothèses'!$B$4*'Hypothèses'!$B$44,0)-C95)</f>
        <v>2918.5</v>
      </c>
      <c r="D103" s="304">
        <f>D93-('Hypothèses'!$B$4+MAX('Hypothèses'!$B$4*'Hypothèses'!$B$5,'Hypothèses'!$B$4*'Hypothèses'!$B$43)+IF(D91&gt;5,'Hypothèses'!$B$4*'Hypothèses'!$B$44,0)-D95)</f>
        <v>14216.3775</v>
      </c>
      <c r="E103" s="304">
        <f>E93-('Hypothèses'!$B$4+MAX('Hypothèses'!$B$4*'Hypothèses'!$B$5,'Hypothèses'!$B$4*'Hypothèses'!$B$43)+IF(E91&gt;5,'Hypothèses'!$B$4*'Hypothèses'!$B$44,0)-E95)</f>
        <v>25574.52316</v>
      </c>
      <c r="F103" s="304">
        <f>F93-('Hypothèses'!$B$4+MAX('Hypothèses'!$B$4*'Hypothèses'!$B$5,'Hypothèses'!$B$4*'Hypothèses'!$B$43)+IF(F91&gt;5,'Hypothèses'!$B$4*'Hypothèses'!$B$44,0)-F95)</f>
        <v>36993.84101</v>
      </c>
      <c r="G103" s="304">
        <f>G93-('Hypothèses'!$B$4+MAX('Hypothèses'!$B$4*'Hypothèses'!$B$5,'Hypothèses'!$B$4*'Hypothèses'!$B$43)+IF(G91&gt;5,'Hypothèses'!$B$4*'Hypothèses'!$B$44,0)-G95)</f>
        <v>9475.248625</v>
      </c>
      <c r="H103" s="304">
        <f>H93-('Hypothèses'!$B$4+MAX('Hypothèses'!$B$4*'Hypothèses'!$B$5,'Hypothèses'!$B$4*'Hypothèses'!$B$43)+IF(H91&gt;5,'Hypothèses'!$B$4*'Hypothèses'!$B$44,0)-H95)</f>
        <v>21019.67735</v>
      </c>
      <c r="I103" s="304">
        <f>I93-('Hypothèses'!$B$4+MAX('Hypothèses'!$B$4*'Hypothèses'!$B$5,'Hypothèses'!$B$4*'Hypothèses'!$B$43)+IF(I91&gt;5,'Hypothèses'!$B$4*'Hypothèses'!$B$44,0)-I95)</f>
        <v>32628.07251</v>
      </c>
      <c r="J103" s="304">
        <f>J93-('Hypothèses'!$B$4+MAX('Hypothèses'!$B$4*'Hypothèses'!$B$5,'Hypothèses'!$B$4*'Hypothèses'!$B$43)+IF(J91&gt;5,'Hypothèses'!$B$4*'Hypothèses'!$B$44,0)-J95)</f>
        <v>44301.3936</v>
      </c>
      <c r="K103" s="304">
        <f>K93-('Hypothèses'!$B$4+MAX('Hypothèses'!$B$4*'Hypothèses'!$B$5,'Hypothèses'!$B$4*'Hypothèses'!$B$43)+IF(K91&gt;5,'Hypothèses'!$B$4*'Hypothèses'!$B$44,0)-K95)</f>
        <v>56040.61451</v>
      </c>
      <c r="L103" s="304">
        <f>L93-('Hypothèses'!$B$4+MAX('Hypothèses'!$B$4*'Hypothèses'!$B$5,'Hypothèses'!$B$4*'Hypothèses'!$B$43)+IF(L91&gt;5,'Hypothèses'!$B$4*'Hypothèses'!$B$44,0)-L95)</f>
        <v>67846.72372</v>
      </c>
      <c r="M103" s="304">
        <f>M93-('Hypothèses'!$B$4+MAX('Hypothèses'!$B$4*'Hypothèses'!$B$5,'Hypothèses'!$B$4*'Hypothèses'!$B$43)+IF(M91&gt;5,'Hypothèses'!$B$4*'Hypothèses'!$B$44,0)-M95)</f>
        <v>79720.72458</v>
      </c>
      <c r="N103" s="304">
        <f>N93-('Hypothèses'!$B$4+MAX('Hypothèses'!$B$4*'Hypothèses'!$B$5,'Hypothèses'!$B$4*'Hypothèses'!$B$43)+IF(N91&gt;5,'Hypothèses'!$B$4*'Hypothèses'!$B$44,0)-N95)</f>
        <v>91663.63545</v>
      </c>
      <c r="O103" s="304">
        <f>O93-('Hypothèses'!$B$4+MAX('Hypothèses'!$B$4*'Hypothèses'!$B$5,'Hypothèses'!$B$4*'Hypothèses'!$B$43)+IF(O91&gt;5,'Hypothèses'!$B$4*'Hypothèses'!$B$44,0)-O95)</f>
        <v>103676.49</v>
      </c>
      <c r="P103" s="304">
        <f>P93-('Hypothèses'!$B$4+MAX('Hypothèses'!$B$4*'Hypothèses'!$B$5,'Hypothèses'!$B$4*'Hypothèses'!$B$43)+IF(P91&gt;5,'Hypothèses'!$B$4*'Hypothèses'!$B$44,0)-P95)</f>
        <v>115760.3373</v>
      </c>
      <c r="Q103" s="304">
        <f>Q93-('Hypothèses'!$B$4+MAX('Hypothèses'!$B$4*'Hypothèses'!$B$5,'Hypothèses'!$B$4*'Hypothèses'!$B$43)+IF(Q91&gt;5,'Hypothèses'!$B$4*'Hypothèses'!$B$44,0)-Q95)</f>
        <v>127916.2424</v>
      </c>
      <c r="R103" s="304">
        <f>R93-('Hypothèses'!$B$4+MAX('Hypothèses'!$B$4*'Hypothèses'!$B$5,'Hypothèses'!$B$4*'Hypothèses'!$B$43)+IF(R91&gt;5,'Hypothèses'!$B$4*'Hypothèses'!$B$44,0)-R95)</f>
        <v>140145.286</v>
      </c>
      <c r="S103" s="304">
        <f>S93-('Hypothèses'!$B$4+MAX('Hypothèses'!$B$4*'Hypothèses'!$B$5,'Hypothèses'!$B$4*'Hypothèses'!$B$43)+IF(S91&gt;5,'Hypothèses'!$B$4*'Hypothèses'!$B$44,0)-S95)</f>
        <v>152448.5653</v>
      </c>
      <c r="T103" s="304">
        <f>T93-('Hypothèses'!$B$4+MAX('Hypothèses'!$B$4*'Hypothèses'!$B$5,'Hypothèses'!$B$4*'Hypothèses'!$B$43)+IF(T91&gt;5,'Hypothèses'!$B$4*'Hypothèses'!$B$44,0)-T95)</f>
        <v>164827.1938</v>
      </c>
      <c r="U103" s="304">
        <f>U93-('Hypothèses'!$B$4+MAX('Hypothèses'!$B$4*'Hypothèses'!$B$5,'Hypothèses'!$B$4*'Hypothèses'!$B$43)+IF(U91&gt;5,'Hypothèses'!$B$4*'Hypothèses'!$B$44,0)-U95)</f>
        <v>177282.3017</v>
      </c>
      <c r="V103" s="304">
        <f>V93-('Hypothèses'!$B$4+MAX('Hypothèses'!$B$4*'Hypothèses'!$B$5,'Hypothèses'!$B$4*'Hypothèses'!$B$43)+IF(V91&gt;5,'Hypothèses'!$B$4*'Hypothèses'!$B$44,0)-V95)</f>
        <v>189815.0362</v>
      </c>
      <c r="W103" s="304">
        <f>W93-('Hypothèses'!$B$4+MAX('Hypothèses'!$B$4*'Hypothèses'!$B$5,'Hypothèses'!$B$4*'Hypothèses'!$B$43)+IF(W91&gt;5,'Hypothèses'!$B$4*'Hypothèses'!$B$44,0)-W95)</f>
        <v>202426.5618</v>
      </c>
      <c r="X103" s="304">
        <f>X93-('Hypothèses'!$B$4+MAX('Hypothèses'!$B$4*'Hypothèses'!$B$5,'Hypothèses'!$B$4*'Hypothèses'!$B$43)+IF(X91&gt;5,'Hypothèses'!$B$4*'Hypothèses'!$B$44,0)-X95)</f>
        <v>215118.0602</v>
      </c>
      <c r="Y103" s="304">
        <f>Y93-('Hypothèses'!$B$4+MAX('Hypothèses'!$B$4*'Hypothèses'!$B$5,'Hypothèses'!$B$4*'Hypothèses'!$B$43)+IF(Y91&gt;5,'Hypothèses'!$B$4*'Hypothèses'!$B$44,0)-Y95)</f>
        <v>227890.7311</v>
      </c>
      <c r="Z103" s="304">
        <f>Z93-('Hypothèses'!$B$4+MAX('Hypothèses'!$B$4*'Hypothèses'!$B$5,'Hypothèses'!$B$4*'Hypothèses'!$B$43)+IF(Z91&gt;5,'Hypothèses'!$B$4*'Hypothèses'!$B$44,0)-Z95)</f>
        <v>240745.7921</v>
      </c>
      <c r="AA103" s="304"/>
      <c r="AB103" s="263"/>
      <c r="AC103" s="263"/>
      <c r="AD103" s="263"/>
      <c r="AE103" s="263"/>
      <c r="AF103" s="263"/>
      <c r="AG103" s="263"/>
      <c r="AH103" s="263"/>
      <c r="AI103" s="263"/>
      <c r="AJ103" s="263"/>
      <c r="AK103" s="263"/>
      <c r="AL103" s="45"/>
      <c r="AM103" s="45"/>
      <c r="AN103" s="45"/>
      <c r="AO103" s="45"/>
      <c r="AP103" s="45"/>
      <c r="AQ103" s="45"/>
      <c r="AR103" s="45"/>
      <c r="AS103" s="45"/>
      <c r="AT103" s="45"/>
      <c r="AU103" s="45"/>
    </row>
    <row r="104" ht="15.75" customHeight="1">
      <c r="A104" s="263" t="s">
        <v>371</v>
      </c>
      <c r="B104" s="304">
        <f t="shared" ref="B104:Z104" si="28">MAX(0,B103*(1-B96))</f>
        <v>0</v>
      </c>
      <c r="C104" s="304">
        <f t="shared" si="28"/>
        <v>2918.5</v>
      </c>
      <c r="D104" s="304">
        <f t="shared" si="28"/>
        <v>14216.3775</v>
      </c>
      <c r="E104" s="304">
        <f t="shared" si="28"/>
        <v>25574.52316</v>
      </c>
      <c r="F104" s="304">
        <f t="shared" si="28"/>
        <v>36993.84101</v>
      </c>
      <c r="G104" s="304">
        <f t="shared" si="28"/>
        <v>8906.733708</v>
      </c>
      <c r="H104" s="304">
        <f t="shared" si="28"/>
        <v>18497.31607</v>
      </c>
      <c r="I104" s="304">
        <f t="shared" si="28"/>
        <v>26755.01946</v>
      </c>
      <c r="J104" s="304">
        <f t="shared" si="28"/>
        <v>33669.05914</v>
      </c>
      <c r="K104" s="304">
        <f t="shared" si="28"/>
        <v>39228.43015</v>
      </c>
      <c r="L104" s="304">
        <f t="shared" si="28"/>
        <v>43421.90318</v>
      </c>
      <c r="M104" s="304">
        <f t="shared" si="28"/>
        <v>46238.02026</v>
      </c>
      <c r="N104" s="304">
        <f t="shared" si="28"/>
        <v>47665.09043</v>
      </c>
      <c r="O104" s="304">
        <f t="shared" si="28"/>
        <v>47691.18539</v>
      </c>
      <c r="P104" s="304">
        <f t="shared" si="28"/>
        <v>46304.13493</v>
      </c>
      <c r="Q104" s="304">
        <f t="shared" si="28"/>
        <v>43491.52241</v>
      </c>
      <c r="R104" s="304">
        <f t="shared" si="28"/>
        <v>39240.68009</v>
      </c>
      <c r="S104" s="304">
        <f t="shared" si="28"/>
        <v>33538.68437</v>
      </c>
      <c r="T104" s="304">
        <f t="shared" si="28"/>
        <v>26372.35101</v>
      </c>
      <c r="U104" s="304">
        <f t="shared" si="28"/>
        <v>17728.23017</v>
      </c>
      <c r="V104" s="304">
        <f t="shared" si="28"/>
        <v>7592.601449</v>
      </c>
      <c r="W104" s="304">
        <f t="shared" si="28"/>
        <v>0</v>
      </c>
      <c r="X104" s="304">
        <f t="shared" si="28"/>
        <v>0</v>
      </c>
      <c r="Y104" s="304">
        <f t="shared" si="28"/>
        <v>0</v>
      </c>
      <c r="Z104" s="304">
        <f t="shared" si="28"/>
        <v>0</v>
      </c>
      <c r="AA104" s="304"/>
      <c r="AB104" s="263"/>
      <c r="AC104" s="263"/>
      <c r="AD104" s="263"/>
      <c r="AE104" s="263"/>
      <c r="AF104" s="263"/>
      <c r="AG104" s="263"/>
      <c r="AH104" s="263"/>
      <c r="AI104" s="263"/>
      <c r="AJ104" s="263"/>
      <c r="AK104" s="263"/>
      <c r="AL104" s="45"/>
      <c r="AM104" s="45"/>
      <c r="AN104" s="45"/>
      <c r="AO104" s="45"/>
      <c r="AP104" s="45"/>
      <c r="AQ104" s="45"/>
      <c r="AR104" s="45"/>
      <c r="AS104" s="45"/>
      <c r="AT104" s="45"/>
      <c r="AU104" s="45"/>
    </row>
    <row r="105" ht="15.75" customHeight="1">
      <c r="A105" s="263" t="s">
        <v>372</v>
      </c>
      <c r="B105" s="304">
        <f t="shared" ref="B105:Z105" si="29">MAX(0,B103*(1-B97))</f>
        <v>0</v>
      </c>
      <c r="C105" s="304">
        <f t="shared" si="29"/>
        <v>2918.5</v>
      </c>
      <c r="D105" s="304">
        <f t="shared" si="29"/>
        <v>14216.3775</v>
      </c>
      <c r="E105" s="304">
        <f t="shared" si="29"/>
        <v>25574.52316</v>
      </c>
      <c r="F105" s="304">
        <f t="shared" si="29"/>
        <v>36993.84101</v>
      </c>
      <c r="G105" s="304">
        <f t="shared" si="29"/>
        <v>9318.907023</v>
      </c>
      <c r="H105" s="304">
        <f t="shared" si="29"/>
        <v>20326.028</v>
      </c>
      <c r="I105" s="304">
        <f t="shared" si="29"/>
        <v>31012.98293</v>
      </c>
      <c r="J105" s="304">
        <f t="shared" si="29"/>
        <v>41377.50162</v>
      </c>
      <c r="K105" s="304">
        <f t="shared" si="29"/>
        <v>51417.26381</v>
      </c>
      <c r="L105" s="304">
        <f t="shared" si="29"/>
        <v>61129.89808</v>
      </c>
      <c r="M105" s="304">
        <f t="shared" si="29"/>
        <v>70512.98089</v>
      </c>
      <c r="N105" s="304">
        <f t="shared" si="29"/>
        <v>79564.03557</v>
      </c>
      <c r="O105" s="304">
        <f t="shared" si="29"/>
        <v>88280.53122</v>
      </c>
      <c r="P105" s="304">
        <f t="shared" si="29"/>
        <v>96659.88167</v>
      </c>
      <c r="Q105" s="304">
        <f t="shared" si="29"/>
        <v>104699.4444</v>
      </c>
      <c r="R105" s="304">
        <f t="shared" si="29"/>
        <v>112396.5194</v>
      </c>
      <c r="S105" s="304">
        <f t="shared" si="29"/>
        <v>119748.3481</v>
      </c>
      <c r="T105" s="304">
        <f t="shared" si="29"/>
        <v>126752.112</v>
      </c>
      <c r="U105" s="304">
        <f t="shared" si="29"/>
        <v>133404.932</v>
      </c>
      <c r="V105" s="304">
        <f t="shared" si="29"/>
        <v>139703.8667</v>
      </c>
      <c r="W105" s="304">
        <f t="shared" si="29"/>
        <v>145747.1245</v>
      </c>
      <c r="X105" s="304">
        <f t="shared" si="29"/>
        <v>135524.3779</v>
      </c>
      <c r="Y105" s="304">
        <f t="shared" si="29"/>
        <v>123060.9948</v>
      </c>
      <c r="Z105" s="304">
        <f t="shared" si="29"/>
        <v>108335.6064</v>
      </c>
      <c r="AA105" s="304"/>
      <c r="AB105" s="263"/>
      <c r="AC105" s="263"/>
      <c r="AD105" s="263"/>
      <c r="AE105" s="263"/>
      <c r="AF105" s="263"/>
      <c r="AG105" s="263"/>
      <c r="AH105" s="263"/>
      <c r="AI105" s="263"/>
      <c r="AJ105" s="263"/>
      <c r="AK105" s="263"/>
      <c r="AL105" s="45"/>
      <c r="AM105" s="45"/>
      <c r="AN105" s="45"/>
      <c r="AO105" s="45"/>
      <c r="AP105" s="45"/>
      <c r="AQ105" s="45"/>
      <c r="AR105" s="45"/>
      <c r="AS105" s="45"/>
      <c r="AT105" s="45"/>
      <c r="AU105" s="45"/>
    </row>
    <row r="106" ht="15.75" customHeight="1">
      <c r="A106" s="263" t="s">
        <v>373</v>
      </c>
      <c r="B106" s="304">
        <f>IF(B103&lt;=0,0,B104*'Hypothèses'!$B$45+B105*'Hypothèses'!$B$46+IF(B104&lt;=50000,0,IF(B104&lt;=60000,B104*0.02-(60000-B104)/20,IF(B104&lt;=100000,B104*0.02,IF(B104&lt;=110000,B104*0.03-(110000-B104)/10,IF(B104&lt;=150000,B104*0.03,IF(B104&lt;=160000,B104*0.04-(160000-B104)*3/20,IF(B104&lt;=200000,B104*0.04,IF(B104&lt;=210000,B104*0.05-(210000-B104)/5,IF(B104&lt;=250000,B104*0.05,IF(B104&lt;=260000,B104*0.06-(260000-B104)/4,B104*0.06)))))))))))</f>
        <v>0</v>
      </c>
      <c r="C106" s="304">
        <f>IF(C103&lt;=0,0,C104*'Hypothèses'!$B$45+C105*'Hypothèses'!$B$46+IF(C104&lt;=50000,0,IF(C104&lt;=60000,C104*0.02-(60000-C104)/20,IF(C104&lt;=100000,C104*0.02,IF(C104&lt;=110000,C104*0.03-(110000-C104)/10,IF(C104&lt;=150000,C104*0.03,IF(C104&lt;=160000,C104*0.04-(160000-C104)*3/20,IF(C104&lt;=200000,C104*0.04,IF(C104&lt;=210000,C104*0.05-(210000-C104)/5,IF(C104&lt;=250000,C104*0.05,IF(C104&lt;=260000,C104*0.06-(260000-C104)/4,C104*0.06)))))))))))</f>
        <v>1056.497</v>
      </c>
      <c r="D106" s="304">
        <f>IF(D103&lt;=0,0,D104*'Hypothèses'!$B$45+D105*'Hypothèses'!$B$46+IF(D104&lt;=50000,0,IF(D104&lt;=60000,D104*0.02-(60000-D104)/20,IF(D104&lt;=100000,D104*0.02,IF(D104&lt;=110000,D104*0.03-(110000-D104)/10,IF(D104&lt;=150000,D104*0.03,IF(D104&lt;=160000,D104*0.04-(160000-D104)*3/20,IF(D104&lt;=200000,D104*0.04,IF(D104&lt;=210000,D104*0.05-(210000-D104)/5,IF(D104&lt;=250000,D104*0.05,IF(D104&lt;=260000,D104*0.06-(260000-D104)/4,D104*0.06)))))))))))</f>
        <v>5146.328655</v>
      </c>
      <c r="E106" s="304">
        <f>IF(E103&lt;=0,0,E104*'Hypothèses'!$B$45+E105*'Hypothèses'!$B$46+IF(E104&lt;=50000,0,IF(E104&lt;=60000,E104*0.02-(60000-E104)/20,IF(E104&lt;=100000,E104*0.02,IF(E104&lt;=110000,E104*0.03-(110000-E104)/10,IF(E104&lt;=150000,E104*0.03,IF(E104&lt;=160000,E104*0.04-(160000-E104)*3/20,IF(E104&lt;=200000,E104*0.04,IF(E104&lt;=210000,E104*0.05-(210000-E104)/5,IF(E104&lt;=250000,E104*0.05,IF(E104&lt;=260000,E104*0.06-(260000-E104)/4,E104*0.06)))))))))))</f>
        <v>9257.977385</v>
      </c>
      <c r="F106" s="304">
        <f>IF(F103&lt;=0,0,F104*'Hypothèses'!$B$45+F105*'Hypothèses'!$B$46+IF(F104&lt;=50000,0,IF(F104&lt;=60000,F104*0.02-(60000-F104)/20,IF(F104&lt;=100000,F104*0.02,IF(F104&lt;=110000,F104*0.03-(110000-F104)/10,IF(F104&lt;=150000,F104*0.03,IF(F104&lt;=160000,F104*0.04-(160000-F104)*3/20,IF(F104&lt;=200000,F104*0.04,IF(F104&lt;=210000,F104*0.05-(210000-F104)/5,IF(F104&lt;=250000,F104*0.05,IF(F104&lt;=260000,F104*0.06-(260000-F104)/4,F104*0.06)))))))))))</f>
        <v>13391.77045</v>
      </c>
      <c r="G106" s="304">
        <f>IF(G103&lt;=0,0,G104*'Hypothèses'!$B$45+G105*'Hypothèses'!$B$46+IF(G104&lt;=50000,0,IF(G104&lt;=60000,G104*0.02-(60000-G104)/20,IF(G104&lt;=100000,G104*0.02,IF(G104&lt;=110000,G104*0.03-(110000-G104)/10,IF(G104&lt;=150000,G104*0.03,IF(G104&lt;=160000,G104*0.04-(160000-G104)*3/20,IF(G104&lt;=200000,G104*0.04,IF(G104&lt;=210000,G104*0.05-(210000-G104)/5,IF(G104&lt;=250000,G104*0.05,IF(G104&lt;=260000,G104*0.06-(260000-G104)/4,G104*0.06)))))))))))</f>
        <v>3295.131412</v>
      </c>
      <c r="H106" s="304">
        <f>IF(H103&lt;=0,0,H104*'Hypothèses'!$B$45+H105*'Hypothèses'!$B$46+IF(H104&lt;=50000,0,IF(H104&lt;=60000,H104*0.02-(60000-H104)/20,IF(H104&lt;=100000,H104*0.02,IF(H104&lt;=110000,H104*0.03-(110000-H104)/10,IF(H104&lt;=150000,H104*0.03,IF(H104&lt;=160000,H104*0.04-(160000-H104)*3/20,IF(H104&lt;=200000,H104*0.04,IF(H104&lt;=210000,H104*0.05-(210000-H104)/5,IF(H104&lt;=250000,H104*0.05,IF(H104&lt;=260000,H104*0.06-(260000-H104)/4,H104*0.06)))))))))))</f>
        <v>7010.56687</v>
      </c>
      <c r="I106" s="304">
        <f>IF(I103&lt;=0,0,I104*'Hypothèses'!$B$45+I105*'Hypothèses'!$B$46+IF(I104&lt;=50000,0,IF(I104&lt;=60000,I104*0.02-(60000-I104)/20,IF(I104&lt;=100000,I104*0.02,IF(I104&lt;=110000,I104*0.03-(110000-I104)/10,IF(I104&lt;=150000,I104*0.03,IF(I104&lt;=160000,I104*0.04-(160000-I104)*3/20,IF(I104&lt;=200000,I104*0.04,IF(I104&lt;=210000,I104*0.05-(210000-I104)/5,IF(I104&lt;=250000,I104*0.05,IF(I104&lt;=260000,I104*0.06-(260000-I104)/4,I104*0.06)))))))))))</f>
        <v>10417.68676</v>
      </c>
      <c r="J106" s="304">
        <f>IF(J103&lt;=0,0,J104*'Hypothèses'!$B$45+J105*'Hypothèses'!$B$46+IF(J104&lt;=50000,0,IF(J104&lt;=60000,J104*0.02-(60000-J104)/20,IF(J104&lt;=100000,J104*0.02,IF(J104&lt;=110000,J104*0.03-(110000-J104)/10,IF(J104&lt;=150000,J104*0.03,IF(J104&lt;=160000,J104*0.04-(160000-J104)*3/20,IF(J104&lt;=200000,J104*0.04,IF(J104&lt;=210000,J104*0.05-(210000-J104)/5,IF(J104&lt;=250000,J104*0.05,IF(J104&lt;=260000,J104*0.06-(260000-J104)/4,J104*0.06)))))))))))</f>
        <v>13514.05152</v>
      </c>
      <c r="K106" s="304">
        <f>IF(K103&lt;=0,0,K104*'Hypothèses'!$B$45+K105*'Hypothèses'!$B$46+IF(K104&lt;=50000,0,IF(K104&lt;=60000,K104*0.02-(60000-K104)/20,IF(K104&lt;=100000,K104*0.02,IF(K104&lt;=110000,K104*0.03-(110000-K104)/10,IF(K104&lt;=150000,K104*0.03,IF(K104&lt;=160000,K104*0.04-(160000-K104)*3/20,IF(K104&lt;=200000,K104*0.04,IF(K104&lt;=210000,K104*0.05-(210000-K104)/5,IF(K104&lt;=250000,K104*0.05,IF(K104&lt;=260000,K104*0.06-(260000-K104)/4,K104*0.06)))))))))))</f>
        <v>16297.1711</v>
      </c>
      <c r="L106" s="304">
        <f>IF(L103&lt;=0,0,L104*'Hypothèses'!$B$45+L105*'Hypothèses'!$B$46+IF(L104&lt;=50000,0,IF(L104&lt;=60000,L104*0.02-(60000-L104)/20,IF(L104&lt;=100000,L104*0.02,IF(L104&lt;=110000,L104*0.03-(110000-L104)/10,IF(L104&lt;=150000,L104*0.03,IF(L104&lt;=160000,L104*0.04-(160000-L104)*3/20,IF(L104&lt;=200000,L104*0.04,IF(L104&lt;=210000,L104*0.05-(210000-L104)/5,IF(L104&lt;=250000,L104*0.05,IF(L104&lt;=260000,L104*0.06-(260000-L104)/4,L104*0.06)))))))))))</f>
        <v>18764.50407</v>
      </c>
      <c r="M106" s="304">
        <f>IF(M103&lt;=0,0,M104*'Hypothèses'!$B$45+M105*'Hypothèses'!$B$46+IF(M104&lt;=50000,0,IF(M104&lt;=60000,M104*0.02-(60000-M104)/20,IF(M104&lt;=100000,M104*0.02,IF(M104&lt;=110000,M104*0.03-(110000-M104)/10,IF(M104&lt;=150000,M104*0.03,IF(M104&lt;=160000,M104*0.04-(160000-M104)*3/20,IF(M104&lt;=200000,M104*0.04,IF(M104&lt;=210000,M104*0.05-(210000-M104)/5,IF(M104&lt;=250000,M104*0.05,IF(M104&lt;=260000,M104*0.06-(260000-M104)/4,M104*0.06)))))))))))</f>
        <v>20913.45656</v>
      </c>
      <c r="N106" s="304">
        <f>IF(N103&lt;=0,0,N104*'Hypothèses'!$B$45+N105*'Hypothèses'!$B$46+IF(N104&lt;=50000,0,IF(N104&lt;=60000,N104*0.02-(60000-N104)/20,IF(N104&lt;=100000,N104*0.02,IF(N104&lt;=110000,N104*0.03-(110000-N104)/10,IF(N104&lt;=150000,N104*0.03,IF(N104&lt;=160000,N104*0.04-(160000-N104)*3/20,IF(N104&lt;=200000,N104*0.04,IF(N104&lt;=210000,N104*0.05-(210000-N104)/5,IF(N104&lt;=250000,N104*0.05,IF(N104&lt;=260000,N104*0.06-(260000-N104)/4,N104*0.06)))))))))))</f>
        <v>22741.3813</v>
      </c>
      <c r="O106" s="304">
        <f>IF(O103&lt;=0,0,O104*'Hypothèses'!$B$45+O105*'Hypothèses'!$B$46+IF(O104&lt;=50000,0,IF(O104&lt;=60000,O104*0.02-(60000-O104)/20,IF(O104&lt;=100000,O104*0.02,IF(O104&lt;=110000,O104*0.03-(110000-O104)/10,IF(O104&lt;=150000,O104*0.03,IF(O104&lt;=160000,O104*0.04-(160000-O104)*3/20,IF(O104&lt;=200000,O104*0.04,IF(O104&lt;=210000,O104*0.05-(210000-O104)/5,IF(O104&lt;=250000,O104*0.05,IF(O104&lt;=260000,O104*0.06-(260000-O104)/4,O104*0.06)))))))))))</f>
        <v>24245.57659</v>
      </c>
      <c r="P106" s="304">
        <f>IF(P103&lt;=0,0,P104*'Hypothèses'!$B$45+P105*'Hypothèses'!$B$46+IF(P104&lt;=50000,0,IF(P104&lt;=60000,P104*0.02-(60000-P104)/20,IF(P104&lt;=100000,P104*0.02,IF(P104&lt;=110000,P104*0.03-(110000-P104)/10,IF(P104&lt;=150000,P104*0.03,IF(P104&lt;=160000,P104*0.04-(160000-P104)*3/20,IF(P104&lt;=200000,P104*0.04,IF(P104&lt;=210000,P104*0.05-(210000-P104)/5,IF(P104&lt;=250000,P104*0.05,IF(P104&lt;=260000,P104*0.06-(260000-P104)/4,P104*0.06)))))))))))</f>
        <v>25423.28528</v>
      </c>
      <c r="Q106" s="304">
        <f>IF(Q103&lt;=0,0,Q104*'Hypothèses'!$B$45+Q105*'Hypothèses'!$B$46+IF(Q104&lt;=50000,0,IF(Q104&lt;=60000,Q104*0.02-(60000-Q104)/20,IF(Q104&lt;=100000,Q104*0.02,IF(Q104&lt;=110000,Q104*0.03-(110000-Q104)/10,IF(Q104&lt;=150000,Q104*0.03,IF(Q104&lt;=160000,Q104*0.04-(160000-Q104)*3/20,IF(Q104&lt;=200000,Q104*0.04,IF(Q104&lt;=210000,Q104*0.05-(210000-Q104)/5,IF(Q104&lt;=250000,Q104*0.05,IF(Q104&lt;=260000,Q104*0.06-(260000-Q104)/4,Q104*0.06)))))))))))</f>
        <v>26271.69369</v>
      </c>
      <c r="R106" s="304">
        <f>IF(R103&lt;=0,0,R104*'Hypothèses'!$B$45+R105*'Hypothèses'!$B$46+IF(R104&lt;=50000,0,IF(R104&lt;=60000,R104*0.02-(60000-R104)/20,IF(R104&lt;=100000,R104*0.02,IF(R104&lt;=110000,R104*0.03-(110000-R104)/10,IF(R104&lt;=150000,R104*0.03,IF(R104&lt;=160000,R104*0.04-(160000-R104)*3/20,IF(R104&lt;=200000,R104*0.04,IF(R104&lt;=210000,R104*0.05-(210000-R104)/5,IF(R104&lt;=250000,R104*0.05,IF(R104&lt;=260000,R104*0.06-(260000-R104)/4,R104*0.06)))))))))))</f>
        <v>26787.93055</v>
      </c>
      <c r="S106" s="304">
        <f>IF(S103&lt;=0,0,S104*'Hypothèses'!$B$45+S105*'Hypothèses'!$B$46+IF(S104&lt;=50000,0,IF(S104&lt;=60000,S104*0.02-(60000-S104)/20,IF(S104&lt;=100000,S104*0.02,IF(S104&lt;=110000,S104*0.03-(110000-S104)/10,IF(S104&lt;=150000,S104*0.03,IF(S104&lt;=160000,S104*0.04-(160000-S104)*3/20,IF(S104&lt;=200000,S104*0.04,IF(S104&lt;=210000,S104*0.05-(210000-S104)/5,IF(S104&lt;=250000,S104*0.05,IF(S104&lt;=260000,S104*0.06-(260000-S104)/4,S104*0.06)))))))))))</f>
        <v>26969.0659</v>
      </c>
      <c r="T106" s="304">
        <f>IF(T103&lt;=0,0,T104*'Hypothèses'!$B$45+T105*'Hypothèses'!$B$46+IF(T104&lt;=50000,0,IF(T104&lt;=60000,T104*0.02-(60000-T104)/20,IF(T104&lt;=100000,T104*0.02,IF(T104&lt;=110000,T104*0.03-(110000-T104)/10,IF(T104&lt;=150000,T104*0.03,IF(T104&lt;=160000,T104*0.04-(160000-T104)*3/20,IF(T104&lt;=200000,T104*0.04,IF(T104&lt;=210000,T104*0.05-(210000-T104)/5,IF(T104&lt;=250000,T104*0.05,IF(T104&lt;=260000,T104*0.06-(260000-T104)/4,T104*0.06)))))))))))</f>
        <v>26812.10996</v>
      </c>
      <c r="U106" s="304">
        <f>IF(U103&lt;=0,0,U104*'Hypothèses'!$B$45+U105*'Hypothèses'!$B$46+IF(U104&lt;=50000,0,IF(U104&lt;=60000,U104*0.02-(60000-U104)/20,IF(U104&lt;=100000,U104*0.02,IF(U104&lt;=110000,U104*0.03-(110000-U104)/10,IF(U104&lt;=150000,U104*0.03,IF(U104&lt;=160000,U104*0.04-(160000-U104)*3/20,IF(U104&lt;=200000,U104*0.04,IF(U104&lt;=210000,U104*0.05-(210000-U104)/5,IF(U104&lt;=250000,U104*0.05,IF(U104&lt;=260000,U104*0.06-(260000-U104)/4,U104*0.06)))))))))))</f>
        <v>26314.01204</v>
      </c>
      <c r="V106" s="304">
        <f>IF(V103&lt;=0,0,V104*'Hypothèses'!$B$45+V105*'Hypothèses'!$B$46+IF(V104&lt;=50000,0,IF(V104&lt;=60000,V104*0.02-(60000-V104)/20,IF(V104&lt;=100000,V104*0.02,IF(V104&lt;=110000,V104*0.03-(110000-V104)/10,IF(V104&lt;=150000,V104*0.03,IF(V104&lt;=160000,V104*0.04-(160000-V104)*3/20,IF(V104&lt;=200000,V104*0.04,IF(V104&lt;=210000,V104*0.05-(210000-V104)/5,IF(V104&lt;=250000,V104*0.05,IF(V104&lt;=260000,V104*0.06-(260000-V104)/4,V104*0.06)))))))))))</f>
        <v>25471.65934</v>
      </c>
      <c r="W106" s="304">
        <f>IF(W103&lt;=0,0,W104*'Hypothèses'!$B$45+W105*'Hypothèses'!$B$46+IF(W104&lt;=50000,0,IF(W104&lt;=60000,W104*0.02-(60000-W104)/20,IF(W104&lt;=100000,W104*0.02,IF(W104&lt;=110000,W104*0.03-(110000-W104)/10,IF(W104&lt;=150000,W104*0.03,IF(W104&lt;=160000,W104*0.04-(160000-W104)*3/20,IF(W104&lt;=200000,W104*0.04,IF(W104&lt;=210000,W104*0.05-(210000-W104)/5,IF(W104&lt;=250000,W104*0.05,IF(W104&lt;=260000,W104*0.06-(260000-W104)/4,W104*0.06)))))))))))</f>
        <v>25068.50541</v>
      </c>
      <c r="X106" s="304">
        <f>IF(X103&lt;=0,0,X104*'Hypothèses'!$B$45+X105*'Hypothèses'!$B$46+IF(X104&lt;=50000,0,IF(X104&lt;=60000,X104*0.02-(60000-X104)/20,IF(X104&lt;=100000,X104*0.02,IF(X104&lt;=110000,X104*0.03-(110000-X104)/10,IF(X104&lt;=150000,X104*0.03,IF(X104&lt;=160000,X104*0.04-(160000-X104)*3/20,IF(X104&lt;=200000,X104*0.04,IF(X104&lt;=210000,X104*0.05-(210000-X104)/5,IF(X104&lt;=250000,X104*0.05,IF(X104&lt;=260000,X104*0.06-(260000-X104)/4,X104*0.06)))))))))))</f>
        <v>23310.193</v>
      </c>
      <c r="Y106" s="304">
        <f>IF(Y103&lt;=0,0,Y104*'Hypothèses'!$B$45+Y105*'Hypothèses'!$B$46+IF(Y104&lt;=50000,0,IF(Y104&lt;=60000,Y104*0.02-(60000-Y104)/20,IF(Y104&lt;=100000,Y104*0.02,IF(Y104&lt;=110000,Y104*0.03-(110000-Y104)/10,IF(Y104&lt;=150000,Y104*0.03,IF(Y104&lt;=160000,Y104*0.04-(160000-Y104)*3/20,IF(Y104&lt;=200000,Y104*0.04,IF(Y104&lt;=210000,Y104*0.05-(210000-Y104)/5,IF(Y104&lt;=250000,Y104*0.05,IF(Y104&lt;=260000,Y104*0.06-(260000-Y104)/4,Y104*0.06)))))))))))</f>
        <v>21166.4911</v>
      </c>
      <c r="Z106" s="304">
        <f>IF(Z103&lt;=0,0,Z104*'Hypothèses'!$B$45+Z105*'Hypothèses'!$B$46+IF(Z104&lt;=50000,0,IF(Z104&lt;=60000,Z104*0.02-(60000-Z104)/20,IF(Z104&lt;=100000,Z104*0.02,IF(Z104&lt;=110000,Z104*0.03-(110000-Z104)/10,IF(Z104&lt;=150000,Z104*0.03,IF(Z104&lt;=160000,Z104*0.04-(160000-Z104)*3/20,IF(Z104&lt;=200000,Z104*0.04,IF(Z104&lt;=210000,Z104*0.05-(210000-Z104)/5,IF(Z104&lt;=250000,Z104*0.05,IF(Z104&lt;=260000,Z104*0.06-(260000-Z104)/4,Z104*0.06)))))))))))</f>
        <v>18633.72431</v>
      </c>
      <c r="AA106" s="304"/>
      <c r="AB106" s="263"/>
      <c r="AC106" s="263"/>
      <c r="AD106" s="263"/>
      <c r="AE106" s="263"/>
      <c r="AF106" s="263"/>
      <c r="AG106" s="263"/>
      <c r="AH106" s="263"/>
      <c r="AI106" s="263"/>
      <c r="AJ106" s="263"/>
      <c r="AK106" s="263"/>
      <c r="AL106" s="45"/>
      <c r="AM106" s="45"/>
      <c r="AN106" s="45"/>
      <c r="AO106" s="45"/>
      <c r="AP106" s="45"/>
      <c r="AQ106" s="45"/>
      <c r="AR106" s="45"/>
      <c r="AS106" s="45"/>
      <c r="AT106" s="45"/>
      <c r="AU106" s="45"/>
    </row>
    <row r="107" ht="15.75" customHeight="1">
      <c r="A107" s="305" t="s">
        <v>374</v>
      </c>
      <c r="B107" s="304">
        <f t="shared" ref="B107:Z107" si="30">B93-B94-B106</f>
        <v>17720.61507</v>
      </c>
      <c r="C107" s="304">
        <f t="shared" si="30"/>
        <v>27465.04843</v>
      </c>
      <c r="D107" s="304">
        <f t="shared" si="30"/>
        <v>34464.77156</v>
      </c>
      <c r="E107" s="304">
        <f t="shared" si="30"/>
        <v>41739.87334</v>
      </c>
      <c r="F107" s="304">
        <f t="shared" si="30"/>
        <v>49298.86849</v>
      </c>
      <c r="G107" s="304">
        <f t="shared" si="30"/>
        <v>71403.45493</v>
      </c>
      <c r="H107" s="304">
        <f t="shared" si="30"/>
        <v>80020.53617</v>
      </c>
      <c r="I107" s="304">
        <f t="shared" si="30"/>
        <v>89280.21045</v>
      </c>
      <c r="J107" s="304">
        <f t="shared" si="30"/>
        <v>99194.93325</v>
      </c>
      <c r="K107" s="304">
        <f t="shared" si="30"/>
        <v>109777.5283</v>
      </c>
      <c r="L107" s="304">
        <f t="shared" si="30"/>
        <v>121041.1991</v>
      </c>
      <c r="M107" s="304">
        <f t="shared" si="30"/>
        <v>132999.5403</v>
      </c>
      <c r="N107" s="304">
        <f t="shared" si="30"/>
        <v>145666.55</v>
      </c>
      <c r="O107" s="304">
        <f t="shared" si="30"/>
        <v>159056.6423</v>
      </c>
      <c r="P107" s="304">
        <f t="shared" si="30"/>
        <v>173184.6599</v>
      </c>
      <c r="Q107" s="304">
        <f t="shared" si="30"/>
        <v>188065.8876</v>
      </c>
      <c r="R107" s="304">
        <f t="shared" si="30"/>
        <v>203716.0659</v>
      </c>
      <c r="S107" s="304">
        <f t="shared" si="30"/>
        <v>220151.4051</v>
      </c>
      <c r="T107" s="304">
        <f t="shared" si="30"/>
        <v>237388.6001</v>
      </c>
      <c r="U107" s="304">
        <f t="shared" si="30"/>
        <v>255444.8451</v>
      </c>
      <c r="V107" s="304">
        <f t="shared" si="30"/>
        <v>274337.8495</v>
      </c>
      <c r="W107" s="304">
        <f t="shared" si="30"/>
        <v>293299.2241</v>
      </c>
      <c r="X107" s="304">
        <f t="shared" si="30"/>
        <v>314138.8737</v>
      </c>
      <c r="Y107" s="304">
        <f t="shared" si="30"/>
        <v>335903.0757</v>
      </c>
      <c r="Z107" s="304">
        <f t="shared" si="30"/>
        <v>358612.0678</v>
      </c>
      <c r="AA107" s="304"/>
      <c r="AB107" s="263"/>
      <c r="AC107" s="263"/>
      <c r="AD107" s="263"/>
      <c r="AE107" s="263"/>
      <c r="AF107" s="263"/>
      <c r="AG107" s="263"/>
      <c r="AH107" s="263"/>
      <c r="AI107" s="263"/>
      <c r="AJ107" s="263"/>
      <c r="AK107" s="263"/>
      <c r="AL107" s="45"/>
      <c r="AM107" s="45"/>
      <c r="AN107" s="45"/>
      <c r="AO107" s="45"/>
      <c r="AP107" s="45"/>
      <c r="AQ107" s="45"/>
      <c r="AR107" s="45"/>
      <c r="AS107" s="45"/>
      <c r="AT107" s="45"/>
      <c r="AU107" s="45"/>
    </row>
    <row r="108" ht="15.75" customHeight="1">
      <c r="A108" s="263"/>
      <c r="B108" s="304"/>
      <c r="C108" s="304"/>
      <c r="D108" s="304"/>
      <c r="E108" s="304"/>
      <c r="F108" s="304"/>
      <c r="G108" s="304"/>
      <c r="H108" s="304"/>
      <c r="I108" s="304"/>
      <c r="J108" s="304"/>
      <c r="K108" s="304"/>
      <c r="L108" s="304"/>
      <c r="M108" s="304"/>
      <c r="N108" s="304"/>
      <c r="O108" s="304"/>
      <c r="P108" s="304"/>
      <c r="Q108" s="304"/>
      <c r="R108" s="304"/>
      <c r="S108" s="304"/>
      <c r="T108" s="304"/>
      <c r="U108" s="304"/>
      <c r="V108" s="304"/>
      <c r="W108" s="304"/>
      <c r="X108" s="304"/>
      <c r="Y108" s="304"/>
      <c r="Z108" s="304"/>
      <c r="AA108" s="304"/>
      <c r="AB108" s="263"/>
      <c r="AC108" s="263"/>
      <c r="AD108" s="263"/>
      <c r="AE108" s="263"/>
      <c r="AF108" s="263"/>
      <c r="AG108" s="263"/>
      <c r="AH108" s="263"/>
      <c r="AI108" s="263"/>
      <c r="AJ108" s="263"/>
      <c r="AK108" s="263"/>
      <c r="AL108" s="45"/>
      <c r="AM108" s="45"/>
      <c r="AN108" s="45"/>
      <c r="AO108" s="45"/>
      <c r="AP108" s="45"/>
      <c r="AQ108" s="45"/>
      <c r="AR108" s="45"/>
      <c r="AS108" s="45"/>
      <c r="AT108" s="45"/>
      <c r="AU108" s="45"/>
    </row>
    <row r="109" ht="15.75" customHeight="1">
      <c r="A109" s="263" t="s">
        <v>375</v>
      </c>
      <c r="B109" s="304">
        <f t="shared" ref="B109:Z109" si="31">B125</f>
        <v>2184</v>
      </c>
      <c r="C109" s="304">
        <f t="shared" si="31"/>
        <v>2612.048879</v>
      </c>
      <c r="D109" s="304">
        <f t="shared" si="31"/>
        <v>2617.208573</v>
      </c>
      <c r="E109" s="304">
        <f t="shared" si="31"/>
        <v>2668.072036</v>
      </c>
      <c r="F109" s="304">
        <f t="shared" si="31"/>
        <v>2720.365971</v>
      </c>
      <c r="G109" s="304">
        <f t="shared" si="31"/>
        <v>2774.134199</v>
      </c>
      <c r="H109" s="304">
        <f t="shared" si="31"/>
        <v>2829.42195</v>
      </c>
      <c r="I109" s="304">
        <f t="shared" si="31"/>
        <v>2886.275903</v>
      </c>
      <c r="J109" s="304">
        <f t="shared" si="31"/>
        <v>2944.74424</v>
      </c>
      <c r="K109" s="304">
        <f t="shared" si="31"/>
        <v>3004.876692</v>
      </c>
      <c r="L109" s="304">
        <f t="shared" si="31"/>
        <v>3066.724593</v>
      </c>
      <c r="M109" s="304">
        <f t="shared" si="31"/>
        <v>3130.340927</v>
      </c>
      <c r="N109" s="304">
        <f t="shared" si="31"/>
        <v>3195.780388</v>
      </c>
      <c r="O109" s="304">
        <f t="shared" si="31"/>
        <v>3263.099433</v>
      </c>
      <c r="P109" s="304">
        <f t="shared" si="31"/>
        <v>3292.165797</v>
      </c>
      <c r="Q109" s="304">
        <f t="shared" si="31"/>
        <v>3287.648</v>
      </c>
      <c r="R109" s="304">
        <f t="shared" si="31"/>
        <v>3287.648</v>
      </c>
      <c r="S109" s="304">
        <f t="shared" si="31"/>
        <v>3287.648</v>
      </c>
      <c r="T109" s="304">
        <f t="shared" si="31"/>
        <v>3287.648</v>
      </c>
      <c r="U109" s="304">
        <f t="shared" si="31"/>
        <v>3287.648</v>
      </c>
      <c r="V109" s="304">
        <f t="shared" si="31"/>
        <v>3287.648</v>
      </c>
      <c r="W109" s="304">
        <f t="shared" si="31"/>
        <v>3287.648</v>
      </c>
      <c r="X109" s="304">
        <f t="shared" si="31"/>
        <v>3287.648</v>
      </c>
      <c r="Y109" s="304">
        <f t="shared" si="31"/>
        <v>3287.648</v>
      </c>
      <c r="Z109" s="304">
        <f t="shared" si="31"/>
        <v>3287.648</v>
      </c>
      <c r="AA109" s="304"/>
      <c r="AB109" s="263"/>
      <c r="AC109" s="263"/>
      <c r="AD109" s="263"/>
      <c r="AE109" s="263"/>
      <c r="AF109" s="263"/>
      <c r="AG109" s="263"/>
      <c r="AH109" s="263"/>
      <c r="AI109" s="263"/>
      <c r="AJ109" s="263"/>
      <c r="AK109" s="263"/>
      <c r="AL109" s="45"/>
      <c r="AM109" s="45"/>
      <c r="AN109" s="45"/>
      <c r="AO109" s="45"/>
      <c r="AP109" s="45"/>
      <c r="AQ109" s="45"/>
      <c r="AR109" s="45"/>
      <c r="AS109" s="45"/>
      <c r="AT109" s="45"/>
      <c r="AU109" s="45"/>
    </row>
    <row r="110" ht="15.75" customHeight="1">
      <c r="A110" s="263"/>
      <c r="B110" s="304"/>
      <c r="C110" s="304"/>
      <c r="D110" s="304"/>
      <c r="E110" s="304"/>
      <c r="F110" s="304"/>
      <c r="G110" s="304"/>
      <c r="H110" s="304"/>
      <c r="I110" s="304"/>
      <c r="J110" s="304"/>
      <c r="K110" s="304"/>
      <c r="L110" s="304"/>
      <c r="M110" s="304"/>
      <c r="N110" s="304"/>
      <c r="O110" s="304"/>
      <c r="P110" s="304"/>
      <c r="Q110" s="304"/>
      <c r="R110" s="304"/>
      <c r="S110" s="304"/>
      <c r="T110" s="304"/>
      <c r="U110" s="304"/>
      <c r="V110" s="304"/>
      <c r="W110" s="304"/>
      <c r="X110" s="304"/>
      <c r="Y110" s="304"/>
      <c r="Z110" s="304"/>
      <c r="AA110" s="304"/>
      <c r="AB110" s="263"/>
      <c r="AC110" s="263"/>
      <c r="AD110" s="263"/>
      <c r="AE110" s="263"/>
      <c r="AF110" s="263"/>
      <c r="AG110" s="263"/>
      <c r="AH110" s="263"/>
      <c r="AI110" s="263"/>
      <c r="AJ110" s="263"/>
      <c r="AK110" s="263"/>
      <c r="AL110" s="45"/>
      <c r="AM110" s="45"/>
      <c r="AN110" s="45"/>
      <c r="AO110" s="45"/>
      <c r="AP110" s="45"/>
      <c r="AQ110" s="45"/>
      <c r="AR110" s="45"/>
      <c r="AS110" s="45"/>
      <c r="AT110" s="45"/>
      <c r="AU110" s="45"/>
    </row>
    <row r="111" ht="15.75" customHeight="1">
      <c r="A111" s="263"/>
      <c r="B111" s="304"/>
      <c r="C111" s="304"/>
      <c r="D111" s="304"/>
      <c r="E111" s="304"/>
      <c r="F111" s="304"/>
      <c r="G111" s="304"/>
      <c r="H111" s="304"/>
      <c r="I111" s="304"/>
      <c r="J111" s="304"/>
      <c r="K111" s="304"/>
      <c r="L111" s="304"/>
      <c r="M111" s="304"/>
      <c r="N111" s="304"/>
      <c r="O111" s="304"/>
      <c r="P111" s="304"/>
      <c r="Q111" s="304"/>
      <c r="R111" s="304"/>
      <c r="S111" s="304"/>
      <c r="T111" s="304"/>
      <c r="U111" s="304"/>
      <c r="V111" s="304"/>
      <c r="W111" s="304"/>
      <c r="X111" s="304"/>
      <c r="Y111" s="304"/>
      <c r="Z111" s="304"/>
      <c r="AA111" s="304"/>
      <c r="AB111" s="263"/>
      <c r="AC111" s="263"/>
      <c r="AD111" s="263"/>
      <c r="AE111" s="263"/>
      <c r="AF111" s="263"/>
      <c r="AG111" s="263"/>
      <c r="AH111" s="263"/>
      <c r="AI111" s="263"/>
      <c r="AJ111" s="263"/>
      <c r="AK111" s="263"/>
      <c r="AL111" s="45"/>
      <c r="AM111" s="45"/>
      <c r="AN111" s="45"/>
      <c r="AO111" s="45"/>
      <c r="AP111" s="45"/>
      <c r="AQ111" s="45"/>
      <c r="AR111" s="45"/>
      <c r="AS111" s="45"/>
      <c r="AT111" s="45"/>
      <c r="AU111" s="45"/>
    </row>
    <row r="112" ht="15.75" customHeight="1">
      <c r="A112" s="303" t="s">
        <v>376</v>
      </c>
      <c r="B112" s="304"/>
      <c r="C112" s="304"/>
      <c r="D112" s="304"/>
      <c r="E112" s="304"/>
      <c r="F112" s="304"/>
      <c r="G112" s="304"/>
      <c r="H112" s="304"/>
      <c r="I112" s="304"/>
      <c r="J112" s="304"/>
      <c r="K112" s="304"/>
      <c r="L112" s="304"/>
      <c r="M112" s="304"/>
      <c r="N112" s="304"/>
      <c r="O112" s="304"/>
      <c r="P112" s="304"/>
      <c r="Q112" s="304"/>
      <c r="R112" s="304"/>
      <c r="S112" s="304"/>
      <c r="T112" s="304"/>
      <c r="U112" s="304"/>
      <c r="V112" s="304"/>
      <c r="W112" s="304"/>
      <c r="X112" s="304"/>
      <c r="Y112" s="304"/>
      <c r="Z112" s="304"/>
      <c r="AA112" s="304"/>
      <c r="AB112" s="263"/>
      <c r="AC112" s="263"/>
      <c r="AD112" s="263"/>
      <c r="AE112" s="263"/>
      <c r="AF112" s="263"/>
      <c r="AG112" s="263"/>
      <c r="AH112" s="263"/>
      <c r="AI112" s="263"/>
      <c r="AJ112" s="263"/>
      <c r="AK112" s="263"/>
      <c r="AL112" s="45"/>
      <c r="AM112" s="45"/>
      <c r="AN112" s="45"/>
      <c r="AO112" s="45"/>
      <c r="AP112" s="45"/>
      <c r="AQ112" s="45"/>
      <c r="AR112" s="45"/>
      <c r="AS112" s="45"/>
      <c r="AT112" s="45"/>
      <c r="AU112" s="45"/>
    </row>
    <row r="113" ht="15.75" customHeight="1">
      <c r="A113" s="306" t="s">
        <v>377</v>
      </c>
      <c r="B113" s="304">
        <f>T4+F4</f>
        <v>-1827.659016</v>
      </c>
      <c r="C113" s="304">
        <f>T5+F5</f>
        <v>2488.656276</v>
      </c>
      <c r="D113" s="304">
        <f>T6+F6</f>
        <v>2813.820706</v>
      </c>
      <c r="E113" s="304">
        <f>T7+F7</f>
        <v>3148.104527</v>
      </c>
      <c r="F113" s="304">
        <f>T8+F8</f>
        <v>3491.786647</v>
      </c>
      <c r="G113" s="304">
        <f>T9+F9</f>
        <v>3845.154925</v>
      </c>
      <c r="H113" s="304">
        <f>T10+F10</f>
        <v>4208.506455</v>
      </c>
      <c r="I113" s="304">
        <f>T11+F11</f>
        <v>4582.147874</v>
      </c>
      <c r="J113" s="304">
        <f>T12+F12</f>
        <v>4966.395677</v>
      </c>
      <c r="K113" s="304">
        <f>T13+F13</f>
        <v>5361.576537</v>
      </c>
      <c r="L113" s="304">
        <f>T14+F14</f>
        <v>5768.027641</v>
      </c>
      <c r="M113" s="304">
        <f>T15+F15</f>
        <v>6186.097038</v>
      </c>
      <c r="N113" s="304">
        <f>T16+F16</f>
        <v>6616.143995</v>
      </c>
      <c r="O113" s="304">
        <f>T17+F17</f>
        <v>7058.539364</v>
      </c>
      <c r="P113" s="304">
        <f>T18+F18</f>
        <v>7513.665966</v>
      </c>
      <c r="Q113" s="304">
        <f>T19+F19</f>
        <v>7981.918986</v>
      </c>
      <c r="R113" s="304">
        <f>T20+F20</f>
        <v>8463.706378</v>
      </c>
      <c r="S113" s="304">
        <f>T21+F21</f>
        <v>8959.449284</v>
      </c>
      <c r="T113" s="304">
        <f>T22+F22</f>
        <v>9469.582476</v>
      </c>
      <c r="U113" s="304">
        <f>T23+F23</f>
        <v>9994.554796</v>
      </c>
      <c r="V113" s="304">
        <f>T24+F24</f>
        <v>10534.82963</v>
      </c>
      <c r="W113" s="304">
        <f>T25+F25</f>
        <v>11090.88537</v>
      </c>
      <c r="X113" s="304">
        <f>T26+F26</f>
        <v>11663.21594</v>
      </c>
      <c r="Y113" s="304">
        <f>T27+F27</f>
        <v>12252.33128</v>
      </c>
      <c r="Z113" s="304">
        <f>T28+F28</f>
        <v>12858.75788</v>
      </c>
      <c r="AA113" s="304"/>
      <c r="AB113" s="263"/>
      <c r="AC113" s="263"/>
      <c r="AD113" s="263"/>
      <c r="AE113" s="263"/>
      <c r="AF113" s="263"/>
      <c r="AG113" s="263"/>
      <c r="AH113" s="263"/>
      <c r="AI113" s="263"/>
      <c r="AJ113" s="263"/>
      <c r="AK113" s="263"/>
      <c r="AL113" s="45"/>
      <c r="AM113" s="45"/>
      <c r="AN113" s="45"/>
      <c r="AO113" s="45"/>
      <c r="AP113" s="45"/>
      <c r="AQ113" s="45"/>
      <c r="AR113" s="45"/>
      <c r="AS113" s="45"/>
      <c r="AT113" s="45"/>
      <c r="AU113" s="45"/>
    </row>
    <row r="114" ht="15.75" customHeight="1">
      <c r="A114" s="306" t="s">
        <v>378</v>
      </c>
      <c r="B114" s="304">
        <f>IF(B113&gt;=0,0,IF(Q4&gt;=R4,MAX(B113,-'Barème fiscal'!$B$11),MAX(-C4,-'Barème fiscal'!$B$11)))</f>
        <v>-1827.659016</v>
      </c>
      <c r="C114" s="304">
        <f>IF(C113&gt;=0,0,IF(Q5&gt;=R5,MAX(C113,-'Barème fiscal'!$B$11),MAX(-C5,-'Barème fiscal'!$B$11)))</f>
        <v>0</v>
      </c>
      <c r="D114" s="304">
        <f>IF(D113&gt;=0,0,IF(Q6&gt;=R6,MAX(D113,-'Barème fiscal'!$B$11),MAX(-C6,-'Barème fiscal'!$B$11)))</f>
        <v>0</v>
      </c>
      <c r="E114" s="304">
        <f>IF(E113&gt;=0,0,IF(Q7&gt;=R7,MAX(E113,-'Barème fiscal'!$B$11),MAX(-C7,-'Barème fiscal'!$B$11)))</f>
        <v>0</v>
      </c>
      <c r="F114" s="304">
        <f>IF(F113&gt;=0,0,IF(Q8&gt;=R8,MAX(F113,-'Barème fiscal'!$B$11),MAX(-C8,-'Barème fiscal'!$B$11)))</f>
        <v>0</v>
      </c>
      <c r="G114" s="304">
        <f>IF(G113&gt;=0,0,IF(Q9&gt;=R9,MAX(G113,-'Barème fiscal'!$B$11),MAX(-C9,-'Barème fiscal'!$B$11)))</f>
        <v>0</v>
      </c>
      <c r="H114" s="304">
        <f>IF(H113&gt;=0,0,IF(Q10&gt;=R10,MAX(H113,-'Barème fiscal'!$B$11),MAX(-C10,-'Barème fiscal'!$B$11)))</f>
        <v>0</v>
      </c>
      <c r="I114" s="304">
        <f>IF(I113&gt;=0,0,IF(Q11&gt;=R11,MAX(I113,-'Barème fiscal'!$B$11),MAX(-C11,-'Barème fiscal'!$B$11)))</f>
        <v>0</v>
      </c>
      <c r="J114" s="304">
        <f>IF(J113&gt;=0,0,IF(Q12&gt;=R12,MAX(J113,-'Barème fiscal'!$B$11),MAX(-C12,-'Barème fiscal'!$B$11)))</f>
        <v>0</v>
      </c>
      <c r="K114" s="304">
        <f>IF(K113&gt;=0,0,IF(Q13&gt;=R13,MAX(K113,-'Barème fiscal'!$B$11),MAX(-C13,-'Barème fiscal'!$B$11)))</f>
        <v>0</v>
      </c>
      <c r="L114" s="304">
        <f>IF(L113&gt;=0,0,IF(Q14&gt;=R14,MAX(L113,-'Barème fiscal'!$B$11),MAX(-C14,-'Barème fiscal'!$B$11)))</f>
        <v>0</v>
      </c>
      <c r="M114" s="304">
        <f>IF(M113&gt;=0,0,IF(Q15&gt;=R15,MAX(M113,-'Barème fiscal'!$B$11),MAX(-C15,-'Barème fiscal'!$B$11)))</f>
        <v>0</v>
      </c>
      <c r="N114" s="304">
        <f>IF(N113&gt;=0,0,IF(Q16&gt;=R16,MAX(N113,-'Barème fiscal'!$B$11),MAX(-C16,-'Barème fiscal'!$B$11)))</f>
        <v>0</v>
      </c>
      <c r="O114" s="304">
        <f>IF(O113&gt;=0,0,IF(Q17&gt;=R17,MAX(O113,-'Barème fiscal'!$B$11),MAX(-C17,-'Barème fiscal'!$B$11)))</f>
        <v>0</v>
      </c>
      <c r="P114" s="304">
        <f>IF(P113&gt;=0,0,IF(Q18&gt;=R18,MAX(P113,-'Barème fiscal'!$B$11),MAX(-C18,-'Barème fiscal'!$B$11)))</f>
        <v>0</v>
      </c>
      <c r="Q114" s="304">
        <f>IF(Q113&gt;=0,0,IF(Q19&gt;=R19,MAX(Q113,-'Barème fiscal'!$B$11),MAX(-C19,-'Barème fiscal'!$B$11)))</f>
        <v>0</v>
      </c>
      <c r="R114" s="304">
        <f>IF(R113&gt;=0,0,IF(Q20&gt;=R20,MAX(R113,-'Barème fiscal'!$B$11),MAX(-C20,-'Barème fiscal'!$B$11)))</f>
        <v>0</v>
      </c>
      <c r="S114" s="304">
        <f>IF(S113&gt;=0,0,IF(Q21&gt;=R21,MAX(S113,-'Barème fiscal'!$B$11),MAX(-C21,-'Barème fiscal'!$B$11)))</f>
        <v>0</v>
      </c>
      <c r="T114" s="304">
        <f>IF(T113&gt;=0,0,IF(Q22&gt;=R22,MAX(T113,-'Barème fiscal'!$B$11),MAX(-C22,-'Barème fiscal'!$B$11)))</f>
        <v>0</v>
      </c>
      <c r="U114" s="304">
        <f>IF(U113&gt;=0,0,IF(Q23&gt;=R23,MAX(U113,-'Barème fiscal'!$B$11),MAX(-C23,-'Barème fiscal'!$B$11)))</f>
        <v>0</v>
      </c>
      <c r="V114" s="304">
        <f>IF(V113&gt;=0,0,IF(Q24&gt;=R24,MAX(V113,-'Barème fiscal'!$B$11),MAX(-C24,-'Barème fiscal'!$B$11)))</f>
        <v>0</v>
      </c>
      <c r="W114" s="304">
        <f>IF(W113&gt;=0,0,IF(Q25&gt;=R25,MAX(W113,-'Barème fiscal'!$B$11),MAX(-C25,-'Barème fiscal'!$B$11)))</f>
        <v>0</v>
      </c>
      <c r="X114" s="304">
        <f>IF(X113&gt;=0,0,IF(Q26&gt;=R26,MAX(X113,-'Barème fiscal'!$B$11),MAX(-C26,-'Barème fiscal'!$B$11)))</f>
        <v>0</v>
      </c>
      <c r="Y114" s="304">
        <f>IF(Y113&gt;=0,0,IF(Q27&gt;=R27,MAX(Y113,-'Barème fiscal'!$B$11),MAX(-C27,-'Barème fiscal'!$B$11)))</f>
        <v>0</v>
      </c>
      <c r="Z114" s="304">
        <f>IF(Z113&gt;=0,0,IF(Q28&gt;=R28,MAX(Z113,-'Barème fiscal'!$B$11),MAX(-C28,-'Barème fiscal'!$B$11)))</f>
        <v>0</v>
      </c>
      <c r="AA114" s="304"/>
      <c r="AB114" s="263"/>
      <c r="AC114" s="263"/>
      <c r="AD114" s="263"/>
      <c r="AE114" s="263"/>
      <c r="AF114" s="263"/>
      <c r="AG114" s="263"/>
      <c r="AH114" s="263"/>
      <c r="AI114" s="263"/>
      <c r="AJ114" s="263"/>
      <c r="AK114" s="263"/>
      <c r="AL114" s="45"/>
      <c r="AM114" s="45"/>
      <c r="AN114" s="45"/>
      <c r="AO114" s="45"/>
      <c r="AP114" s="45"/>
      <c r="AQ114" s="45"/>
      <c r="AR114" s="45"/>
      <c r="AS114" s="45"/>
      <c r="AT114" s="45"/>
      <c r="AU114" s="45"/>
    </row>
    <row r="115" ht="15.75" customHeight="1">
      <c r="A115" s="306" t="s">
        <v>379</v>
      </c>
      <c r="B115" s="304">
        <f>IF(B113&gt;=0,0,IF(Q4&gt;=R4,MAX(0,-B113-'Barème fiscal'!$B$11),(R4-Q4)+MAX(0,C4-'Barème fiscal'!$B$11)))</f>
        <v>0</v>
      </c>
      <c r="C115" s="304">
        <f>IF(C113&gt;=0,0,IF(Q5&gt;=R5,MAX(0,-C113-'Barème fiscal'!$B$11),(R5-Q5)+MAX(0,C5-'Barème fiscal'!$B$11)))</f>
        <v>0</v>
      </c>
      <c r="D115" s="304">
        <f>IF(D113&gt;=0,0,IF(Q6&gt;=R6,MAX(0,-D113-'Barème fiscal'!$B$11),(R6-Q6)+MAX(0,C6-'Barème fiscal'!$B$11)))</f>
        <v>0</v>
      </c>
      <c r="E115" s="304">
        <f>IF(E113&gt;=0,0,IF(Q7&gt;=R7,MAX(0,-E113-'Barème fiscal'!$B$11),(R7-Q7)+MAX(0,C7-'Barème fiscal'!$B$11)))</f>
        <v>0</v>
      </c>
      <c r="F115" s="304">
        <f>IF(F113&gt;=0,0,IF(Q8&gt;=R8,MAX(0,-F113-'Barème fiscal'!$B$11),(R8-Q8)+MAX(0,C8-'Barème fiscal'!$B$11)))</f>
        <v>0</v>
      </c>
      <c r="G115" s="304">
        <f>IF(G113&gt;=0,0,IF(Q9&gt;=R9,MAX(0,-G113-'Barème fiscal'!$B$11),(R9-Q9)+MAX(0,C9-'Barème fiscal'!$B$11)))</f>
        <v>0</v>
      </c>
      <c r="H115" s="304">
        <f>IF(H113&gt;=0,0,IF(Q10&gt;=R10,MAX(0,-H113-'Barème fiscal'!$B$11),(R10-Q10)+MAX(0,C10-'Barème fiscal'!$B$11)))</f>
        <v>0</v>
      </c>
      <c r="I115" s="304">
        <f>IF(I113&gt;=0,0,IF(Q11&gt;=R11,MAX(0,-I113-'Barème fiscal'!$B$11),(R11-Q11)+MAX(0,C11-'Barème fiscal'!$B$11)))</f>
        <v>0</v>
      </c>
      <c r="J115" s="304">
        <f>IF(J113&gt;=0,0,IF(Q12&gt;=R12,MAX(0,-J113-'Barème fiscal'!$B$11),(R12-Q12)+MAX(0,C12-'Barème fiscal'!$B$11)))</f>
        <v>0</v>
      </c>
      <c r="K115" s="304">
        <f>IF(K113&gt;=0,0,IF(Q13&gt;=R13,MAX(0,-K113-'Barème fiscal'!$B$11),(R13-Q13)+MAX(0,C13-'Barème fiscal'!$B$11)))</f>
        <v>0</v>
      </c>
      <c r="L115" s="304">
        <f>IF(L113&gt;=0,0,IF(Q14&gt;=R14,MAX(0,-L113-'Barème fiscal'!$B$11),(R14-Q14)+MAX(0,C14-'Barème fiscal'!$B$11)))</f>
        <v>0</v>
      </c>
      <c r="M115" s="304">
        <f>IF(M113&gt;=0,0,IF(Q15&gt;=R15,MAX(0,-M113-'Barème fiscal'!$B$11),(R15-Q15)+MAX(0,C15-'Barème fiscal'!$B$11)))</f>
        <v>0</v>
      </c>
      <c r="N115" s="304">
        <f>IF(N113&gt;=0,0,IF(Q16&gt;=R16,MAX(0,-N113-'Barème fiscal'!$B$11),(R16-Q16)+MAX(0,C16-'Barème fiscal'!$B$11)))</f>
        <v>0</v>
      </c>
      <c r="O115" s="304">
        <f>IF(O113&gt;=0,0,IF(Q17&gt;=R17,MAX(0,-O113-'Barème fiscal'!$B$11),(R17-Q17)+MAX(0,C17-'Barème fiscal'!$B$11)))</f>
        <v>0</v>
      </c>
      <c r="P115" s="304">
        <f>IF(P113&gt;=0,0,IF(Q18&gt;=R18,MAX(0,-P113-'Barème fiscal'!$B$11),(R18-Q18)+MAX(0,C18-'Barème fiscal'!$B$11)))</f>
        <v>0</v>
      </c>
      <c r="Q115" s="304">
        <f>IF(Q113&gt;=0,0,IF(Q19&gt;=R19,MAX(0,-Q113-'Barème fiscal'!$B$11),(R19-Q19)+MAX(0,C19-'Barème fiscal'!$B$11)))</f>
        <v>0</v>
      </c>
      <c r="R115" s="304">
        <f>IF(R113&gt;=0,0,IF(Q20&gt;=R20,MAX(0,-R113-'Barème fiscal'!$B$11),(R20-Q20)+MAX(0,C20-'Barème fiscal'!$B$11)))</f>
        <v>0</v>
      </c>
      <c r="S115" s="304">
        <f>IF(S113&gt;=0,0,IF(Q21&gt;=R21,MAX(0,-S113-'Barème fiscal'!$B$11),(R21-Q21)+MAX(0,C21-'Barème fiscal'!$B$11)))</f>
        <v>0</v>
      </c>
      <c r="T115" s="304">
        <f>IF(T113&gt;=0,0,IF(Q22&gt;=R22,MAX(0,-T113-'Barème fiscal'!$B$11),(R22-Q22)+MAX(0,C22-'Barème fiscal'!$B$11)))</f>
        <v>0</v>
      </c>
      <c r="U115" s="304">
        <f>IF(U113&gt;=0,0,IF(Q23&gt;=R23,MAX(0,-U113-'Barème fiscal'!$B$11),(R23-Q23)+MAX(0,C23-'Barème fiscal'!$B$11)))</f>
        <v>0</v>
      </c>
      <c r="V115" s="304">
        <f>IF(V113&gt;=0,0,IF(Q24&gt;=R24,MAX(0,-V113-'Barème fiscal'!$B$11),(R24-Q24)+MAX(0,C24-'Barème fiscal'!$B$11)))</f>
        <v>0</v>
      </c>
      <c r="W115" s="304">
        <f>IF(W113&gt;=0,0,IF(Q25&gt;=R25,MAX(0,-W113-'Barème fiscal'!$B$11),(R25-Q25)+MAX(0,C25-'Barème fiscal'!$B$11)))</f>
        <v>0</v>
      </c>
      <c r="X115" s="304">
        <f>IF(X113&gt;=0,0,IF(Q26&gt;=R26,MAX(0,-X113-'Barème fiscal'!$B$11),(R26-Q26)+MAX(0,C26-'Barème fiscal'!$B$11)))</f>
        <v>0</v>
      </c>
      <c r="Y115" s="304">
        <f>IF(Y113&gt;=0,0,IF(Q27&gt;=R27,MAX(0,-Y113-'Barème fiscal'!$B$11),(R27-Q27)+MAX(0,C27-'Barème fiscal'!$B$11)))</f>
        <v>0</v>
      </c>
      <c r="Z115" s="304">
        <f>IF(Z113&gt;=0,0,IF(Q28&gt;=R28,MAX(0,-Z113-'Barème fiscal'!$B$11),(R28-Q28)+MAX(0,C28-'Barème fiscal'!$B$11)))</f>
        <v>0</v>
      </c>
      <c r="AA115" s="304"/>
      <c r="AB115" s="263"/>
      <c r="AC115" s="263"/>
      <c r="AD115" s="263"/>
      <c r="AE115" s="263"/>
      <c r="AF115" s="263"/>
      <c r="AG115" s="263"/>
      <c r="AH115" s="263"/>
      <c r="AI115" s="263"/>
      <c r="AJ115" s="263"/>
      <c r="AK115" s="263"/>
      <c r="AL115" s="45"/>
      <c r="AM115" s="45"/>
      <c r="AN115" s="45"/>
      <c r="AO115" s="45"/>
      <c r="AP115" s="45"/>
      <c r="AQ115" s="45"/>
      <c r="AR115" s="45"/>
      <c r="AS115" s="45"/>
      <c r="AT115" s="45"/>
      <c r="AU115" s="45"/>
    </row>
    <row r="116" ht="15.75" customHeight="1">
      <c r="A116" s="306" t="s">
        <v>380</v>
      </c>
      <c r="B116" s="304">
        <f>B115</f>
        <v>0</v>
      </c>
      <c r="C116" s="304">
        <f t="shared" ref="C116:Z116" si="32">B116+C115-B117-C118</f>
        <v>0</v>
      </c>
      <c r="D116" s="304">
        <f t="shared" si="32"/>
        <v>0</v>
      </c>
      <c r="E116" s="304">
        <f t="shared" si="32"/>
        <v>0</v>
      </c>
      <c r="F116" s="304">
        <f t="shared" si="32"/>
        <v>0</v>
      </c>
      <c r="G116" s="304">
        <f t="shared" si="32"/>
        <v>0</v>
      </c>
      <c r="H116" s="304">
        <f t="shared" si="32"/>
        <v>0</v>
      </c>
      <c r="I116" s="304">
        <f t="shared" si="32"/>
        <v>0</v>
      </c>
      <c r="J116" s="304">
        <f t="shared" si="32"/>
        <v>0</v>
      </c>
      <c r="K116" s="304">
        <f t="shared" si="32"/>
        <v>0</v>
      </c>
      <c r="L116" s="304">
        <f t="shared" si="32"/>
        <v>0</v>
      </c>
      <c r="M116" s="304">
        <f t="shared" si="32"/>
        <v>0</v>
      </c>
      <c r="N116" s="304">
        <f t="shared" si="32"/>
        <v>0</v>
      </c>
      <c r="O116" s="304">
        <f t="shared" si="32"/>
        <v>0</v>
      </c>
      <c r="P116" s="304">
        <f t="shared" si="32"/>
        <v>0</v>
      </c>
      <c r="Q116" s="304">
        <f t="shared" si="32"/>
        <v>0</v>
      </c>
      <c r="R116" s="304">
        <f t="shared" si="32"/>
        <v>0</v>
      </c>
      <c r="S116" s="304">
        <f t="shared" si="32"/>
        <v>0</v>
      </c>
      <c r="T116" s="304">
        <f t="shared" si="32"/>
        <v>0</v>
      </c>
      <c r="U116" s="304">
        <f t="shared" si="32"/>
        <v>0</v>
      </c>
      <c r="V116" s="304">
        <f t="shared" si="32"/>
        <v>0</v>
      </c>
      <c r="W116" s="304">
        <f t="shared" si="32"/>
        <v>0</v>
      </c>
      <c r="X116" s="304">
        <f t="shared" si="32"/>
        <v>0</v>
      </c>
      <c r="Y116" s="304">
        <f t="shared" si="32"/>
        <v>0</v>
      </c>
      <c r="Z116" s="304">
        <f t="shared" si="32"/>
        <v>0</v>
      </c>
      <c r="AA116" s="304"/>
      <c r="AB116" s="263"/>
      <c r="AC116" s="263"/>
      <c r="AD116" s="263"/>
      <c r="AE116" s="263"/>
      <c r="AF116" s="263"/>
      <c r="AG116" s="263"/>
      <c r="AH116" s="263"/>
      <c r="AI116" s="263"/>
      <c r="AJ116" s="263"/>
      <c r="AK116" s="263"/>
      <c r="AL116" s="45"/>
      <c r="AM116" s="45"/>
      <c r="AN116" s="45"/>
      <c r="AO116" s="45"/>
      <c r="AP116" s="45"/>
      <c r="AQ116" s="45"/>
      <c r="AR116" s="45"/>
      <c r="AS116" s="45"/>
      <c r="AT116" s="45"/>
      <c r="AU116" s="45"/>
    </row>
    <row r="117" ht="15.75" customHeight="1">
      <c r="A117" s="306" t="s">
        <v>381</v>
      </c>
      <c r="B117" s="304">
        <f t="shared" ref="B117:Z117" si="33">IF(B113&gt;0,MIN(B116,B113),0)</f>
        <v>0</v>
      </c>
      <c r="C117" s="304">
        <f t="shared" si="33"/>
        <v>0</v>
      </c>
      <c r="D117" s="304">
        <f t="shared" si="33"/>
        <v>0</v>
      </c>
      <c r="E117" s="304">
        <f t="shared" si="33"/>
        <v>0</v>
      </c>
      <c r="F117" s="304">
        <f t="shared" si="33"/>
        <v>0</v>
      </c>
      <c r="G117" s="304">
        <f t="shared" si="33"/>
        <v>0</v>
      </c>
      <c r="H117" s="304">
        <f t="shared" si="33"/>
        <v>0</v>
      </c>
      <c r="I117" s="304">
        <f t="shared" si="33"/>
        <v>0</v>
      </c>
      <c r="J117" s="304">
        <f t="shared" si="33"/>
        <v>0</v>
      </c>
      <c r="K117" s="304">
        <f t="shared" si="33"/>
        <v>0</v>
      </c>
      <c r="L117" s="304">
        <f t="shared" si="33"/>
        <v>0</v>
      </c>
      <c r="M117" s="304">
        <f t="shared" si="33"/>
        <v>0</v>
      </c>
      <c r="N117" s="304">
        <f t="shared" si="33"/>
        <v>0</v>
      </c>
      <c r="O117" s="304">
        <f t="shared" si="33"/>
        <v>0</v>
      </c>
      <c r="P117" s="304">
        <f t="shared" si="33"/>
        <v>0</v>
      </c>
      <c r="Q117" s="304">
        <f t="shared" si="33"/>
        <v>0</v>
      </c>
      <c r="R117" s="304">
        <f t="shared" si="33"/>
        <v>0</v>
      </c>
      <c r="S117" s="304">
        <f t="shared" si="33"/>
        <v>0</v>
      </c>
      <c r="T117" s="304">
        <f t="shared" si="33"/>
        <v>0</v>
      </c>
      <c r="U117" s="304">
        <f t="shared" si="33"/>
        <v>0</v>
      </c>
      <c r="V117" s="304">
        <f t="shared" si="33"/>
        <v>0</v>
      </c>
      <c r="W117" s="304">
        <f t="shared" si="33"/>
        <v>0</v>
      </c>
      <c r="X117" s="304">
        <f t="shared" si="33"/>
        <v>0</v>
      </c>
      <c r="Y117" s="304">
        <f t="shared" si="33"/>
        <v>0</v>
      </c>
      <c r="Z117" s="304">
        <f t="shared" si="33"/>
        <v>0</v>
      </c>
      <c r="AA117" s="304"/>
      <c r="AB117" s="263"/>
      <c r="AC117" s="263"/>
      <c r="AD117" s="263"/>
      <c r="AE117" s="263"/>
      <c r="AF117" s="263"/>
      <c r="AG117" s="263"/>
      <c r="AH117" s="263"/>
      <c r="AI117" s="263"/>
      <c r="AJ117" s="263"/>
      <c r="AK117" s="263"/>
      <c r="AL117" s="45"/>
      <c r="AM117" s="45"/>
      <c r="AN117" s="45"/>
      <c r="AO117" s="45"/>
      <c r="AP117" s="45"/>
      <c r="AQ117" s="45"/>
      <c r="AR117" s="45"/>
      <c r="AS117" s="45"/>
      <c r="AT117" s="45"/>
      <c r="AU117" s="45"/>
    </row>
    <row r="118" ht="15.75" customHeight="1">
      <c r="A118" s="306" t="s">
        <v>382</v>
      </c>
      <c r="B118" s="304">
        <v>0.0</v>
      </c>
      <c r="C118" s="304">
        <v>0.0</v>
      </c>
      <c r="D118" s="304">
        <v>0.0</v>
      </c>
      <c r="E118" s="304">
        <v>0.0</v>
      </c>
      <c r="F118" s="304">
        <v>0.0</v>
      </c>
      <c r="G118" s="304">
        <v>0.0</v>
      </c>
      <c r="H118" s="304">
        <v>0.0</v>
      </c>
      <c r="I118" s="304">
        <v>0.0</v>
      </c>
      <c r="J118" s="304">
        <v>0.0</v>
      </c>
      <c r="K118" s="304">
        <v>0.0</v>
      </c>
      <c r="L118" s="304">
        <f t="shared" ref="L118:Z118" si="34">B115</f>
        <v>0</v>
      </c>
      <c r="M118" s="304">
        <f t="shared" si="34"/>
        <v>0</v>
      </c>
      <c r="N118" s="304">
        <f t="shared" si="34"/>
        <v>0</v>
      </c>
      <c r="O118" s="304">
        <f t="shared" si="34"/>
        <v>0</v>
      </c>
      <c r="P118" s="304">
        <f t="shared" si="34"/>
        <v>0</v>
      </c>
      <c r="Q118" s="304">
        <f t="shared" si="34"/>
        <v>0</v>
      </c>
      <c r="R118" s="304">
        <f t="shared" si="34"/>
        <v>0</v>
      </c>
      <c r="S118" s="304">
        <f t="shared" si="34"/>
        <v>0</v>
      </c>
      <c r="T118" s="304">
        <f t="shared" si="34"/>
        <v>0</v>
      </c>
      <c r="U118" s="304">
        <f t="shared" si="34"/>
        <v>0</v>
      </c>
      <c r="V118" s="304">
        <f t="shared" si="34"/>
        <v>0</v>
      </c>
      <c r="W118" s="304">
        <f t="shared" si="34"/>
        <v>0</v>
      </c>
      <c r="X118" s="304">
        <f t="shared" si="34"/>
        <v>0</v>
      </c>
      <c r="Y118" s="304">
        <f t="shared" si="34"/>
        <v>0</v>
      </c>
      <c r="Z118" s="304">
        <f t="shared" si="34"/>
        <v>0</v>
      </c>
      <c r="AA118" s="304"/>
      <c r="AB118" s="263"/>
      <c r="AC118" s="263"/>
      <c r="AD118" s="263"/>
      <c r="AE118" s="263"/>
      <c r="AF118" s="263"/>
      <c r="AG118" s="263"/>
      <c r="AH118" s="263"/>
      <c r="AI118" s="263"/>
      <c r="AJ118" s="263"/>
      <c r="AK118" s="263"/>
      <c r="AL118" s="45"/>
      <c r="AM118" s="45"/>
      <c r="AN118" s="45"/>
      <c r="AO118" s="45"/>
      <c r="AP118" s="45"/>
      <c r="AQ118" s="45"/>
      <c r="AR118" s="45"/>
      <c r="AS118" s="45"/>
      <c r="AT118" s="45"/>
      <c r="AU118" s="45"/>
    </row>
    <row r="119" ht="15.75" customHeight="1">
      <c r="A119" s="306" t="s">
        <v>383</v>
      </c>
      <c r="B119" s="304">
        <f t="shared" ref="B119:Z119" si="35">MAX(0,B113-B117)</f>
        <v>0</v>
      </c>
      <c r="C119" s="304">
        <f t="shared" si="35"/>
        <v>2488.656276</v>
      </c>
      <c r="D119" s="304">
        <f t="shared" si="35"/>
        <v>2813.820706</v>
      </c>
      <c r="E119" s="304">
        <f t="shared" si="35"/>
        <v>3148.104527</v>
      </c>
      <c r="F119" s="304">
        <f t="shared" si="35"/>
        <v>3491.786647</v>
      </c>
      <c r="G119" s="304">
        <f t="shared" si="35"/>
        <v>3845.154925</v>
      </c>
      <c r="H119" s="304">
        <f t="shared" si="35"/>
        <v>4208.506455</v>
      </c>
      <c r="I119" s="304">
        <f t="shared" si="35"/>
        <v>4582.147874</v>
      </c>
      <c r="J119" s="304">
        <f t="shared" si="35"/>
        <v>4966.395677</v>
      </c>
      <c r="K119" s="304">
        <f t="shared" si="35"/>
        <v>5361.576537</v>
      </c>
      <c r="L119" s="304">
        <f t="shared" si="35"/>
        <v>5768.027641</v>
      </c>
      <c r="M119" s="304">
        <f t="shared" si="35"/>
        <v>6186.097038</v>
      </c>
      <c r="N119" s="304">
        <f t="shared" si="35"/>
        <v>6616.143995</v>
      </c>
      <c r="O119" s="304">
        <f t="shared" si="35"/>
        <v>7058.539364</v>
      </c>
      <c r="P119" s="304">
        <f t="shared" si="35"/>
        <v>7513.665966</v>
      </c>
      <c r="Q119" s="304">
        <f t="shared" si="35"/>
        <v>7981.918986</v>
      </c>
      <c r="R119" s="304">
        <f t="shared" si="35"/>
        <v>8463.706378</v>
      </c>
      <c r="S119" s="304">
        <f t="shared" si="35"/>
        <v>8959.449284</v>
      </c>
      <c r="T119" s="304">
        <f t="shared" si="35"/>
        <v>9469.582476</v>
      </c>
      <c r="U119" s="304">
        <f t="shared" si="35"/>
        <v>9994.554796</v>
      </c>
      <c r="V119" s="304">
        <f t="shared" si="35"/>
        <v>10534.82963</v>
      </c>
      <c r="W119" s="304">
        <f t="shared" si="35"/>
        <v>11090.88537</v>
      </c>
      <c r="X119" s="304">
        <f t="shared" si="35"/>
        <v>11663.21594</v>
      </c>
      <c r="Y119" s="304">
        <f t="shared" si="35"/>
        <v>12252.33128</v>
      </c>
      <c r="Z119" s="304">
        <f t="shared" si="35"/>
        <v>12858.75788</v>
      </c>
      <c r="AA119" s="304"/>
      <c r="AB119" s="263"/>
      <c r="AC119" s="263"/>
      <c r="AD119" s="263"/>
      <c r="AE119" s="263"/>
      <c r="AF119" s="263"/>
      <c r="AG119" s="263"/>
      <c r="AH119" s="263"/>
      <c r="AI119" s="263"/>
      <c r="AJ119" s="263"/>
      <c r="AK119" s="263"/>
      <c r="AL119" s="45"/>
      <c r="AM119" s="45"/>
      <c r="AN119" s="45"/>
      <c r="AO119" s="45"/>
      <c r="AP119" s="45"/>
      <c r="AQ119" s="45"/>
      <c r="AR119" s="45"/>
      <c r="AS119" s="45"/>
      <c r="AT119" s="45"/>
      <c r="AU119" s="45"/>
    </row>
    <row r="120" ht="15.75" customHeight="1">
      <c r="A120" s="306" t="s">
        <v>384</v>
      </c>
      <c r="B120" s="304">
        <f>B119*'Barème fiscal'!$B$13</f>
        <v>0</v>
      </c>
      <c r="C120" s="304">
        <f>C119*'Barème fiscal'!$B$13</f>
        <v>169.2286267</v>
      </c>
      <c r="D120" s="304">
        <f>D119*'Barème fiscal'!$B$13</f>
        <v>191.339808</v>
      </c>
      <c r="E120" s="304">
        <f>E119*'Barème fiscal'!$B$13</f>
        <v>214.0711078</v>
      </c>
      <c r="F120" s="304">
        <f>F119*'Barème fiscal'!$B$13</f>
        <v>237.441492</v>
      </c>
      <c r="G120" s="304">
        <f>G119*'Barème fiscal'!$B$13</f>
        <v>261.4705349</v>
      </c>
      <c r="H120" s="304">
        <f>H119*'Barème fiscal'!$B$13</f>
        <v>286.1784389</v>
      </c>
      <c r="I120" s="304">
        <f>I119*'Barème fiscal'!$B$13</f>
        <v>311.5860554</v>
      </c>
      <c r="J120" s="304">
        <f>J119*'Barème fiscal'!$B$13</f>
        <v>337.714906</v>
      </c>
      <c r="K120" s="304">
        <f>K119*'Barème fiscal'!$B$13</f>
        <v>364.5872045</v>
      </c>
      <c r="L120" s="304">
        <f>L119*'Barème fiscal'!$B$13</f>
        <v>392.2258796</v>
      </c>
      <c r="M120" s="304">
        <f>M119*'Barème fiscal'!$B$13</f>
        <v>420.6545986</v>
      </c>
      <c r="N120" s="304">
        <f>N119*'Barème fiscal'!$B$13</f>
        <v>449.8977916</v>
      </c>
      <c r="O120" s="304">
        <f>O119*'Barème fiscal'!$B$13</f>
        <v>479.9806767</v>
      </c>
      <c r="P120" s="304">
        <f>P119*'Barème fiscal'!$B$13</f>
        <v>510.9292857</v>
      </c>
      <c r="Q120" s="304">
        <f>Q119*'Barème fiscal'!$B$13</f>
        <v>542.7704911</v>
      </c>
      <c r="R120" s="304">
        <f>R119*'Barème fiscal'!$B$13</f>
        <v>575.5320337</v>
      </c>
      <c r="S120" s="304">
        <f>S119*'Barème fiscal'!$B$13</f>
        <v>609.2425513</v>
      </c>
      <c r="T120" s="304">
        <f>T119*'Barème fiscal'!$B$13</f>
        <v>643.9316083</v>
      </c>
      <c r="U120" s="304">
        <f>U119*'Barème fiscal'!$B$13</f>
        <v>679.6297261</v>
      </c>
      <c r="V120" s="304">
        <f>V119*'Barème fiscal'!$B$13</f>
        <v>716.3684146</v>
      </c>
      <c r="W120" s="304">
        <f>W119*'Barème fiscal'!$B$13</f>
        <v>754.1802052</v>
      </c>
      <c r="X120" s="304">
        <f>X119*'Barème fiscal'!$B$13</f>
        <v>793.098684</v>
      </c>
      <c r="Y120" s="304">
        <f>Y119*'Barème fiscal'!$B$13</f>
        <v>833.158527</v>
      </c>
      <c r="Z120" s="304">
        <f>Z119*'Barème fiscal'!$B$13</f>
        <v>874.3955359</v>
      </c>
      <c r="AA120" s="304"/>
      <c r="AB120" s="263"/>
      <c r="AC120" s="263"/>
      <c r="AD120" s="263"/>
      <c r="AE120" s="263"/>
      <c r="AF120" s="263"/>
      <c r="AG120" s="263"/>
      <c r="AH120" s="263"/>
      <c r="AI120" s="263"/>
      <c r="AJ120" s="263"/>
      <c r="AK120" s="263"/>
      <c r="AL120" s="45"/>
      <c r="AM120" s="45"/>
      <c r="AN120" s="45"/>
      <c r="AO120" s="45"/>
      <c r="AP120" s="45"/>
      <c r="AQ120" s="45"/>
      <c r="AR120" s="45"/>
      <c r="AS120" s="45"/>
      <c r="AT120" s="45"/>
      <c r="AU120" s="45"/>
    </row>
    <row r="121" ht="15.75" customHeight="1">
      <c r="A121" s="306" t="s">
        <v>385</v>
      </c>
      <c r="B121" s="304">
        <f>'Hypothèses'!$B$50+B119+B114</f>
        <v>83672.34098</v>
      </c>
      <c r="C121" s="304">
        <f>'Hypothèses'!$B$50+C119+C114-B120</f>
        <v>87988.65628</v>
      </c>
      <c r="D121" s="304">
        <f>'Hypothèses'!$B$50+D119+D114-C120</f>
        <v>88144.59208</v>
      </c>
      <c r="E121" s="304">
        <f>'Hypothèses'!$B$50+E119+E114-D120</f>
        <v>88456.76472</v>
      </c>
      <c r="F121" s="304">
        <f>'Hypothèses'!$B$50+F119+F114-E120</f>
        <v>88777.71554</v>
      </c>
      <c r="G121" s="304">
        <f>'Hypothèses'!$B$50+G119+G114-F120</f>
        <v>89107.71343</v>
      </c>
      <c r="H121" s="304">
        <f>'Hypothèses'!$B$50+H119+H114-G120</f>
        <v>89447.03592</v>
      </c>
      <c r="I121" s="304">
        <f>'Hypothèses'!$B$50+I119+I114-H120</f>
        <v>89795.96944</v>
      </c>
      <c r="J121" s="304">
        <f>'Hypothèses'!$B$50+J119+J114-I120</f>
        <v>90154.80962</v>
      </c>
      <c r="K121" s="304">
        <f>'Hypothèses'!$B$50+K119+K114-J120</f>
        <v>90523.86163</v>
      </c>
      <c r="L121" s="304">
        <f>'Hypothèses'!$B$50+L119+L114-K120</f>
        <v>90903.44044</v>
      </c>
      <c r="M121" s="304">
        <f>'Hypothèses'!$B$50+M119+M114-L120</f>
        <v>91293.87116</v>
      </c>
      <c r="N121" s="304">
        <f>'Hypothèses'!$B$50+N119+N114-M120</f>
        <v>91695.4894</v>
      </c>
      <c r="O121" s="304">
        <f>'Hypothèses'!$B$50+O119+O114-N120</f>
        <v>92108.64157</v>
      </c>
      <c r="P121" s="304">
        <f>'Hypothèses'!$B$50+P119+P114-O120</f>
        <v>92533.68529</v>
      </c>
      <c r="Q121" s="304">
        <f>'Hypothèses'!$B$50+Q119+Q114-P120</f>
        <v>92970.9897</v>
      </c>
      <c r="R121" s="304">
        <f>'Hypothèses'!$B$50+R119+R114-Q120</f>
        <v>93420.93589</v>
      </c>
      <c r="S121" s="304">
        <f>'Hypothèses'!$B$50+S119+S114-R120</f>
        <v>93883.91725</v>
      </c>
      <c r="T121" s="304">
        <f>'Hypothèses'!$B$50+T119+T114-S120</f>
        <v>94360.33992</v>
      </c>
      <c r="U121" s="304">
        <f>'Hypothèses'!$B$50+U119+U114-T120</f>
        <v>94850.62319</v>
      </c>
      <c r="V121" s="304">
        <f>'Hypothèses'!$B$50+V119+V114-U120</f>
        <v>95355.1999</v>
      </c>
      <c r="W121" s="304">
        <f>'Hypothèses'!$B$50+W119+W114-V120</f>
        <v>95874.51696</v>
      </c>
      <c r="X121" s="304">
        <f>'Hypothèses'!$B$50+X119+X114-W120</f>
        <v>96409.03574</v>
      </c>
      <c r="Y121" s="304">
        <f>'Hypothèses'!$B$50+Y119+Y114-X120</f>
        <v>96959.23259</v>
      </c>
      <c r="Z121" s="304">
        <f>'Hypothèses'!$B$50+Z119+Z114-Y120</f>
        <v>97525.59935</v>
      </c>
      <c r="AA121" s="304"/>
      <c r="AB121" s="263"/>
      <c r="AC121" s="263"/>
      <c r="AD121" s="263"/>
      <c r="AE121" s="263"/>
      <c r="AF121" s="263"/>
      <c r="AG121" s="263"/>
      <c r="AH121" s="263"/>
      <c r="AI121" s="263"/>
      <c r="AJ121" s="263"/>
      <c r="AK121" s="263"/>
      <c r="AL121" s="45"/>
      <c r="AM121" s="45"/>
      <c r="AN121" s="45"/>
      <c r="AO121" s="45"/>
      <c r="AP121" s="45"/>
      <c r="AQ121" s="45"/>
      <c r="AR121" s="45"/>
      <c r="AS121" s="45"/>
      <c r="AT121" s="45"/>
      <c r="AU121" s="45"/>
    </row>
    <row r="122" ht="15.75" customHeight="1">
      <c r="A122" s="306" t="s">
        <v>386</v>
      </c>
      <c r="B122" s="304">
        <f>MAX(0,IF(B121/2&lt;='Barème fiscal'!$B$4,0,IF(B121/2&lt;='Barème fiscal'!$B$5,B121*'Barème fiscal'!$C$5-'Barème fiscal'!$D$5*2,IF(B121/2&lt;='Barème fiscal'!$B$6,B121*'Barème fiscal'!$C$6-'Barème fiscal'!$D$6*2,IF(B121/2&lt;='Barème fiscal'!$B$7,B121*'Barème fiscal'!$C$7-'Barème fiscal'!$D$7*2,B121*'Barème fiscal'!$C$8-'Barème fiscal'!$D$8*2)))))-MIN(MAX(IF(B121/2&lt;='Barème fiscal'!$B$4,0,IF(B121/2&lt;='Barème fiscal'!$B$5,B121*'Barème fiscal'!$C$5-'Barème fiscal'!$D$5*2,IF(B121/2&lt;='Barème fiscal'!$B$6,B121*'Barème fiscal'!$C$6-'Barème fiscal'!$D$6*2,IF(B121/2&lt;='Barème fiscal'!$B$7,B121*'Barème fiscal'!$C$7-'Barème fiscal'!$D$7*2,B121*'Barème fiscal'!$C$8-'Barème fiscal'!$D$8*2))))-MAX(0,IF(B121/'Hypothèses'!$B$39&lt;='Barème fiscal'!$B$4,0,IF(B121/'Hypothèses'!$B$39&lt;='Barème fiscal'!$B$5,B121*'Barème fiscal'!$C$5-'Barème fiscal'!$D$5*'Hypothèses'!$B$39,IF(B121/'Hypothèses'!$B$39&lt;='Barème fiscal'!$B$6,B121*'Barème fiscal'!$C$6-'Barème fiscal'!$D$6*'Hypothèses'!$B$39,IF(B121/'Hypothèses'!$B$39&lt;='Barème fiscal'!$B$7,B121*'Barème fiscal'!$C$7-'Barème fiscal'!$D$7*'Hypothèses'!$B$39,B121*'Barème fiscal'!$C$8-'Barème fiscal'!$D$8*'Hypothèses'!$B$39))))),0),MAX('Hypothèses'!$B$39-2,0)*2*'Barème fiscal'!$B$10)</f>
        <v>9550.682295</v>
      </c>
      <c r="C122" s="304">
        <f>MAX(0,IF(C121/2&lt;='Barème fiscal'!$B$4,0,IF(C121/2&lt;='Barème fiscal'!$B$5,C121*'Barème fiscal'!$C$5-'Barème fiscal'!$D$5*2,IF(C121/2&lt;='Barème fiscal'!$B$6,C121*'Barème fiscal'!$C$6-'Barème fiscal'!$D$6*2,IF(C121/2&lt;='Barème fiscal'!$B$7,C121*'Barème fiscal'!$C$7-'Barème fiscal'!$D$7*2,C121*'Barème fiscal'!$C$8-'Barème fiscal'!$D$8*2)))))-MIN(MAX(IF(C121/2&lt;='Barème fiscal'!$B$4,0,IF(C121/2&lt;='Barème fiscal'!$B$5,C121*'Barème fiscal'!$C$5-'Barème fiscal'!$D$5*2,IF(C121/2&lt;='Barème fiscal'!$B$6,C121*'Barème fiscal'!$C$6-'Barème fiscal'!$D$6*2,IF(C121/2&lt;='Barème fiscal'!$B$7,C121*'Barème fiscal'!$C$7-'Barème fiscal'!$D$7*2,C121*'Barème fiscal'!$C$8-'Barème fiscal'!$D$8*2))))-MAX(0,IF(C121/'Hypothèses'!$B$39&lt;='Barème fiscal'!$B$4,0,IF(C121/'Hypothèses'!$B$39&lt;='Barème fiscal'!$B$5,C121*'Barème fiscal'!$C$5-'Barème fiscal'!$D$5*'Hypothèses'!$B$39,IF(C121/'Hypothèses'!$B$39&lt;='Barème fiscal'!$B$6,C121*'Barème fiscal'!$C$6-'Barème fiscal'!$D$6*'Hypothèses'!$B$39,IF(C121/'Hypothèses'!$B$39&lt;='Barème fiscal'!$B$7,C121*'Barème fiscal'!$C$7-'Barème fiscal'!$D$7*'Hypothèses'!$B$39,C121*'Barème fiscal'!$C$8-'Barème fiscal'!$D$8*'Hypothèses'!$B$39))))),0),MAX('Hypothèses'!$B$39-2,0)*2*'Barème fiscal'!$B$10)</f>
        <v>10845.57688</v>
      </c>
      <c r="D122" s="304">
        <f>MAX(0,IF(D121/2&lt;='Barème fiscal'!$B$4,0,IF(D121/2&lt;='Barème fiscal'!$B$5,D121*'Barème fiscal'!$C$5-'Barème fiscal'!$D$5*2,IF(D121/2&lt;='Barème fiscal'!$B$6,D121*'Barème fiscal'!$C$6-'Barème fiscal'!$D$6*2,IF(D121/2&lt;='Barème fiscal'!$B$7,D121*'Barème fiscal'!$C$7-'Barème fiscal'!$D$7*2,D121*'Barème fiscal'!$C$8-'Barème fiscal'!$D$8*2)))))-MIN(MAX(IF(D121/2&lt;='Barème fiscal'!$B$4,0,IF(D121/2&lt;='Barème fiscal'!$B$5,D121*'Barème fiscal'!$C$5-'Barème fiscal'!$D$5*2,IF(D121/2&lt;='Barème fiscal'!$B$6,D121*'Barème fiscal'!$C$6-'Barème fiscal'!$D$6*2,IF(D121/2&lt;='Barème fiscal'!$B$7,D121*'Barème fiscal'!$C$7-'Barème fiscal'!$D$7*2,D121*'Barème fiscal'!$C$8-'Barème fiscal'!$D$8*2))))-MAX(0,IF(D121/'Hypothèses'!$B$39&lt;='Barème fiscal'!$B$4,0,IF(D121/'Hypothèses'!$B$39&lt;='Barème fiscal'!$B$5,D121*'Barème fiscal'!$C$5-'Barème fiscal'!$D$5*'Hypothèses'!$B$39,IF(D121/'Hypothèses'!$B$39&lt;='Barème fiscal'!$B$6,D121*'Barème fiscal'!$C$6-'Barème fiscal'!$D$6*'Hypothèses'!$B$39,IF(D121/'Hypothèses'!$B$39&lt;='Barème fiscal'!$B$7,D121*'Barème fiscal'!$C$7-'Barème fiscal'!$D$7*'Hypothèses'!$B$39,D121*'Barème fiscal'!$C$8-'Barème fiscal'!$D$8*'Hypothèses'!$B$39))))),0),MAX('Hypothèses'!$B$39-2,0)*2*'Barème fiscal'!$B$10)</f>
        <v>10892.35762</v>
      </c>
      <c r="E122" s="304">
        <f>MAX(0,IF(E121/2&lt;='Barème fiscal'!$B$4,0,IF(E121/2&lt;='Barème fiscal'!$B$5,E121*'Barème fiscal'!$C$5-'Barème fiscal'!$D$5*2,IF(E121/2&lt;='Barème fiscal'!$B$6,E121*'Barème fiscal'!$C$6-'Barème fiscal'!$D$6*2,IF(E121/2&lt;='Barème fiscal'!$B$7,E121*'Barème fiscal'!$C$7-'Barème fiscal'!$D$7*2,E121*'Barème fiscal'!$C$8-'Barème fiscal'!$D$8*2)))))-MIN(MAX(IF(E121/2&lt;='Barème fiscal'!$B$4,0,IF(E121/2&lt;='Barème fiscal'!$B$5,E121*'Barème fiscal'!$C$5-'Barème fiscal'!$D$5*2,IF(E121/2&lt;='Barème fiscal'!$B$6,E121*'Barème fiscal'!$C$6-'Barème fiscal'!$D$6*2,IF(E121/2&lt;='Barème fiscal'!$B$7,E121*'Barème fiscal'!$C$7-'Barème fiscal'!$D$7*2,E121*'Barème fiscal'!$C$8-'Barème fiscal'!$D$8*2))))-MAX(0,IF(E121/'Hypothèses'!$B$39&lt;='Barème fiscal'!$B$4,0,IF(E121/'Hypothèses'!$B$39&lt;='Barème fiscal'!$B$5,E121*'Barème fiscal'!$C$5-'Barème fiscal'!$D$5*'Hypothèses'!$B$39,IF(E121/'Hypothèses'!$B$39&lt;='Barème fiscal'!$B$6,E121*'Barème fiscal'!$C$6-'Barème fiscal'!$D$6*'Hypothèses'!$B$39,IF(E121/'Hypothèses'!$B$39&lt;='Barème fiscal'!$B$7,E121*'Barème fiscal'!$C$7-'Barème fiscal'!$D$7*'Hypothèses'!$B$39,E121*'Barème fiscal'!$C$8-'Barème fiscal'!$D$8*'Hypothèses'!$B$39))))),0),MAX('Hypothèses'!$B$39-2,0)*2*'Barème fiscal'!$B$10)</f>
        <v>10986.00942</v>
      </c>
      <c r="F122" s="304">
        <f>MAX(0,IF(F121/2&lt;='Barème fiscal'!$B$4,0,IF(F121/2&lt;='Barème fiscal'!$B$5,F121*'Barème fiscal'!$C$5-'Barème fiscal'!$D$5*2,IF(F121/2&lt;='Barème fiscal'!$B$6,F121*'Barème fiscal'!$C$6-'Barème fiscal'!$D$6*2,IF(F121/2&lt;='Barème fiscal'!$B$7,F121*'Barème fiscal'!$C$7-'Barème fiscal'!$D$7*2,F121*'Barème fiscal'!$C$8-'Barème fiscal'!$D$8*2)))))-MIN(MAX(IF(F121/2&lt;='Barème fiscal'!$B$4,0,IF(F121/2&lt;='Barème fiscal'!$B$5,F121*'Barème fiscal'!$C$5-'Barème fiscal'!$D$5*2,IF(F121/2&lt;='Barème fiscal'!$B$6,F121*'Barème fiscal'!$C$6-'Barème fiscal'!$D$6*2,IF(F121/2&lt;='Barème fiscal'!$B$7,F121*'Barème fiscal'!$C$7-'Barème fiscal'!$D$7*2,F121*'Barème fiscal'!$C$8-'Barème fiscal'!$D$8*2))))-MAX(0,IF(F121/'Hypothèses'!$B$39&lt;='Barème fiscal'!$B$4,0,IF(F121/'Hypothèses'!$B$39&lt;='Barème fiscal'!$B$5,F121*'Barème fiscal'!$C$5-'Barème fiscal'!$D$5*'Hypothèses'!$B$39,IF(F121/'Hypothèses'!$B$39&lt;='Barème fiscal'!$B$6,F121*'Barème fiscal'!$C$6-'Barème fiscal'!$D$6*'Hypothèses'!$B$39,IF(F121/'Hypothèses'!$B$39&lt;='Barème fiscal'!$B$7,F121*'Barème fiscal'!$C$7-'Barème fiscal'!$D$7*'Hypothèses'!$B$39,F121*'Barème fiscal'!$C$8-'Barème fiscal'!$D$8*'Hypothèses'!$B$39))))),0),MAX('Hypothèses'!$B$39-2,0)*2*'Barème fiscal'!$B$10)</f>
        <v>11082.29466</v>
      </c>
      <c r="G122" s="304">
        <f>MAX(0,IF(G121/2&lt;='Barème fiscal'!$B$4,0,IF(G121/2&lt;='Barème fiscal'!$B$5,G121*'Barème fiscal'!$C$5-'Barème fiscal'!$D$5*2,IF(G121/2&lt;='Barème fiscal'!$B$6,G121*'Barème fiscal'!$C$6-'Barème fiscal'!$D$6*2,IF(G121/2&lt;='Barème fiscal'!$B$7,G121*'Barème fiscal'!$C$7-'Barème fiscal'!$D$7*2,G121*'Barème fiscal'!$C$8-'Barème fiscal'!$D$8*2)))))-MIN(MAX(IF(G121/2&lt;='Barème fiscal'!$B$4,0,IF(G121/2&lt;='Barème fiscal'!$B$5,G121*'Barème fiscal'!$C$5-'Barème fiscal'!$D$5*2,IF(G121/2&lt;='Barème fiscal'!$B$6,G121*'Barème fiscal'!$C$6-'Barème fiscal'!$D$6*2,IF(G121/2&lt;='Barème fiscal'!$B$7,G121*'Barème fiscal'!$C$7-'Barème fiscal'!$D$7*2,G121*'Barème fiscal'!$C$8-'Barème fiscal'!$D$8*2))))-MAX(0,IF(G121/'Hypothèses'!$B$39&lt;='Barème fiscal'!$B$4,0,IF(G121/'Hypothèses'!$B$39&lt;='Barème fiscal'!$B$5,G121*'Barème fiscal'!$C$5-'Barème fiscal'!$D$5*'Hypothèses'!$B$39,IF(G121/'Hypothèses'!$B$39&lt;='Barème fiscal'!$B$6,G121*'Barème fiscal'!$C$6-'Barème fiscal'!$D$6*'Hypothèses'!$B$39,IF(G121/'Hypothèses'!$B$39&lt;='Barème fiscal'!$B$7,G121*'Barème fiscal'!$C$7-'Barème fiscal'!$D$7*'Hypothèses'!$B$39,G121*'Barème fiscal'!$C$8-'Barème fiscal'!$D$8*'Hypothèses'!$B$39))))),0),MAX('Hypothèses'!$B$39-2,0)*2*'Barème fiscal'!$B$10)</f>
        <v>11181.29403</v>
      </c>
      <c r="H122" s="304">
        <f>MAX(0,IF(H121/2&lt;='Barème fiscal'!$B$4,0,IF(H121/2&lt;='Barème fiscal'!$B$5,H121*'Barème fiscal'!$C$5-'Barème fiscal'!$D$5*2,IF(H121/2&lt;='Barème fiscal'!$B$6,H121*'Barème fiscal'!$C$6-'Barème fiscal'!$D$6*2,IF(H121/2&lt;='Barème fiscal'!$B$7,H121*'Barème fiscal'!$C$7-'Barème fiscal'!$D$7*2,H121*'Barème fiscal'!$C$8-'Barème fiscal'!$D$8*2)))))-MIN(MAX(IF(H121/2&lt;='Barème fiscal'!$B$4,0,IF(H121/2&lt;='Barème fiscal'!$B$5,H121*'Barème fiscal'!$C$5-'Barème fiscal'!$D$5*2,IF(H121/2&lt;='Barème fiscal'!$B$6,H121*'Barème fiscal'!$C$6-'Barème fiscal'!$D$6*2,IF(H121/2&lt;='Barème fiscal'!$B$7,H121*'Barème fiscal'!$C$7-'Barème fiscal'!$D$7*2,H121*'Barème fiscal'!$C$8-'Barème fiscal'!$D$8*2))))-MAX(0,IF(H121/'Hypothèses'!$B$39&lt;='Barème fiscal'!$B$4,0,IF(H121/'Hypothèses'!$B$39&lt;='Barème fiscal'!$B$5,H121*'Barème fiscal'!$C$5-'Barème fiscal'!$D$5*'Hypothèses'!$B$39,IF(H121/'Hypothèses'!$B$39&lt;='Barème fiscal'!$B$6,H121*'Barème fiscal'!$C$6-'Barème fiscal'!$D$6*'Hypothèses'!$B$39,IF(H121/'Hypothèses'!$B$39&lt;='Barème fiscal'!$B$7,H121*'Barème fiscal'!$C$7-'Barème fiscal'!$D$7*'Hypothèses'!$B$39,H121*'Barème fiscal'!$C$8-'Barème fiscal'!$D$8*'Hypothèses'!$B$39))))),0),MAX('Hypothèses'!$B$39-2,0)*2*'Barème fiscal'!$B$10)</f>
        <v>11283.09078</v>
      </c>
      <c r="I122" s="304">
        <f>MAX(0,IF(I121/2&lt;='Barème fiscal'!$B$4,0,IF(I121/2&lt;='Barème fiscal'!$B$5,I121*'Barème fiscal'!$C$5-'Barème fiscal'!$D$5*2,IF(I121/2&lt;='Barème fiscal'!$B$6,I121*'Barème fiscal'!$C$6-'Barème fiscal'!$D$6*2,IF(I121/2&lt;='Barème fiscal'!$B$7,I121*'Barème fiscal'!$C$7-'Barème fiscal'!$D$7*2,I121*'Barème fiscal'!$C$8-'Barème fiscal'!$D$8*2)))))-MIN(MAX(IF(I121/2&lt;='Barème fiscal'!$B$4,0,IF(I121/2&lt;='Barème fiscal'!$B$5,I121*'Barème fiscal'!$C$5-'Barème fiscal'!$D$5*2,IF(I121/2&lt;='Barème fiscal'!$B$6,I121*'Barème fiscal'!$C$6-'Barème fiscal'!$D$6*2,IF(I121/2&lt;='Barème fiscal'!$B$7,I121*'Barème fiscal'!$C$7-'Barème fiscal'!$D$7*2,I121*'Barème fiscal'!$C$8-'Barème fiscal'!$D$8*2))))-MAX(0,IF(I121/'Hypothèses'!$B$39&lt;='Barème fiscal'!$B$4,0,IF(I121/'Hypothèses'!$B$39&lt;='Barème fiscal'!$B$5,I121*'Barème fiscal'!$C$5-'Barème fiscal'!$D$5*'Hypothèses'!$B$39,IF(I121/'Hypothèses'!$B$39&lt;='Barème fiscal'!$B$6,I121*'Barème fiscal'!$C$6-'Barème fiscal'!$D$6*'Hypothèses'!$B$39,IF(I121/'Hypothèses'!$B$39&lt;='Barème fiscal'!$B$7,I121*'Barème fiscal'!$C$7-'Barème fiscal'!$D$7*'Hypothèses'!$B$39,I121*'Barème fiscal'!$C$8-'Barème fiscal'!$D$8*'Hypothèses'!$B$39))))),0),MAX('Hypothèses'!$B$39-2,0)*2*'Barème fiscal'!$B$10)</f>
        <v>11387.77083</v>
      </c>
      <c r="J122" s="304">
        <f>MAX(0,IF(J121/2&lt;='Barème fiscal'!$B$4,0,IF(J121/2&lt;='Barème fiscal'!$B$5,J121*'Barème fiscal'!$C$5-'Barème fiscal'!$D$5*2,IF(J121/2&lt;='Barème fiscal'!$B$6,J121*'Barème fiscal'!$C$6-'Barème fiscal'!$D$6*2,IF(J121/2&lt;='Barème fiscal'!$B$7,J121*'Barème fiscal'!$C$7-'Barème fiscal'!$D$7*2,J121*'Barème fiscal'!$C$8-'Barème fiscal'!$D$8*2)))))-MIN(MAX(IF(J121/2&lt;='Barème fiscal'!$B$4,0,IF(J121/2&lt;='Barème fiscal'!$B$5,J121*'Barème fiscal'!$C$5-'Barème fiscal'!$D$5*2,IF(J121/2&lt;='Barème fiscal'!$B$6,J121*'Barème fiscal'!$C$6-'Barème fiscal'!$D$6*2,IF(J121/2&lt;='Barème fiscal'!$B$7,J121*'Barème fiscal'!$C$7-'Barème fiscal'!$D$7*2,J121*'Barème fiscal'!$C$8-'Barème fiscal'!$D$8*2))))-MAX(0,IF(J121/'Hypothèses'!$B$39&lt;='Barème fiscal'!$B$4,0,IF(J121/'Hypothèses'!$B$39&lt;='Barème fiscal'!$B$5,J121*'Barème fiscal'!$C$5-'Barème fiscal'!$D$5*'Hypothèses'!$B$39,IF(J121/'Hypothèses'!$B$39&lt;='Barème fiscal'!$B$6,J121*'Barème fiscal'!$C$6-'Barème fiscal'!$D$6*'Hypothèses'!$B$39,IF(J121/'Hypothèses'!$B$39&lt;='Barème fiscal'!$B$7,J121*'Barème fiscal'!$C$7-'Barème fiscal'!$D$7*'Hypothèses'!$B$39,J121*'Barème fiscal'!$C$8-'Barème fiscal'!$D$8*'Hypothèses'!$B$39))))),0),MAX('Hypothèses'!$B$39-2,0)*2*'Barème fiscal'!$B$10)</f>
        <v>11495.42289</v>
      </c>
      <c r="K122" s="304">
        <f>MAX(0,IF(K121/2&lt;='Barème fiscal'!$B$4,0,IF(K121/2&lt;='Barème fiscal'!$B$5,K121*'Barème fiscal'!$C$5-'Barème fiscal'!$D$5*2,IF(K121/2&lt;='Barème fiscal'!$B$6,K121*'Barème fiscal'!$C$6-'Barème fiscal'!$D$6*2,IF(K121/2&lt;='Barème fiscal'!$B$7,K121*'Barème fiscal'!$C$7-'Barème fiscal'!$D$7*2,K121*'Barème fiscal'!$C$8-'Barème fiscal'!$D$8*2)))))-MIN(MAX(IF(K121/2&lt;='Barème fiscal'!$B$4,0,IF(K121/2&lt;='Barème fiscal'!$B$5,K121*'Barème fiscal'!$C$5-'Barème fiscal'!$D$5*2,IF(K121/2&lt;='Barème fiscal'!$B$6,K121*'Barème fiscal'!$C$6-'Barème fiscal'!$D$6*2,IF(K121/2&lt;='Barème fiscal'!$B$7,K121*'Barème fiscal'!$C$7-'Barème fiscal'!$D$7*2,K121*'Barème fiscal'!$C$8-'Barème fiscal'!$D$8*2))))-MAX(0,IF(K121/'Hypothèses'!$B$39&lt;='Barème fiscal'!$B$4,0,IF(K121/'Hypothèses'!$B$39&lt;='Barème fiscal'!$B$5,K121*'Barème fiscal'!$C$5-'Barème fiscal'!$D$5*'Hypothèses'!$B$39,IF(K121/'Hypothèses'!$B$39&lt;='Barème fiscal'!$B$6,K121*'Barème fiscal'!$C$6-'Barème fiscal'!$D$6*'Hypothèses'!$B$39,IF(K121/'Hypothèses'!$B$39&lt;='Barème fiscal'!$B$7,K121*'Barème fiscal'!$C$7-'Barème fiscal'!$D$7*'Hypothèses'!$B$39,K121*'Barème fiscal'!$C$8-'Barème fiscal'!$D$8*'Hypothèses'!$B$39))))),0),MAX('Hypothèses'!$B$39-2,0)*2*'Barème fiscal'!$B$10)</f>
        <v>11606.13849</v>
      </c>
      <c r="L122" s="304">
        <f>MAX(0,IF(L121/2&lt;='Barème fiscal'!$B$4,0,IF(L121/2&lt;='Barème fiscal'!$B$5,L121*'Barème fiscal'!$C$5-'Barème fiscal'!$D$5*2,IF(L121/2&lt;='Barème fiscal'!$B$6,L121*'Barème fiscal'!$C$6-'Barème fiscal'!$D$6*2,IF(L121/2&lt;='Barème fiscal'!$B$7,L121*'Barème fiscal'!$C$7-'Barème fiscal'!$D$7*2,L121*'Barème fiscal'!$C$8-'Barème fiscal'!$D$8*2)))))-MIN(MAX(IF(L121/2&lt;='Barème fiscal'!$B$4,0,IF(L121/2&lt;='Barème fiscal'!$B$5,L121*'Barème fiscal'!$C$5-'Barème fiscal'!$D$5*2,IF(L121/2&lt;='Barème fiscal'!$B$6,L121*'Barème fiscal'!$C$6-'Barème fiscal'!$D$6*2,IF(L121/2&lt;='Barème fiscal'!$B$7,L121*'Barème fiscal'!$C$7-'Barème fiscal'!$D$7*2,L121*'Barème fiscal'!$C$8-'Barème fiscal'!$D$8*2))))-MAX(0,IF(L121/'Hypothèses'!$B$39&lt;='Barème fiscal'!$B$4,0,IF(L121/'Hypothèses'!$B$39&lt;='Barème fiscal'!$B$5,L121*'Barème fiscal'!$C$5-'Barème fiscal'!$D$5*'Hypothèses'!$B$39,IF(L121/'Hypothèses'!$B$39&lt;='Barème fiscal'!$B$6,L121*'Barème fiscal'!$C$6-'Barème fiscal'!$D$6*'Hypothèses'!$B$39,IF(L121/'Hypothèses'!$B$39&lt;='Barème fiscal'!$B$7,L121*'Barème fiscal'!$C$7-'Barème fiscal'!$D$7*'Hypothèses'!$B$39,L121*'Barème fiscal'!$C$8-'Barème fiscal'!$D$8*'Hypothèses'!$B$39))))),0),MAX('Hypothèses'!$B$39-2,0)*2*'Barème fiscal'!$B$10)</f>
        <v>11720.01213</v>
      </c>
      <c r="M122" s="304">
        <f>MAX(0,IF(M121/2&lt;='Barème fiscal'!$B$4,0,IF(M121/2&lt;='Barème fiscal'!$B$5,M121*'Barème fiscal'!$C$5-'Barème fiscal'!$D$5*2,IF(M121/2&lt;='Barème fiscal'!$B$6,M121*'Barème fiscal'!$C$6-'Barème fiscal'!$D$6*2,IF(M121/2&lt;='Barème fiscal'!$B$7,M121*'Barème fiscal'!$C$7-'Barème fiscal'!$D$7*2,M121*'Barème fiscal'!$C$8-'Barème fiscal'!$D$8*2)))))-MIN(MAX(IF(M121/2&lt;='Barème fiscal'!$B$4,0,IF(M121/2&lt;='Barème fiscal'!$B$5,M121*'Barème fiscal'!$C$5-'Barème fiscal'!$D$5*2,IF(M121/2&lt;='Barème fiscal'!$B$6,M121*'Barème fiscal'!$C$6-'Barème fiscal'!$D$6*2,IF(M121/2&lt;='Barème fiscal'!$B$7,M121*'Barème fiscal'!$C$7-'Barème fiscal'!$D$7*2,M121*'Barème fiscal'!$C$8-'Barème fiscal'!$D$8*2))))-MAX(0,IF(M121/'Hypothèses'!$B$39&lt;='Barème fiscal'!$B$4,0,IF(M121/'Hypothèses'!$B$39&lt;='Barème fiscal'!$B$5,M121*'Barème fiscal'!$C$5-'Barème fiscal'!$D$5*'Hypothèses'!$B$39,IF(M121/'Hypothèses'!$B$39&lt;='Barème fiscal'!$B$6,M121*'Barème fiscal'!$C$6-'Barème fiscal'!$D$6*'Hypothèses'!$B$39,IF(M121/'Hypothèses'!$B$39&lt;='Barème fiscal'!$B$7,M121*'Barème fiscal'!$C$7-'Barème fiscal'!$D$7*'Hypothèses'!$B$39,M121*'Barème fiscal'!$C$8-'Barème fiscal'!$D$8*'Hypothèses'!$B$39))))),0),MAX('Hypothèses'!$B$39-2,0)*2*'Barème fiscal'!$B$10)</f>
        <v>11837.14135</v>
      </c>
      <c r="N122" s="304">
        <f>MAX(0,IF(N121/2&lt;='Barème fiscal'!$B$4,0,IF(N121/2&lt;='Barème fiscal'!$B$5,N121*'Barème fiscal'!$C$5-'Barème fiscal'!$D$5*2,IF(N121/2&lt;='Barème fiscal'!$B$6,N121*'Barème fiscal'!$C$6-'Barème fiscal'!$D$6*2,IF(N121/2&lt;='Barème fiscal'!$B$7,N121*'Barème fiscal'!$C$7-'Barème fiscal'!$D$7*2,N121*'Barème fiscal'!$C$8-'Barème fiscal'!$D$8*2)))))-MIN(MAX(IF(N121/2&lt;='Barème fiscal'!$B$4,0,IF(N121/2&lt;='Barème fiscal'!$B$5,N121*'Barème fiscal'!$C$5-'Barème fiscal'!$D$5*2,IF(N121/2&lt;='Barème fiscal'!$B$6,N121*'Barème fiscal'!$C$6-'Barème fiscal'!$D$6*2,IF(N121/2&lt;='Barème fiscal'!$B$7,N121*'Barème fiscal'!$C$7-'Barème fiscal'!$D$7*2,N121*'Barème fiscal'!$C$8-'Barème fiscal'!$D$8*2))))-MAX(0,IF(N121/'Hypothèses'!$B$39&lt;='Barème fiscal'!$B$4,0,IF(N121/'Hypothèses'!$B$39&lt;='Barème fiscal'!$B$5,N121*'Barème fiscal'!$C$5-'Barème fiscal'!$D$5*'Hypothèses'!$B$39,IF(N121/'Hypothèses'!$B$39&lt;='Barème fiscal'!$B$6,N121*'Barème fiscal'!$C$6-'Barème fiscal'!$D$6*'Hypothèses'!$B$39,IF(N121/'Hypothèses'!$B$39&lt;='Barème fiscal'!$B$7,N121*'Barème fiscal'!$C$7-'Barème fiscal'!$D$7*'Hypothèses'!$B$39,N121*'Barème fiscal'!$C$8-'Barème fiscal'!$D$8*'Hypothèses'!$B$39))))),0),MAX('Hypothèses'!$B$39-2,0)*2*'Barème fiscal'!$B$10)</f>
        <v>11957.62682</v>
      </c>
      <c r="O122" s="304">
        <f>MAX(0,IF(O121/2&lt;='Barème fiscal'!$B$4,0,IF(O121/2&lt;='Barème fiscal'!$B$5,O121*'Barème fiscal'!$C$5-'Barème fiscal'!$D$5*2,IF(O121/2&lt;='Barème fiscal'!$B$6,O121*'Barème fiscal'!$C$6-'Barème fiscal'!$D$6*2,IF(O121/2&lt;='Barème fiscal'!$B$7,O121*'Barème fiscal'!$C$7-'Barème fiscal'!$D$7*2,O121*'Barème fiscal'!$C$8-'Barème fiscal'!$D$8*2)))))-MIN(MAX(IF(O121/2&lt;='Barème fiscal'!$B$4,0,IF(O121/2&lt;='Barème fiscal'!$B$5,O121*'Barème fiscal'!$C$5-'Barème fiscal'!$D$5*2,IF(O121/2&lt;='Barème fiscal'!$B$6,O121*'Barème fiscal'!$C$6-'Barème fiscal'!$D$6*2,IF(O121/2&lt;='Barème fiscal'!$B$7,O121*'Barème fiscal'!$C$7-'Barème fiscal'!$D$7*2,O121*'Barème fiscal'!$C$8-'Barème fiscal'!$D$8*2))))-MAX(0,IF(O121/'Hypothèses'!$B$39&lt;='Barème fiscal'!$B$4,0,IF(O121/'Hypothèses'!$B$39&lt;='Barème fiscal'!$B$5,O121*'Barème fiscal'!$C$5-'Barème fiscal'!$D$5*'Hypothèses'!$B$39,IF(O121/'Hypothèses'!$B$39&lt;='Barème fiscal'!$B$6,O121*'Barème fiscal'!$C$6-'Barème fiscal'!$D$6*'Hypothèses'!$B$39,IF(O121/'Hypothèses'!$B$39&lt;='Barème fiscal'!$B$7,O121*'Barème fiscal'!$C$7-'Barème fiscal'!$D$7*'Hypothèses'!$B$39,O121*'Barème fiscal'!$C$8-'Barème fiscal'!$D$8*'Hypothèses'!$B$39))))),0),MAX('Hypothèses'!$B$39-2,0)*2*'Barème fiscal'!$B$10)</f>
        <v>12081.57247</v>
      </c>
      <c r="P122" s="304">
        <f>MAX(0,IF(P121/2&lt;='Barème fiscal'!$B$4,0,IF(P121/2&lt;='Barème fiscal'!$B$5,P121*'Barème fiscal'!$C$5-'Barème fiscal'!$D$5*2,IF(P121/2&lt;='Barème fiscal'!$B$6,P121*'Barème fiscal'!$C$6-'Barème fiscal'!$D$6*2,IF(P121/2&lt;='Barème fiscal'!$B$7,P121*'Barème fiscal'!$C$7-'Barème fiscal'!$D$7*2,P121*'Barème fiscal'!$C$8-'Barème fiscal'!$D$8*2)))))-MIN(MAX(IF(P121/2&lt;='Barème fiscal'!$B$4,0,IF(P121/2&lt;='Barème fiscal'!$B$5,P121*'Barème fiscal'!$C$5-'Barème fiscal'!$D$5*2,IF(P121/2&lt;='Barème fiscal'!$B$6,P121*'Barème fiscal'!$C$6-'Barème fiscal'!$D$6*2,IF(P121/2&lt;='Barème fiscal'!$B$7,P121*'Barème fiscal'!$C$7-'Barème fiscal'!$D$7*2,P121*'Barème fiscal'!$C$8-'Barème fiscal'!$D$8*2))))-MAX(0,IF(P121/'Hypothèses'!$B$39&lt;='Barème fiscal'!$B$4,0,IF(P121/'Hypothèses'!$B$39&lt;='Barème fiscal'!$B$5,P121*'Barème fiscal'!$C$5-'Barème fiscal'!$D$5*'Hypothèses'!$B$39,IF(P121/'Hypothèses'!$B$39&lt;='Barème fiscal'!$B$6,P121*'Barème fiscal'!$C$6-'Barème fiscal'!$D$6*'Hypothèses'!$B$39,IF(P121/'Hypothèses'!$B$39&lt;='Barème fiscal'!$B$7,P121*'Barème fiscal'!$C$7-'Barème fiscal'!$D$7*'Hypothèses'!$B$39,P121*'Barème fiscal'!$C$8-'Barème fiscal'!$D$8*'Hypothèses'!$B$39))))),0),MAX('Hypothèses'!$B$39-2,0)*2*'Barème fiscal'!$B$10)</f>
        <v>12209.08559</v>
      </c>
      <c r="Q122" s="304">
        <f>MAX(0,IF(Q121/2&lt;='Barème fiscal'!$B$4,0,IF(Q121/2&lt;='Barème fiscal'!$B$5,Q121*'Barème fiscal'!$C$5-'Barème fiscal'!$D$5*2,IF(Q121/2&lt;='Barème fiscal'!$B$6,Q121*'Barème fiscal'!$C$6-'Barème fiscal'!$D$6*2,IF(Q121/2&lt;='Barème fiscal'!$B$7,Q121*'Barème fiscal'!$C$7-'Barème fiscal'!$D$7*2,Q121*'Barème fiscal'!$C$8-'Barème fiscal'!$D$8*2)))))-MIN(MAX(IF(Q121/2&lt;='Barème fiscal'!$B$4,0,IF(Q121/2&lt;='Barème fiscal'!$B$5,Q121*'Barème fiscal'!$C$5-'Barème fiscal'!$D$5*2,IF(Q121/2&lt;='Barème fiscal'!$B$6,Q121*'Barème fiscal'!$C$6-'Barème fiscal'!$D$6*2,IF(Q121/2&lt;='Barème fiscal'!$B$7,Q121*'Barème fiscal'!$C$7-'Barème fiscal'!$D$7*2,Q121*'Barème fiscal'!$C$8-'Barème fiscal'!$D$8*2))))-MAX(0,IF(Q121/'Hypothèses'!$B$39&lt;='Barème fiscal'!$B$4,0,IF(Q121/'Hypothèses'!$B$39&lt;='Barème fiscal'!$B$5,Q121*'Barème fiscal'!$C$5-'Barème fiscal'!$D$5*'Hypothèses'!$B$39,IF(Q121/'Hypothèses'!$B$39&lt;='Barème fiscal'!$B$6,Q121*'Barème fiscal'!$C$6-'Barème fiscal'!$D$6*'Hypothèses'!$B$39,IF(Q121/'Hypothèses'!$B$39&lt;='Barème fiscal'!$B$7,Q121*'Barème fiscal'!$C$7-'Barème fiscal'!$D$7*'Hypothèses'!$B$39,Q121*'Barème fiscal'!$C$8-'Barème fiscal'!$D$8*'Hypothèses'!$B$39))))),0),MAX('Hypothèses'!$B$39-2,0)*2*'Barème fiscal'!$B$10)</f>
        <v>12340.27691</v>
      </c>
      <c r="R122" s="304">
        <f>MAX(0,IF(R121/2&lt;='Barème fiscal'!$B$4,0,IF(R121/2&lt;='Barème fiscal'!$B$5,R121*'Barème fiscal'!$C$5-'Barème fiscal'!$D$5*2,IF(R121/2&lt;='Barème fiscal'!$B$6,R121*'Barème fiscal'!$C$6-'Barème fiscal'!$D$6*2,IF(R121/2&lt;='Barème fiscal'!$B$7,R121*'Barème fiscal'!$C$7-'Barème fiscal'!$D$7*2,R121*'Barème fiscal'!$C$8-'Barème fiscal'!$D$8*2)))))-MIN(MAX(IF(R121/2&lt;='Barème fiscal'!$B$4,0,IF(R121/2&lt;='Barème fiscal'!$B$5,R121*'Barème fiscal'!$C$5-'Barème fiscal'!$D$5*2,IF(R121/2&lt;='Barème fiscal'!$B$6,R121*'Barème fiscal'!$C$6-'Barème fiscal'!$D$6*2,IF(R121/2&lt;='Barème fiscal'!$B$7,R121*'Barème fiscal'!$C$7-'Barème fiscal'!$D$7*2,R121*'Barème fiscal'!$C$8-'Barème fiscal'!$D$8*2))))-MAX(0,IF(R121/'Hypothèses'!$B$39&lt;='Barème fiscal'!$B$4,0,IF(R121/'Hypothèses'!$B$39&lt;='Barème fiscal'!$B$5,R121*'Barème fiscal'!$C$5-'Barème fiscal'!$D$5*'Hypothèses'!$B$39,IF(R121/'Hypothèses'!$B$39&lt;='Barème fiscal'!$B$6,R121*'Barème fiscal'!$C$6-'Barème fiscal'!$D$6*'Hypothèses'!$B$39,IF(R121/'Hypothèses'!$B$39&lt;='Barème fiscal'!$B$7,R121*'Barème fiscal'!$C$7-'Barème fiscal'!$D$7*'Hypothèses'!$B$39,R121*'Barème fiscal'!$C$8-'Barème fiscal'!$D$8*'Hypothèses'!$B$39))))),0),MAX('Hypothèses'!$B$39-2,0)*2*'Barème fiscal'!$B$10)</f>
        <v>12475.26077</v>
      </c>
      <c r="S122" s="304">
        <f>MAX(0,IF(S121/2&lt;='Barème fiscal'!$B$4,0,IF(S121/2&lt;='Barème fiscal'!$B$5,S121*'Barème fiscal'!$C$5-'Barème fiscal'!$D$5*2,IF(S121/2&lt;='Barème fiscal'!$B$6,S121*'Barème fiscal'!$C$6-'Barème fiscal'!$D$6*2,IF(S121/2&lt;='Barème fiscal'!$B$7,S121*'Barème fiscal'!$C$7-'Barème fiscal'!$D$7*2,S121*'Barème fiscal'!$C$8-'Barème fiscal'!$D$8*2)))))-MIN(MAX(IF(S121/2&lt;='Barème fiscal'!$B$4,0,IF(S121/2&lt;='Barème fiscal'!$B$5,S121*'Barème fiscal'!$C$5-'Barème fiscal'!$D$5*2,IF(S121/2&lt;='Barème fiscal'!$B$6,S121*'Barème fiscal'!$C$6-'Barème fiscal'!$D$6*2,IF(S121/2&lt;='Barème fiscal'!$B$7,S121*'Barème fiscal'!$C$7-'Barème fiscal'!$D$7*2,S121*'Barème fiscal'!$C$8-'Barème fiscal'!$D$8*2))))-MAX(0,IF(S121/'Hypothèses'!$B$39&lt;='Barème fiscal'!$B$4,0,IF(S121/'Hypothèses'!$B$39&lt;='Barème fiscal'!$B$5,S121*'Barème fiscal'!$C$5-'Barème fiscal'!$D$5*'Hypothèses'!$B$39,IF(S121/'Hypothèses'!$B$39&lt;='Barème fiscal'!$B$6,S121*'Barème fiscal'!$C$6-'Barème fiscal'!$D$6*'Hypothèses'!$B$39,IF(S121/'Hypothèses'!$B$39&lt;='Barème fiscal'!$B$7,S121*'Barème fiscal'!$C$7-'Barème fiscal'!$D$7*'Hypothèses'!$B$39,S121*'Barème fiscal'!$C$8-'Barème fiscal'!$D$8*'Hypothèses'!$B$39))))),0),MAX('Hypothèses'!$B$39-2,0)*2*'Barème fiscal'!$B$10)</f>
        <v>12614.15518</v>
      </c>
      <c r="T122" s="304">
        <f>MAX(0,IF(T121/2&lt;='Barème fiscal'!$B$4,0,IF(T121/2&lt;='Barème fiscal'!$B$5,T121*'Barème fiscal'!$C$5-'Barème fiscal'!$D$5*2,IF(T121/2&lt;='Barème fiscal'!$B$6,T121*'Barème fiscal'!$C$6-'Barème fiscal'!$D$6*2,IF(T121/2&lt;='Barème fiscal'!$B$7,T121*'Barème fiscal'!$C$7-'Barème fiscal'!$D$7*2,T121*'Barème fiscal'!$C$8-'Barème fiscal'!$D$8*2)))))-MIN(MAX(IF(T121/2&lt;='Barème fiscal'!$B$4,0,IF(T121/2&lt;='Barème fiscal'!$B$5,T121*'Barème fiscal'!$C$5-'Barème fiscal'!$D$5*2,IF(T121/2&lt;='Barème fiscal'!$B$6,T121*'Barème fiscal'!$C$6-'Barème fiscal'!$D$6*2,IF(T121/2&lt;='Barème fiscal'!$B$7,T121*'Barème fiscal'!$C$7-'Barème fiscal'!$D$7*2,T121*'Barème fiscal'!$C$8-'Barème fiscal'!$D$8*2))))-MAX(0,IF(T121/'Hypothèses'!$B$39&lt;='Barème fiscal'!$B$4,0,IF(T121/'Hypothèses'!$B$39&lt;='Barème fiscal'!$B$5,T121*'Barème fiscal'!$C$5-'Barème fiscal'!$D$5*'Hypothèses'!$B$39,IF(T121/'Hypothèses'!$B$39&lt;='Barème fiscal'!$B$6,T121*'Barème fiscal'!$C$6-'Barème fiscal'!$D$6*'Hypothèses'!$B$39,IF(T121/'Hypothèses'!$B$39&lt;='Barème fiscal'!$B$7,T121*'Barème fiscal'!$C$7-'Barème fiscal'!$D$7*'Hypothèses'!$B$39,T121*'Barème fiscal'!$C$8-'Barème fiscal'!$D$8*'Hypothèses'!$B$39))))),0),MAX('Hypothèses'!$B$39-2,0)*2*'Barème fiscal'!$B$10)</f>
        <v>12757.08198</v>
      </c>
      <c r="U122" s="304">
        <f>MAX(0,IF(U121/2&lt;='Barème fiscal'!$B$4,0,IF(U121/2&lt;='Barème fiscal'!$B$5,U121*'Barème fiscal'!$C$5-'Barème fiscal'!$D$5*2,IF(U121/2&lt;='Barème fiscal'!$B$6,U121*'Barème fiscal'!$C$6-'Barème fiscal'!$D$6*2,IF(U121/2&lt;='Barème fiscal'!$B$7,U121*'Barème fiscal'!$C$7-'Barème fiscal'!$D$7*2,U121*'Barème fiscal'!$C$8-'Barème fiscal'!$D$8*2)))))-MIN(MAX(IF(U121/2&lt;='Barème fiscal'!$B$4,0,IF(U121/2&lt;='Barème fiscal'!$B$5,U121*'Barème fiscal'!$C$5-'Barème fiscal'!$D$5*2,IF(U121/2&lt;='Barème fiscal'!$B$6,U121*'Barème fiscal'!$C$6-'Barème fiscal'!$D$6*2,IF(U121/2&lt;='Barème fiscal'!$B$7,U121*'Barème fiscal'!$C$7-'Barème fiscal'!$D$7*2,U121*'Barème fiscal'!$C$8-'Barème fiscal'!$D$8*2))))-MAX(0,IF(U121/'Hypothèses'!$B$39&lt;='Barème fiscal'!$B$4,0,IF(U121/'Hypothèses'!$B$39&lt;='Barème fiscal'!$B$5,U121*'Barème fiscal'!$C$5-'Barème fiscal'!$D$5*'Hypothèses'!$B$39,IF(U121/'Hypothèses'!$B$39&lt;='Barème fiscal'!$B$6,U121*'Barème fiscal'!$C$6-'Barème fiscal'!$D$6*'Hypothèses'!$B$39,IF(U121/'Hypothèses'!$B$39&lt;='Barème fiscal'!$B$7,U121*'Barème fiscal'!$C$7-'Barème fiscal'!$D$7*'Hypothèses'!$B$39,U121*'Barème fiscal'!$C$8-'Barème fiscal'!$D$8*'Hypothèses'!$B$39))))),0),MAX('Hypothèses'!$B$39-2,0)*2*'Barème fiscal'!$B$10)</f>
        <v>12904.16696</v>
      </c>
      <c r="V122" s="304">
        <f>MAX(0,IF(V121/2&lt;='Barème fiscal'!$B$4,0,IF(V121/2&lt;='Barème fiscal'!$B$5,V121*'Barème fiscal'!$C$5-'Barème fiscal'!$D$5*2,IF(V121/2&lt;='Barème fiscal'!$B$6,V121*'Barème fiscal'!$C$6-'Barème fiscal'!$D$6*2,IF(V121/2&lt;='Barème fiscal'!$B$7,V121*'Barème fiscal'!$C$7-'Barème fiscal'!$D$7*2,V121*'Barème fiscal'!$C$8-'Barème fiscal'!$D$8*2)))))-MIN(MAX(IF(V121/2&lt;='Barème fiscal'!$B$4,0,IF(V121/2&lt;='Barème fiscal'!$B$5,V121*'Barème fiscal'!$C$5-'Barème fiscal'!$D$5*2,IF(V121/2&lt;='Barème fiscal'!$B$6,V121*'Barème fiscal'!$C$6-'Barème fiscal'!$D$6*2,IF(V121/2&lt;='Barème fiscal'!$B$7,V121*'Barème fiscal'!$C$7-'Barème fiscal'!$D$7*2,V121*'Barème fiscal'!$C$8-'Barème fiscal'!$D$8*2))))-MAX(0,IF(V121/'Hypothèses'!$B$39&lt;='Barème fiscal'!$B$4,0,IF(V121/'Hypothèses'!$B$39&lt;='Barème fiscal'!$B$5,V121*'Barème fiscal'!$C$5-'Barème fiscal'!$D$5*'Hypothèses'!$B$39,IF(V121/'Hypothèses'!$B$39&lt;='Barème fiscal'!$B$6,V121*'Barème fiscal'!$C$6-'Barème fiscal'!$D$6*'Hypothèses'!$B$39,IF(V121/'Hypothèses'!$B$39&lt;='Barème fiscal'!$B$7,V121*'Barème fiscal'!$C$7-'Barème fiscal'!$D$7*'Hypothèses'!$B$39,V121*'Barème fiscal'!$C$8-'Barème fiscal'!$D$8*'Hypothèses'!$B$39))))),0),MAX('Hypothèses'!$B$39-2,0)*2*'Barème fiscal'!$B$10)</f>
        <v>13055.53997</v>
      </c>
      <c r="W122" s="304">
        <f>MAX(0,IF(W121/2&lt;='Barème fiscal'!$B$4,0,IF(W121/2&lt;='Barème fiscal'!$B$5,W121*'Barème fiscal'!$C$5-'Barème fiscal'!$D$5*2,IF(W121/2&lt;='Barème fiscal'!$B$6,W121*'Barème fiscal'!$C$6-'Barème fiscal'!$D$6*2,IF(W121/2&lt;='Barème fiscal'!$B$7,W121*'Barème fiscal'!$C$7-'Barème fiscal'!$D$7*2,W121*'Barème fiscal'!$C$8-'Barème fiscal'!$D$8*2)))))-MIN(MAX(IF(W121/2&lt;='Barème fiscal'!$B$4,0,IF(W121/2&lt;='Barème fiscal'!$B$5,W121*'Barème fiscal'!$C$5-'Barème fiscal'!$D$5*2,IF(W121/2&lt;='Barème fiscal'!$B$6,W121*'Barème fiscal'!$C$6-'Barème fiscal'!$D$6*2,IF(W121/2&lt;='Barème fiscal'!$B$7,W121*'Barème fiscal'!$C$7-'Barème fiscal'!$D$7*2,W121*'Barème fiscal'!$C$8-'Barème fiscal'!$D$8*2))))-MAX(0,IF(W121/'Hypothèses'!$B$39&lt;='Barème fiscal'!$B$4,0,IF(W121/'Hypothèses'!$B$39&lt;='Barème fiscal'!$B$5,W121*'Barème fiscal'!$C$5-'Barème fiscal'!$D$5*'Hypothèses'!$B$39,IF(W121/'Hypothèses'!$B$39&lt;='Barème fiscal'!$B$6,W121*'Barème fiscal'!$C$6-'Barème fiscal'!$D$6*'Hypothèses'!$B$39,IF(W121/'Hypothèses'!$B$39&lt;='Barème fiscal'!$B$7,W121*'Barème fiscal'!$C$7-'Barème fiscal'!$D$7*'Hypothèses'!$B$39,W121*'Barème fiscal'!$C$8-'Barème fiscal'!$D$8*'Hypothèses'!$B$39))))),0),MAX('Hypothèses'!$B$39-2,0)*2*'Barème fiscal'!$B$10)</f>
        <v>13211.33509</v>
      </c>
      <c r="X122" s="304">
        <f>MAX(0,IF(X121/2&lt;='Barème fiscal'!$B$4,0,IF(X121/2&lt;='Barème fiscal'!$B$5,X121*'Barème fiscal'!$C$5-'Barème fiscal'!$D$5*2,IF(X121/2&lt;='Barème fiscal'!$B$6,X121*'Barème fiscal'!$C$6-'Barème fiscal'!$D$6*2,IF(X121/2&lt;='Barème fiscal'!$B$7,X121*'Barème fiscal'!$C$7-'Barème fiscal'!$D$7*2,X121*'Barème fiscal'!$C$8-'Barème fiscal'!$D$8*2)))))-MIN(MAX(IF(X121/2&lt;='Barème fiscal'!$B$4,0,IF(X121/2&lt;='Barème fiscal'!$B$5,X121*'Barème fiscal'!$C$5-'Barème fiscal'!$D$5*2,IF(X121/2&lt;='Barème fiscal'!$B$6,X121*'Barème fiscal'!$C$6-'Barème fiscal'!$D$6*2,IF(X121/2&lt;='Barème fiscal'!$B$7,X121*'Barème fiscal'!$C$7-'Barème fiscal'!$D$7*2,X121*'Barème fiscal'!$C$8-'Barème fiscal'!$D$8*2))))-MAX(0,IF(X121/'Hypothèses'!$B$39&lt;='Barème fiscal'!$B$4,0,IF(X121/'Hypothèses'!$B$39&lt;='Barème fiscal'!$B$5,X121*'Barème fiscal'!$C$5-'Barème fiscal'!$D$5*'Hypothèses'!$B$39,IF(X121/'Hypothèses'!$B$39&lt;='Barème fiscal'!$B$6,X121*'Barème fiscal'!$C$6-'Barème fiscal'!$D$6*'Hypothèses'!$B$39,IF(X121/'Hypothèses'!$B$39&lt;='Barème fiscal'!$B$7,X121*'Barème fiscal'!$C$7-'Barème fiscal'!$D$7*'Hypothèses'!$B$39,X121*'Barème fiscal'!$C$8-'Barème fiscal'!$D$8*'Hypothèses'!$B$39))))),0),MAX('Hypothèses'!$B$39-2,0)*2*'Barème fiscal'!$B$10)</f>
        <v>13371.69072</v>
      </c>
      <c r="Y122" s="304">
        <f>MAX(0,IF(Y121/2&lt;='Barème fiscal'!$B$4,0,IF(Y121/2&lt;='Barème fiscal'!$B$5,Y121*'Barème fiscal'!$C$5-'Barème fiscal'!$D$5*2,IF(Y121/2&lt;='Barème fiscal'!$B$6,Y121*'Barème fiscal'!$C$6-'Barème fiscal'!$D$6*2,IF(Y121/2&lt;='Barème fiscal'!$B$7,Y121*'Barème fiscal'!$C$7-'Barème fiscal'!$D$7*2,Y121*'Barème fiscal'!$C$8-'Barème fiscal'!$D$8*2)))))-MIN(MAX(IF(Y121/2&lt;='Barème fiscal'!$B$4,0,IF(Y121/2&lt;='Barème fiscal'!$B$5,Y121*'Barème fiscal'!$C$5-'Barème fiscal'!$D$5*2,IF(Y121/2&lt;='Barème fiscal'!$B$6,Y121*'Barème fiscal'!$C$6-'Barème fiscal'!$D$6*2,IF(Y121/2&lt;='Barème fiscal'!$B$7,Y121*'Barème fiscal'!$C$7-'Barème fiscal'!$D$7*2,Y121*'Barème fiscal'!$C$8-'Barème fiscal'!$D$8*2))))-MAX(0,IF(Y121/'Hypothèses'!$B$39&lt;='Barème fiscal'!$B$4,0,IF(Y121/'Hypothèses'!$B$39&lt;='Barème fiscal'!$B$5,Y121*'Barème fiscal'!$C$5-'Barème fiscal'!$D$5*'Hypothèses'!$B$39,IF(Y121/'Hypothèses'!$B$39&lt;='Barème fiscal'!$B$6,Y121*'Barème fiscal'!$C$6-'Barème fiscal'!$D$6*'Hypothèses'!$B$39,IF(Y121/'Hypothèses'!$B$39&lt;='Barème fiscal'!$B$7,Y121*'Barème fiscal'!$C$7-'Barème fiscal'!$D$7*'Hypothèses'!$B$39,Y121*'Barème fiscal'!$C$8-'Barème fiscal'!$D$8*'Hypothèses'!$B$39))))),0),MAX('Hypothèses'!$B$39-2,0)*2*'Barème fiscal'!$B$10)</f>
        <v>13536.74978</v>
      </c>
      <c r="Z122" s="304">
        <f>MAX(0,IF(Z121/2&lt;='Barème fiscal'!$B$4,0,IF(Z121/2&lt;='Barème fiscal'!$B$5,Z121*'Barème fiscal'!$C$5-'Barème fiscal'!$D$5*2,IF(Z121/2&lt;='Barème fiscal'!$B$6,Z121*'Barème fiscal'!$C$6-'Barème fiscal'!$D$6*2,IF(Z121/2&lt;='Barème fiscal'!$B$7,Z121*'Barème fiscal'!$C$7-'Barème fiscal'!$D$7*2,Z121*'Barème fiscal'!$C$8-'Barème fiscal'!$D$8*2)))))-MIN(MAX(IF(Z121/2&lt;='Barème fiscal'!$B$4,0,IF(Z121/2&lt;='Barème fiscal'!$B$5,Z121*'Barème fiscal'!$C$5-'Barème fiscal'!$D$5*2,IF(Z121/2&lt;='Barème fiscal'!$B$6,Z121*'Barème fiscal'!$C$6-'Barème fiscal'!$D$6*2,IF(Z121/2&lt;='Barème fiscal'!$B$7,Z121*'Barème fiscal'!$C$7-'Barème fiscal'!$D$7*2,Z121*'Barème fiscal'!$C$8-'Barème fiscal'!$D$8*2))))-MAX(0,IF(Z121/'Hypothèses'!$B$39&lt;='Barème fiscal'!$B$4,0,IF(Z121/'Hypothèses'!$B$39&lt;='Barème fiscal'!$B$5,Z121*'Barème fiscal'!$C$5-'Barème fiscal'!$D$5*'Hypothèses'!$B$39,IF(Z121/'Hypothèses'!$B$39&lt;='Barème fiscal'!$B$6,Z121*'Barème fiscal'!$C$6-'Barème fiscal'!$D$6*'Hypothèses'!$B$39,IF(Z121/'Hypothèses'!$B$39&lt;='Barème fiscal'!$B$7,Z121*'Barème fiscal'!$C$7-'Barème fiscal'!$D$7*'Hypothèses'!$B$39,Z121*'Barème fiscal'!$C$8-'Barème fiscal'!$D$8*'Hypothèses'!$B$39))))),0),MAX('Hypothèses'!$B$39-2,0)*2*'Barème fiscal'!$B$10)</f>
        <v>13706.65981</v>
      </c>
      <c r="AA122" s="304"/>
      <c r="AB122" s="263"/>
      <c r="AC122" s="263"/>
      <c r="AD122" s="263"/>
      <c r="AE122" s="263"/>
      <c r="AF122" s="263"/>
      <c r="AG122" s="263"/>
      <c r="AH122" s="263"/>
      <c r="AI122" s="263"/>
      <c r="AJ122" s="263"/>
      <c r="AK122" s="263"/>
      <c r="AL122" s="45"/>
      <c r="AM122" s="45"/>
      <c r="AN122" s="45"/>
      <c r="AO122" s="45"/>
      <c r="AP122" s="45"/>
      <c r="AQ122" s="45"/>
      <c r="AR122" s="45"/>
      <c r="AS122" s="45"/>
      <c r="AT122" s="45"/>
      <c r="AU122" s="45"/>
    </row>
    <row r="123" ht="15.75" customHeight="1">
      <c r="A123" s="306" t="s">
        <v>387</v>
      </c>
      <c r="B123" s="304">
        <f>B119*'Hypothèses'!$B$40</f>
        <v>0</v>
      </c>
      <c r="C123" s="304">
        <f>C119*'Hypothèses'!$B$40</f>
        <v>428.0488794</v>
      </c>
      <c r="D123" s="304">
        <f>D119*'Hypothèses'!$B$40</f>
        <v>483.9771615</v>
      </c>
      <c r="E123" s="304">
        <f>E119*'Hypothèses'!$B$40</f>
        <v>541.4739786</v>
      </c>
      <c r="F123" s="304">
        <f>F119*'Hypothèses'!$B$40</f>
        <v>600.5873033</v>
      </c>
      <c r="G123" s="304">
        <f>G119*'Hypothèses'!$B$40</f>
        <v>661.3666471</v>
      </c>
      <c r="H123" s="304">
        <f>H119*'Hypothèses'!$B$40</f>
        <v>723.8631102</v>
      </c>
      <c r="I123" s="304">
        <f>I119*'Hypothèses'!$B$40</f>
        <v>788.1294344</v>
      </c>
      <c r="J123" s="304">
        <f>J119*'Hypothèses'!$B$40</f>
        <v>854.2200564</v>
      </c>
      <c r="K123" s="304">
        <f>K119*'Hypothèses'!$B$40</f>
        <v>922.1911643</v>
      </c>
      <c r="L123" s="304">
        <f>L119*'Hypothèses'!$B$40</f>
        <v>992.1007542</v>
      </c>
      <c r="M123" s="304">
        <f>M119*'Hypothèses'!$B$40</f>
        <v>1064.008691</v>
      </c>
      <c r="N123" s="304">
        <f>N119*'Hypothèses'!$B$40</f>
        <v>1137.976767</v>
      </c>
      <c r="O123" s="304">
        <f>O119*'Hypothèses'!$B$40</f>
        <v>1214.068771</v>
      </c>
      <c r="P123" s="304">
        <f>P119*'Hypothèses'!$B$40</f>
        <v>1292.350546</v>
      </c>
      <c r="Q123" s="304">
        <f>Q119*'Hypothèses'!$B$40</f>
        <v>1372.890066</v>
      </c>
      <c r="R123" s="304">
        <f>R119*'Hypothèses'!$B$40</f>
        <v>1455.757497</v>
      </c>
      <c r="S123" s="304">
        <f>S119*'Hypothèses'!$B$40</f>
        <v>1541.025277</v>
      </c>
      <c r="T123" s="304">
        <f>T119*'Hypothèses'!$B$40</f>
        <v>1628.768186</v>
      </c>
      <c r="U123" s="304">
        <f>U119*'Hypothèses'!$B$40</f>
        <v>1719.063425</v>
      </c>
      <c r="V123" s="304">
        <f>V119*'Hypothèses'!$B$40</f>
        <v>1811.990696</v>
      </c>
      <c r="W123" s="304">
        <f>W119*'Hypothèses'!$B$40</f>
        <v>1907.632284</v>
      </c>
      <c r="X123" s="304">
        <f>X119*'Hypothèses'!$B$40</f>
        <v>2006.073142</v>
      </c>
      <c r="Y123" s="304">
        <f>Y119*'Hypothèses'!$B$40</f>
        <v>2107.40098</v>
      </c>
      <c r="Z123" s="304">
        <f>Z119*'Hypothèses'!$B$40</f>
        <v>2211.706355</v>
      </c>
      <c r="AA123" s="304"/>
      <c r="AB123" s="263"/>
      <c r="AC123" s="263"/>
      <c r="AD123" s="263"/>
      <c r="AE123" s="263"/>
      <c r="AF123" s="263"/>
      <c r="AG123" s="263"/>
      <c r="AH123" s="263"/>
      <c r="AI123" s="263"/>
      <c r="AJ123" s="263"/>
      <c r="AK123" s="263"/>
      <c r="AL123" s="45"/>
      <c r="AM123" s="45"/>
      <c r="AN123" s="45"/>
      <c r="AO123" s="45"/>
      <c r="AP123" s="45"/>
      <c r="AQ123" s="45"/>
      <c r="AR123" s="45"/>
      <c r="AS123" s="45"/>
      <c r="AT123" s="45"/>
      <c r="AU123" s="45"/>
    </row>
    <row r="124" ht="15.75" customHeight="1">
      <c r="A124" s="306" t="s">
        <v>388</v>
      </c>
      <c r="B124" s="304">
        <f t="shared" ref="B124:Z124" si="36">B122+B123</f>
        <v>9550.682295</v>
      </c>
      <c r="C124" s="304">
        <f t="shared" si="36"/>
        <v>11273.62576</v>
      </c>
      <c r="D124" s="304">
        <f t="shared" si="36"/>
        <v>11376.33479</v>
      </c>
      <c r="E124" s="304">
        <f t="shared" si="36"/>
        <v>11527.48339</v>
      </c>
      <c r="F124" s="304">
        <f t="shared" si="36"/>
        <v>11682.88197</v>
      </c>
      <c r="G124" s="304">
        <f t="shared" si="36"/>
        <v>11842.66068</v>
      </c>
      <c r="H124" s="304">
        <f t="shared" si="36"/>
        <v>12006.95389</v>
      </c>
      <c r="I124" s="304">
        <f t="shared" si="36"/>
        <v>12175.90026</v>
      </c>
      <c r="J124" s="304">
        <f t="shared" si="36"/>
        <v>12349.64294</v>
      </c>
      <c r="K124" s="304">
        <f t="shared" si="36"/>
        <v>12528.32965</v>
      </c>
      <c r="L124" s="304">
        <f t="shared" si="36"/>
        <v>12712.11289</v>
      </c>
      <c r="M124" s="304">
        <f t="shared" si="36"/>
        <v>12901.15004</v>
      </c>
      <c r="N124" s="304">
        <f t="shared" si="36"/>
        <v>13095.60359</v>
      </c>
      <c r="O124" s="304">
        <f t="shared" si="36"/>
        <v>13295.64124</v>
      </c>
      <c r="P124" s="304">
        <f t="shared" si="36"/>
        <v>13501.43613</v>
      </c>
      <c r="Q124" s="304">
        <f t="shared" si="36"/>
        <v>13713.16698</v>
      </c>
      <c r="R124" s="304">
        <f t="shared" si="36"/>
        <v>13931.01826</v>
      </c>
      <c r="S124" s="304">
        <f t="shared" si="36"/>
        <v>14155.18045</v>
      </c>
      <c r="T124" s="304">
        <f t="shared" si="36"/>
        <v>14385.85016</v>
      </c>
      <c r="U124" s="304">
        <f t="shared" si="36"/>
        <v>14623.23038</v>
      </c>
      <c r="V124" s="304">
        <f t="shared" si="36"/>
        <v>14867.53067</v>
      </c>
      <c r="W124" s="304">
        <f t="shared" si="36"/>
        <v>15118.96737</v>
      </c>
      <c r="X124" s="304">
        <f t="shared" si="36"/>
        <v>15377.76386</v>
      </c>
      <c r="Y124" s="304">
        <f t="shared" si="36"/>
        <v>15644.15076</v>
      </c>
      <c r="Z124" s="304">
        <f t="shared" si="36"/>
        <v>15918.36616</v>
      </c>
      <c r="AA124" s="304"/>
      <c r="AB124" s="263"/>
      <c r="AC124" s="263"/>
      <c r="AD124" s="263"/>
      <c r="AE124" s="263"/>
      <c r="AF124" s="263"/>
      <c r="AG124" s="263"/>
      <c r="AH124" s="263"/>
      <c r="AI124" s="263"/>
      <c r="AJ124" s="263"/>
      <c r="AK124" s="263"/>
      <c r="AL124" s="45"/>
      <c r="AM124" s="45"/>
      <c r="AN124" s="45"/>
      <c r="AO124" s="45"/>
      <c r="AP124" s="45"/>
      <c r="AQ124" s="45"/>
      <c r="AR124" s="45"/>
      <c r="AS124" s="45"/>
      <c r="AT124" s="45"/>
      <c r="AU124" s="45"/>
    </row>
    <row r="125" ht="15.75" customHeight="1">
      <c r="A125" s="306" t="s">
        <v>389</v>
      </c>
      <c r="B125" s="304">
        <f>B124-AF4</f>
        <v>2184</v>
      </c>
      <c r="C125" s="304">
        <f>C124-AF5</f>
        <v>2612.048879</v>
      </c>
      <c r="D125" s="304">
        <f>D124-AF6</f>
        <v>2617.208573</v>
      </c>
      <c r="E125" s="304">
        <f>E124-AF7</f>
        <v>2668.072036</v>
      </c>
      <c r="F125" s="304">
        <f>F124-AF8</f>
        <v>2720.365971</v>
      </c>
      <c r="G125" s="304">
        <f>G124-AF9</f>
        <v>2774.134199</v>
      </c>
      <c r="H125" s="304">
        <f>H124-AF10</f>
        <v>2829.42195</v>
      </c>
      <c r="I125" s="304">
        <f>I124-AF11</f>
        <v>2886.275903</v>
      </c>
      <c r="J125" s="304">
        <f>J124-AF12</f>
        <v>2944.74424</v>
      </c>
      <c r="K125" s="304">
        <f>K124-AF13</f>
        <v>3004.876692</v>
      </c>
      <c r="L125" s="304">
        <f>L124-AF14</f>
        <v>3066.724593</v>
      </c>
      <c r="M125" s="304">
        <f>M124-AF15</f>
        <v>3130.340927</v>
      </c>
      <c r="N125" s="304">
        <f>N124-AF16</f>
        <v>3195.780388</v>
      </c>
      <c r="O125" s="304">
        <f>O124-AF17</f>
        <v>3263.099433</v>
      </c>
      <c r="P125" s="304">
        <f>P124-AF18</f>
        <v>3292.165797</v>
      </c>
      <c r="Q125" s="304">
        <f>Q124-AF19</f>
        <v>3287.648</v>
      </c>
      <c r="R125" s="304">
        <f>R124-AF20</f>
        <v>3287.648</v>
      </c>
      <c r="S125" s="304">
        <f>S124-AF21</f>
        <v>3287.648</v>
      </c>
      <c r="T125" s="304">
        <f>T124-AF22</f>
        <v>3287.648</v>
      </c>
      <c r="U125" s="304">
        <f>U124-AF23</f>
        <v>3287.648</v>
      </c>
      <c r="V125" s="304">
        <f>V124-AF24</f>
        <v>3287.648</v>
      </c>
      <c r="W125" s="304">
        <f>W124-AF25</f>
        <v>3287.648</v>
      </c>
      <c r="X125" s="304">
        <f>X124-AF26</f>
        <v>3287.648</v>
      </c>
      <c r="Y125" s="304">
        <f>Y124-AF27</f>
        <v>3287.648</v>
      </c>
      <c r="Z125" s="304">
        <f>Z124-AF28</f>
        <v>3287.648</v>
      </c>
      <c r="AA125" s="304"/>
      <c r="AB125" s="263"/>
      <c r="AC125" s="263"/>
      <c r="AD125" s="263"/>
      <c r="AE125" s="263"/>
      <c r="AF125" s="263"/>
      <c r="AG125" s="263"/>
      <c r="AH125" s="263"/>
      <c r="AI125" s="263"/>
      <c r="AJ125" s="263"/>
      <c r="AK125" s="263"/>
      <c r="AL125" s="45"/>
      <c r="AM125" s="45"/>
      <c r="AN125" s="45"/>
      <c r="AO125" s="45"/>
      <c r="AP125" s="45"/>
      <c r="AQ125" s="45"/>
      <c r="AR125" s="45"/>
      <c r="AS125" s="45"/>
      <c r="AT125" s="45"/>
      <c r="AU125" s="45"/>
    </row>
    <row r="126" ht="15.75" customHeight="1">
      <c r="A126" s="263"/>
      <c r="B126" s="263"/>
      <c r="C126" s="263"/>
      <c r="D126" s="263"/>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3"/>
      <c r="AA126" s="263"/>
      <c r="AB126" s="263"/>
      <c r="AC126" s="263"/>
      <c r="AD126" s="263"/>
      <c r="AE126" s="263"/>
      <c r="AF126" s="263"/>
      <c r="AG126" s="263"/>
      <c r="AH126" s="263"/>
      <c r="AI126" s="263"/>
      <c r="AJ126" s="263"/>
      <c r="AK126" s="263"/>
      <c r="AL126" s="45"/>
      <c r="AM126" s="45"/>
      <c r="AN126" s="45"/>
      <c r="AO126" s="45"/>
      <c r="AP126" s="45"/>
      <c r="AQ126" s="45"/>
      <c r="AR126" s="45"/>
      <c r="AS126" s="45"/>
      <c r="AT126" s="45"/>
      <c r="AU126" s="45"/>
    </row>
    <row r="127" ht="15.75" customHeight="1">
      <c r="A127" s="263"/>
      <c r="B127" s="263"/>
      <c r="C127" s="263"/>
      <c r="D127" s="263"/>
      <c r="E127" s="263"/>
      <c r="F127" s="263"/>
      <c r="G127" s="263"/>
      <c r="H127" s="263"/>
      <c r="I127" s="263"/>
      <c r="J127" s="263"/>
      <c r="K127" s="263"/>
      <c r="L127" s="263"/>
      <c r="M127" s="263"/>
      <c r="N127" s="263"/>
      <c r="O127" s="263"/>
      <c r="P127" s="263"/>
      <c r="Q127" s="263"/>
      <c r="R127" s="263"/>
      <c r="S127" s="263"/>
      <c r="T127" s="263"/>
      <c r="U127" s="263"/>
      <c r="V127" s="263"/>
      <c r="W127" s="263"/>
      <c r="X127" s="263"/>
      <c r="Y127" s="263"/>
      <c r="Z127" s="263"/>
      <c r="AA127" s="263"/>
      <c r="AB127" s="263"/>
      <c r="AC127" s="263"/>
      <c r="AD127" s="263"/>
      <c r="AE127" s="263"/>
      <c r="AF127" s="263"/>
      <c r="AG127" s="263"/>
      <c r="AH127" s="263"/>
      <c r="AI127" s="263"/>
      <c r="AJ127" s="263"/>
      <c r="AK127" s="263"/>
      <c r="AL127" s="45"/>
      <c r="AM127" s="45"/>
      <c r="AN127" s="45"/>
      <c r="AO127" s="45"/>
      <c r="AP127" s="45"/>
      <c r="AQ127" s="45"/>
      <c r="AR127" s="45"/>
      <c r="AS127" s="45"/>
      <c r="AT127" s="45"/>
      <c r="AU127" s="45"/>
    </row>
    <row r="128" ht="15.75" customHeight="1">
      <c r="A128" s="263"/>
      <c r="B128" s="263"/>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45"/>
      <c r="AM128" s="45"/>
      <c r="AN128" s="45"/>
      <c r="AO128" s="45"/>
      <c r="AP128" s="45"/>
      <c r="AQ128" s="45"/>
      <c r="AR128" s="45"/>
      <c r="AS128" s="45"/>
      <c r="AT128" s="45"/>
      <c r="AU128" s="45"/>
    </row>
    <row r="129" ht="15.75" customHeight="1">
      <c r="A129" s="263"/>
      <c r="B129" s="263"/>
      <c r="C129" s="263"/>
      <c r="D129" s="263"/>
      <c r="E129" s="263"/>
      <c r="F129" s="263"/>
      <c r="G129" s="263"/>
      <c r="H129" s="263"/>
      <c r="I129" s="263"/>
      <c r="J129" s="263"/>
      <c r="K129" s="263"/>
      <c r="L129" s="263"/>
      <c r="M129" s="263"/>
      <c r="N129" s="263"/>
      <c r="O129" s="263"/>
      <c r="P129" s="263"/>
      <c r="Q129" s="263"/>
      <c r="R129" s="263"/>
      <c r="S129" s="263"/>
      <c r="T129" s="263"/>
      <c r="U129" s="263"/>
      <c r="V129" s="263"/>
      <c r="W129" s="263"/>
      <c r="X129" s="263"/>
      <c r="Y129" s="263"/>
      <c r="Z129" s="263"/>
      <c r="AA129" s="263"/>
      <c r="AB129" s="263"/>
      <c r="AC129" s="263"/>
      <c r="AD129" s="263"/>
      <c r="AE129" s="263"/>
      <c r="AF129" s="263"/>
      <c r="AG129" s="263"/>
      <c r="AH129" s="263"/>
      <c r="AI129" s="263"/>
      <c r="AJ129" s="263"/>
      <c r="AK129" s="263"/>
      <c r="AL129" s="45"/>
      <c r="AM129" s="45"/>
      <c r="AN129" s="45"/>
      <c r="AO129" s="45"/>
      <c r="AP129" s="45"/>
      <c r="AQ129" s="45"/>
      <c r="AR129" s="45"/>
      <c r="AS129" s="45"/>
      <c r="AT129" s="45"/>
      <c r="AU129" s="45"/>
    </row>
    <row r="130" ht="15.75" customHeight="1">
      <c r="A130" s="303" t="s">
        <v>390</v>
      </c>
      <c r="B130" s="263"/>
      <c r="C130" s="263"/>
      <c r="D130" s="263"/>
      <c r="E130" s="263"/>
      <c r="F130" s="263"/>
      <c r="G130" s="263"/>
      <c r="H130" s="263"/>
      <c r="I130" s="263"/>
      <c r="J130" s="263"/>
      <c r="K130" s="263"/>
      <c r="L130" s="263"/>
      <c r="M130" s="263"/>
      <c r="N130" s="263"/>
      <c r="O130" s="263"/>
      <c r="P130" s="263"/>
      <c r="Q130" s="263"/>
      <c r="R130" s="263"/>
      <c r="S130" s="263"/>
      <c r="T130" s="263"/>
      <c r="U130" s="263"/>
      <c r="V130" s="263"/>
      <c r="W130" s="263"/>
      <c r="X130" s="263"/>
      <c r="Y130" s="263"/>
      <c r="Z130" s="263"/>
      <c r="AA130" s="263"/>
      <c r="AB130" s="263"/>
      <c r="AC130" s="263"/>
      <c r="AD130" s="263"/>
      <c r="AE130" s="263"/>
      <c r="AF130" s="263"/>
      <c r="AG130" s="263"/>
      <c r="AH130" s="263"/>
      <c r="AI130" s="263"/>
      <c r="AJ130" s="263"/>
      <c r="AK130" s="263"/>
      <c r="AL130" s="45"/>
      <c r="AM130" s="45"/>
      <c r="AN130" s="45"/>
      <c r="AO130" s="45"/>
      <c r="AP130" s="45"/>
      <c r="AQ130" s="45"/>
      <c r="AR130" s="45"/>
      <c r="AS130" s="45"/>
      <c r="AT130" s="45"/>
      <c r="AU130" s="45"/>
    </row>
    <row r="131" ht="15.75" customHeight="1">
      <c r="A131" s="307" t="s">
        <v>154</v>
      </c>
      <c r="B131" s="263">
        <v>1.0</v>
      </c>
      <c r="C131" s="263">
        <v>2.0</v>
      </c>
      <c r="D131" s="263">
        <v>3.0</v>
      </c>
      <c r="E131" s="263">
        <v>4.0</v>
      </c>
      <c r="F131" s="263">
        <v>5.0</v>
      </c>
      <c r="G131" s="263">
        <v>6.0</v>
      </c>
      <c r="H131" s="263">
        <v>7.0</v>
      </c>
      <c r="I131" s="263">
        <v>8.0</v>
      </c>
      <c r="J131" s="263">
        <v>9.0</v>
      </c>
      <c r="K131" s="263">
        <v>10.0</v>
      </c>
      <c r="L131" s="263">
        <v>11.0</v>
      </c>
      <c r="M131" s="263">
        <v>12.0</v>
      </c>
      <c r="N131" s="263">
        <v>13.0</v>
      </c>
      <c r="O131" s="263">
        <v>14.0</v>
      </c>
      <c r="P131" s="263">
        <v>15.0</v>
      </c>
      <c r="Q131" s="263">
        <v>16.0</v>
      </c>
      <c r="R131" s="263">
        <v>17.0</v>
      </c>
      <c r="S131" s="263">
        <v>18.0</v>
      </c>
      <c r="T131" s="263">
        <v>19.0</v>
      </c>
      <c r="U131" s="263">
        <v>20.0</v>
      </c>
      <c r="V131" s="263">
        <v>21.0</v>
      </c>
      <c r="W131" s="263">
        <v>22.0</v>
      </c>
      <c r="X131" s="263">
        <v>23.0</v>
      </c>
      <c r="Y131" s="263">
        <v>24.0</v>
      </c>
      <c r="Z131" s="263">
        <v>25.0</v>
      </c>
      <c r="AA131" s="263"/>
      <c r="AB131" s="263"/>
      <c r="AC131" s="263"/>
      <c r="AD131" s="263"/>
      <c r="AE131" s="263"/>
      <c r="AF131" s="263"/>
      <c r="AG131" s="263"/>
      <c r="AH131" s="263"/>
      <c r="AI131" s="263"/>
      <c r="AJ131" s="263"/>
      <c r="AK131" s="263"/>
      <c r="AL131" s="45"/>
      <c r="AM131" s="45"/>
      <c r="AN131" s="45"/>
      <c r="AO131" s="45"/>
      <c r="AP131" s="45"/>
      <c r="AQ131" s="45"/>
      <c r="AR131" s="45"/>
      <c r="AS131" s="45"/>
      <c r="AT131" s="45"/>
      <c r="AU131" s="45"/>
    </row>
    <row r="132" ht="15.75" customHeight="1">
      <c r="A132" s="307" t="s">
        <v>360</v>
      </c>
      <c r="B132" s="308">
        <f>'Hypothèses'!$B$4</f>
        <v>260000</v>
      </c>
      <c r="C132" s="308">
        <f>'Hypothèses'!$B$4</f>
        <v>260000</v>
      </c>
      <c r="D132" s="308">
        <f>'Hypothèses'!$B$4</f>
        <v>260000</v>
      </c>
      <c r="E132" s="308">
        <f>'Hypothèses'!$B$4</f>
        <v>260000</v>
      </c>
      <c r="F132" s="308">
        <f>'Hypothèses'!$B$4</f>
        <v>260000</v>
      </c>
      <c r="G132" s="308">
        <f>'Hypothèses'!$B$4</f>
        <v>260000</v>
      </c>
      <c r="H132" s="308">
        <f>'Hypothèses'!$B$4</f>
        <v>260000</v>
      </c>
      <c r="I132" s="308">
        <f>'Hypothèses'!$B$4</f>
        <v>260000</v>
      </c>
      <c r="J132" s="308">
        <f>'Hypothèses'!$B$4</f>
        <v>260000</v>
      </c>
      <c r="K132" s="308">
        <f>'Hypothèses'!$B$4</f>
        <v>260000</v>
      </c>
      <c r="L132" s="308">
        <f>'Hypothèses'!$B$4</f>
        <v>260000</v>
      </c>
      <c r="M132" s="308">
        <f>'Hypothèses'!$B$4</f>
        <v>260000</v>
      </c>
      <c r="N132" s="308">
        <f>'Hypothèses'!$B$4</f>
        <v>260000</v>
      </c>
      <c r="O132" s="308">
        <f>'Hypothèses'!$B$4</f>
        <v>260000</v>
      </c>
      <c r="P132" s="308">
        <f>'Hypothèses'!$B$4</f>
        <v>260000</v>
      </c>
      <c r="Q132" s="308">
        <f>'Hypothèses'!$B$4</f>
        <v>260000</v>
      </c>
      <c r="R132" s="308">
        <f>'Hypothèses'!$B$4</f>
        <v>260000</v>
      </c>
      <c r="S132" s="308">
        <f>'Hypothèses'!$B$4</f>
        <v>260000</v>
      </c>
      <c r="T132" s="308">
        <f>'Hypothèses'!$B$4</f>
        <v>260000</v>
      </c>
      <c r="U132" s="308">
        <f>'Hypothèses'!$B$4</f>
        <v>260000</v>
      </c>
      <c r="V132" s="308">
        <f>'Hypothèses'!$B$4</f>
        <v>260000</v>
      </c>
      <c r="W132" s="308">
        <f>'Hypothèses'!$B$4</f>
        <v>260000</v>
      </c>
      <c r="X132" s="308">
        <f>'Hypothèses'!$B$4</f>
        <v>260000</v>
      </c>
      <c r="Y132" s="308">
        <f>'Hypothèses'!$B$4</f>
        <v>260000</v>
      </c>
      <c r="Z132" s="308">
        <f>'Hypothèses'!$B$4</f>
        <v>260000</v>
      </c>
      <c r="AA132" s="263"/>
      <c r="AB132" s="263"/>
      <c r="AC132" s="263"/>
      <c r="AD132" s="263"/>
      <c r="AE132" s="263"/>
      <c r="AF132" s="263"/>
      <c r="AG132" s="263"/>
      <c r="AH132" s="263"/>
      <c r="AI132" s="263"/>
      <c r="AJ132" s="263"/>
      <c r="AK132" s="263"/>
      <c r="AL132" s="45"/>
      <c r="AM132" s="45"/>
      <c r="AN132" s="45"/>
      <c r="AO132" s="45"/>
      <c r="AP132" s="45"/>
      <c r="AQ132" s="45"/>
      <c r="AR132" s="45"/>
      <c r="AS132" s="45"/>
      <c r="AT132" s="45"/>
      <c r="AU132" s="45"/>
    </row>
    <row r="133" ht="15.75" customHeight="1">
      <c r="A133" s="307" t="s">
        <v>391</v>
      </c>
      <c r="B133" s="308">
        <f>'Hypothèses'!$B$4*(1.015^1)</f>
        <v>263900</v>
      </c>
      <c r="C133" s="308">
        <f>'Hypothèses'!$B$4*(1.015^2)</f>
        <v>267858.5</v>
      </c>
      <c r="D133" s="308">
        <f>'Hypothèses'!$B$4*(1.015^3)</f>
        <v>271876.3775</v>
      </c>
      <c r="E133" s="308">
        <f>'Hypothèses'!$B$4*(1.015^4)</f>
        <v>275954.5232</v>
      </c>
      <c r="F133" s="308">
        <f>'Hypothèses'!$B$4*(1.015^5)</f>
        <v>280093.841</v>
      </c>
      <c r="G133" s="308">
        <f>'Hypothèses'!$B$4*(1.015^6)</f>
        <v>284295.2486</v>
      </c>
      <c r="H133" s="308">
        <f>'Hypothèses'!$B$4*(1.015^7)</f>
        <v>288559.6774</v>
      </c>
      <c r="I133" s="308">
        <f>'Hypothèses'!$B$4*(1.015^8)</f>
        <v>292888.0725</v>
      </c>
      <c r="J133" s="308">
        <f>'Hypothèses'!$B$4*(1.015^9)</f>
        <v>297281.3936</v>
      </c>
      <c r="K133" s="308">
        <f>'Hypothèses'!$B$4*(1.015^10)</f>
        <v>301740.6145</v>
      </c>
      <c r="L133" s="308">
        <f>'Hypothèses'!$B$4*(1.015^11)</f>
        <v>306266.7237</v>
      </c>
      <c r="M133" s="308">
        <f>'Hypothèses'!$B$4*(1.015^12)</f>
        <v>310860.7246</v>
      </c>
      <c r="N133" s="308">
        <f>'Hypothèses'!$B$4*(1.015^13)</f>
        <v>315523.6354</v>
      </c>
      <c r="O133" s="308">
        <f>'Hypothèses'!$B$4*(1.015^14)</f>
        <v>320256.49</v>
      </c>
      <c r="P133" s="308">
        <f>'Hypothèses'!$B$4*(1.015^15)</f>
        <v>325060.3373</v>
      </c>
      <c r="Q133" s="308">
        <f>'Hypothèses'!$B$4*(1.015^16)</f>
        <v>329936.2424</v>
      </c>
      <c r="R133" s="308">
        <f>'Hypothèses'!$B$4*(1.015^17)</f>
        <v>334885.286</v>
      </c>
      <c r="S133" s="308">
        <f>'Hypothèses'!$B$4*(1.015^18)</f>
        <v>339908.5653</v>
      </c>
      <c r="T133" s="308">
        <f>'Hypothèses'!$B$4*(1.015^19)</f>
        <v>345007.1938</v>
      </c>
      <c r="U133" s="308">
        <f>'Hypothèses'!$B$4*(1.015^20)</f>
        <v>350182.3017</v>
      </c>
      <c r="V133" s="308">
        <f>'Hypothèses'!$B$4*(1.015^21)</f>
        <v>355435.0362</v>
      </c>
      <c r="W133" s="308">
        <f>'Hypothèses'!$B$4*(1.015^22)</f>
        <v>360766.5618</v>
      </c>
      <c r="X133" s="308">
        <f>'Hypothèses'!$B$4*(1.015^23)</f>
        <v>366178.0602</v>
      </c>
      <c r="Y133" s="308">
        <f>'Hypothèses'!$B$4*(1.015^24)</f>
        <v>371670.7311</v>
      </c>
      <c r="Z133" s="308">
        <f>'Hypothèses'!$B$4*(1.015^25)</f>
        <v>377245.7921</v>
      </c>
      <c r="AA133" s="263"/>
      <c r="AB133" s="263"/>
      <c r="AC133" s="263"/>
      <c r="AD133" s="263"/>
      <c r="AE133" s="263"/>
      <c r="AF133" s="263"/>
      <c r="AG133" s="263"/>
      <c r="AH133" s="263"/>
      <c r="AI133" s="263"/>
      <c r="AJ133" s="263"/>
      <c r="AK133" s="263"/>
      <c r="AL133" s="45"/>
      <c r="AM133" s="45"/>
      <c r="AN133" s="45"/>
      <c r="AO133" s="45"/>
      <c r="AP133" s="45"/>
      <c r="AQ133" s="45"/>
      <c r="AR133" s="45"/>
      <c r="AS133" s="45"/>
      <c r="AT133" s="45"/>
      <c r="AU133" s="45"/>
    </row>
    <row r="134" ht="15.75" customHeight="1">
      <c r="A134" s="307" t="s">
        <v>362</v>
      </c>
      <c r="B134" s="309">
        <f>G4</f>
        <v>246179.3849</v>
      </c>
      <c r="C134" s="309">
        <f>G5</f>
        <v>239336.9546</v>
      </c>
      <c r="D134" s="309">
        <f>G6</f>
        <v>232265.2773</v>
      </c>
      <c r="E134" s="309">
        <f>G7</f>
        <v>224956.6724</v>
      </c>
      <c r="F134" s="309">
        <f>G8</f>
        <v>217403.2021</v>
      </c>
      <c r="G134" s="309">
        <f>G9</f>
        <v>209596.6623</v>
      </c>
      <c r="H134" s="309">
        <f>G10</f>
        <v>201528.5743</v>
      </c>
      <c r="I134" s="309">
        <f>G11</f>
        <v>193190.1753</v>
      </c>
      <c r="J134" s="309">
        <f>G12</f>
        <v>184572.4088</v>
      </c>
      <c r="K134" s="309">
        <f>G13</f>
        <v>175665.9151</v>
      </c>
      <c r="L134" s="309">
        <f>G14</f>
        <v>166461.0205</v>
      </c>
      <c r="M134" s="309">
        <f>G15</f>
        <v>156947.7277</v>
      </c>
      <c r="N134" s="309">
        <f>G16</f>
        <v>147115.7041</v>
      </c>
      <c r="O134" s="309">
        <f>G17</f>
        <v>136954.2711</v>
      </c>
      <c r="P134" s="309">
        <f>G18</f>
        <v>126452.3921</v>
      </c>
      <c r="Q134" s="309">
        <f>G19</f>
        <v>115598.6611</v>
      </c>
      <c r="R134" s="309">
        <f>G20</f>
        <v>104381.2896</v>
      </c>
      <c r="S134" s="309">
        <f>G21</f>
        <v>92788.09428</v>
      </c>
      <c r="T134" s="309">
        <f>G22</f>
        <v>80806.48373</v>
      </c>
      <c r="U134" s="309">
        <f>G23</f>
        <v>68423.44454</v>
      </c>
      <c r="V134" s="309">
        <f>G24</f>
        <v>55625.52737</v>
      </c>
      <c r="W134" s="309">
        <f>G25</f>
        <v>42398.83226</v>
      </c>
      <c r="X134" s="309">
        <f>G26</f>
        <v>28728.99354</v>
      </c>
      <c r="Y134" s="309">
        <f>G27</f>
        <v>14601.16425</v>
      </c>
      <c r="Z134" s="309">
        <f>G28</f>
        <v>0.000000002852175385</v>
      </c>
      <c r="AA134" s="263"/>
      <c r="AB134" s="263"/>
      <c r="AC134" s="263"/>
      <c r="AD134" s="263"/>
      <c r="AE134" s="263"/>
      <c r="AF134" s="263"/>
      <c r="AG134" s="263"/>
      <c r="AH134" s="263"/>
      <c r="AI134" s="263"/>
      <c r="AJ134" s="263"/>
      <c r="AK134" s="263"/>
      <c r="AL134" s="45"/>
      <c r="AM134" s="45"/>
      <c r="AN134" s="45"/>
      <c r="AO134" s="45"/>
      <c r="AP134" s="45"/>
      <c r="AQ134" s="45"/>
      <c r="AR134" s="45"/>
      <c r="AS134" s="45"/>
      <c r="AT134" s="45"/>
      <c r="AU134" s="45"/>
    </row>
    <row r="135" ht="15.75" customHeight="1">
      <c r="A135" s="307" t="s">
        <v>392</v>
      </c>
      <c r="B135" s="308">
        <f>B132-('Hypothèses'!$B$4+MAX('Hypothèses'!$B$4*'Hypothèses'!$B$5,'Hypothèses'!$B$4*'Hypothèses'!$B$43)+IF(1&gt;5,'Hypothèses'!$B$4*'Hypothèses'!$B$44,0))</f>
        <v>-19500</v>
      </c>
      <c r="C135" s="308">
        <f>C132-('Hypothèses'!$B$4+MAX('Hypothèses'!$B$4*'Hypothèses'!$B$5,'Hypothèses'!$B$4*'Hypothèses'!$B$43)+IF(2&gt;5,'Hypothèses'!$B$4*'Hypothèses'!$B$44,0))</f>
        <v>-19500</v>
      </c>
      <c r="D135" s="308">
        <f>D132-('Hypothèses'!$B$4+MAX('Hypothèses'!$B$4*'Hypothèses'!$B$5,'Hypothèses'!$B$4*'Hypothèses'!$B$43)+IF(3&gt;5,'Hypothèses'!$B$4*'Hypothèses'!$B$44,0))</f>
        <v>-19500</v>
      </c>
      <c r="E135" s="308">
        <f>E132-('Hypothèses'!$B$4+MAX('Hypothèses'!$B$4*'Hypothèses'!$B$5,'Hypothèses'!$B$4*'Hypothèses'!$B$43)+IF(4&gt;5,'Hypothèses'!$B$4*'Hypothèses'!$B$44,0))</f>
        <v>-19500</v>
      </c>
      <c r="F135" s="308">
        <f>F132-('Hypothèses'!$B$4+MAX('Hypothèses'!$B$4*'Hypothèses'!$B$5,'Hypothèses'!$B$4*'Hypothèses'!$B$43)+IF(5&gt;5,'Hypothèses'!$B$4*'Hypothèses'!$B$44,0))</f>
        <v>-19500</v>
      </c>
      <c r="G135" s="308">
        <f>G132-('Hypothèses'!$B$4+MAX('Hypothèses'!$B$4*'Hypothèses'!$B$5,'Hypothèses'!$B$4*'Hypothèses'!$B$43)+IF(6&gt;5,'Hypothèses'!$B$4*'Hypothèses'!$B$44,0))</f>
        <v>-58500</v>
      </c>
      <c r="H135" s="308">
        <f>H132-('Hypothèses'!$B$4+MAX('Hypothèses'!$B$4*'Hypothèses'!$B$5,'Hypothèses'!$B$4*'Hypothèses'!$B$43)+IF(7&gt;5,'Hypothèses'!$B$4*'Hypothèses'!$B$44,0))</f>
        <v>-58500</v>
      </c>
      <c r="I135" s="308">
        <f>I132-('Hypothèses'!$B$4+MAX('Hypothèses'!$B$4*'Hypothèses'!$B$5,'Hypothèses'!$B$4*'Hypothèses'!$B$43)+IF(8&gt;5,'Hypothèses'!$B$4*'Hypothèses'!$B$44,0))</f>
        <v>-58500</v>
      </c>
      <c r="J135" s="308">
        <f>J132-('Hypothèses'!$B$4+MAX('Hypothèses'!$B$4*'Hypothèses'!$B$5,'Hypothèses'!$B$4*'Hypothèses'!$B$43)+IF(9&gt;5,'Hypothèses'!$B$4*'Hypothèses'!$B$44,0))</f>
        <v>-58500</v>
      </c>
      <c r="K135" s="308">
        <f>K132-('Hypothèses'!$B$4+MAX('Hypothèses'!$B$4*'Hypothèses'!$B$5,'Hypothèses'!$B$4*'Hypothèses'!$B$43)+IF(10&gt;5,'Hypothèses'!$B$4*'Hypothèses'!$B$44,0))</f>
        <v>-58500</v>
      </c>
      <c r="L135" s="308">
        <f>L132-('Hypothèses'!$B$4+MAX('Hypothèses'!$B$4*'Hypothèses'!$B$5,'Hypothèses'!$B$4*'Hypothèses'!$B$43)+IF(11&gt;5,'Hypothèses'!$B$4*'Hypothèses'!$B$44,0))</f>
        <v>-58500</v>
      </c>
      <c r="M135" s="308">
        <f>M132-('Hypothèses'!$B$4+MAX('Hypothèses'!$B$4*'Hypothèses'!$B$5,'Hypothèses'!$B$4*'Hypothèses'!$B$43)+IF(12&gt;5,'Hypothèses'!$B$4*'Hypothèses'!$B$44,0))</f>
        <v>-58500</v>
      </c>
      <c r="N135" s="308">
        <f>N132-('Hypothèses'!$B$4+MAX('Hypothèses'!$B$4*'Hypothèses'!$B$5,'Hypothèses'!$B$4*'Hypothèses'!$B$43)+IF(13&gt;5,'Hypothèses'!$B$4*'Hypothèses'!$B$44,0))</f>
        <v>-58500</v>
      </c>
      <c r="O135" s="308">
        <f>O132-('Hypothèses'!$B$4+MAX('Hypothèses'!$B$4*'Hypothèses'!$B$5,'Hypothèses'!$B$4*'Hypothèses'!$B$43)+IF(14&gt;5,'Hypothèses'!$B$4*'Hypothèses'!$B$44,0))</f>
        <v>-58500</v>
      </c>
      <c r="P135" s="308">
        <f>P132-('Hypothèses'!$B$4+MAX('Hypothèses'!$B$4*'Hypothèses'!$B$5,'Hypothèses'!$B$4*'Hypothèses'!$B$43)+IF(15&gt;5,'Hypothèses'!$B$4*'Hypothèses'!$B$44,0))</f>
        <v>-58500</v>
      </c>
      <c r="Q135" s="308">
        <f>Q132-('Hypothèses'!$B$4+MAX('Hypothèses'!$B$4*'Hypothèses'!$B$5,'Hypothèses'!$B$4*'Hypothèses'!$B$43)+IF(16&gt;5,'Hypothèses'!$B$4*'Hypothèses'!$B$44,0))</f>
        <v>-58500</v>
      </c>
      <c r="R135" s="308">
        <f>R132-('Hypothèses'!$B$4+MAX('Hypothèses'!$B$4*'Hypothèses'!$B$5,'Hypothèses'!$B$4*'Hypothèses'!$B$43)+IF(17&gt;5,'Hypothèses'!$B$4*'Hypothèses'!$B$44,0))</f>
        <v>-58500</v>
      </c>
      <c r="S135" s="308">
        <f>S132-('Hypothèses'!$B$4+MAX('Hypothèses'!$B$4*'Hypothèses'!$B$5,'Hypothèses'!$B$4*'Hypothèses'!$B$43)+IF(18&gt;5,'Hypothèses'!$B$4*'Hypothèses'!$B$44,0))</f>
        <v>-58500</v>
      </c>
      <c r="T135" s="308">
        <f>T132-('Hypothèses'!$B$4+MAX('Hypothèses'!$B$4*'Hypothèses'!$B$5,'Hypothèses'!$B$4*'Hypothèses'!$B$43)+IF(19&gt;5,'Hypothèses'!$B$4*'Hypothèses'!$B$44,0))</f>
        <v>-58500</v>
      </c>
      <c r="U135" s="308">
        <f>U132-('Hypothèses'!$B$4+MAX('Hypothèses'!$B$4*'Hypothèses'!$B$5,'Hypothèses'!$B$4*'Hypothèses'!$B$43)+IF(20&gt;5,'Hypothèses'!$B$4*'Hypothèses'!$B$44,0))</f>
        <v>-58500</v>
      </c>
      <c r="V135" s="308">
        <f>V132-('Hypothèses'!$B$4+MAX('Hypothèses'!$B$4*'Hypothèses'!$B$5,'Hypothèses'!$B$4*'Hypothèses'!$B$43)+IF(21&gt;5,'Hypothèses'!$B$4*'Hypothèses'!$B$44,0))</f>
        <v>-58500</v>
      </c>
      <c r="W135" s="308">
        <f>W132-('Hypothèses'!$B$4+MAX('Hypothèses'!$B$4*'Hypothèses'!$B$5,'Hypothèses'!$B$4*'Hypothèses'!$B$43)+IF(22&gt;5,'Hypothèses'!$B$4*'Hypothèses'!$B$44,0))</f>
        <v>-58500</v>
      </c>
      <c r="X135" s="308">
        <f>X132-('Hypothèses'!$B$4+MAX('Hypothèses'!$B$4*'Hypothèses'!$B$5,'Hypothèses'!$B$4*'Hypothèses'!$B$43)+IF(23&gt;5,'Hypothèses'!$B$4*'Hypothèses'!$B$44,0))</f>
        <v>-58500</v>
      </c>
      <c r="Y135" s="308">
        <f>Y132-('Hypothèses'!$B$4+MAX('Hypothèses'!$B$4*'Hypothèses'!$B$5,'Hypothèses'!$B$4*'Hypothèses'!$B$43)+IF(24&gt;5,'Hypothèses'!$B$4*'Hypothèses'!$B$44,0))</f>
        <v>-58500</v>
      </c>
      <c r="Z135" s="308">
        <f>Z132-('Hypothèses'!$B$4+MAX('Hypothèses'!$B$4*'Hypothèses'!$B$5,'Hypothèses'!$B$4*'Hypothèses'!$B$43)+IF(25&gt;5,'Hypothèses'!$B$4*'Hypothèses'!$B$44,0))</f>
        <v>-58500</v>
      </c>
      <c r="AA135" s="263"/>
      <c r="AB135" s="263"/>
      <c r="AC135" s="263"/>
      <c r="AD135" s="263"/>
      <c r="AE135" s="263"/>
      <c r="AF135" s="263"/>
      <c r="AG135" s="263"/>
      <c r="AH135" s="263"/>
      <c r="AI135" s="263"/>
      <c r="AJ135" s="263"/>
      <c r="AK135" s="263"/>
      <c r="AL135" s="45"/>
      <c r="AM135" s="45"/>
      <c r="AN135" s="45"/>
      <c r="AO135" s="45"/>
      <c r="AP135" s="45"/>
      <c r="AQ135" s="45"/>
      <c r="AR135" s="45"/>
      <c r="AS135" s="45"/>
      <c r="AT135" s="45"/>
      <c r="AU135" s="45"/>
    </row>
    <row r="136" ht="15.75" customHeight="1">
      <c r="A136" s="307" t="s">
        <v>393</v>
      </c>
      <c r="B136" s="308">
        <f>B133-('Hypothèses'!$B$4+MAX('Hypothèses'!$B$4*'Hypothèses'!$B$5,'Hypothèses'!$B$4*'Hypothèses'!$B$43)+IF(1&gt;5,'Hypothèses'!$B$4*'Hypothèses'!$B$44,0))</f>
        <v>-15600</v>
      </c>
      <c r="C136" s="308">
        <f>C133-('Hypothèses'!$B$4+MAX('Hypothèses'!$B$4*'Hypothèses'!$B$5,'Hypothèses'!$B$4*'Hypothèses'!$B$43)+IF(2&gt;5,'Hypothèses'!$B$4*'Hypothèses'!$B$44,0))</f>
        <v>-11641.5</v>
      </c>
      <c r="D136" s="308">
        <f>D133-('Hypothèses'!$B$4+MAX('Hypothèses'!$B$4*'Hypothèses'!$B$5,'Hypothèses'!$B$4*'Hypothèses'!$B$43)+IF(3&gt;5,'Hypothèses'!$B$4*'Hypothèses'!$B$44,0))</f>
        <v>-7623.6225</v>
      </c>
      <c r="E136" s="308">
        <f>E133-('Hypothèses'!$B$4+MAX('Hypothèses'!$B$4*'Hypothèses'!$B$5,'Hypothèses'!$B$4*'Hypothèses'!$B$43)+IF(4&gt;5,'Hypothèses'!$B$4*'Hypothèses'!$B$44,0))</f>
        <v>-3545.476838</v>
      </c>
      <c r="F136" s="308">
        <f>F133-('Hypothèses'!$B$4+MAX('Hypothèses'!$B$4*'Hypothèses'!$B$5,'Hypothèses'!$B$4*'Hypothèses'!$B$43)+IF(5&gt;5,'Hypothèses'!$B$4*'Hypothèses'!$B$44,0))</f>
        <v>593.8410099</v>
      </c>
      <c r="G136" s="308">
        <f>G133-('Hypothèses'!$B$4+MAX('Hypothèses'!$B$4*'Hypothèses'!$B$5,'Hypothèses'!$B$4*'Hypothèses'!$B$43)+IF(6&gt;5,'Hypothèses'!$B$4*'Hypothèses'!$B$44,0))</f>
        <v>-34204.75137</v>
      </c>
      <c r="H136" s="308">
        <f>H133-('Hypothèses'!$B$4+MAX('Hypothèses'!$B$4*'Hypothèses'!$B$5,'Hypothèses'!$B$4*'Hypothèses'!$B$43)+IF(7&gt;5,'Hypothèses'!$B$4*'Hypothèses'!$B$44,0))</f>
        <v>-29940.32265</v>
      </c>
      <c r="I136" s="308">
        <f>I133-('Hypothèses'!$B$4+MAX('Hypothèses'!$B$4*'Hypothèses'!$B$5,'Hypothèses'!$B$4*'Hypothèses'!$B$43)+IF(8&gt;5,'Hypothèses'!$B$4*'Hypothèses'!$B$44,0))</f>
        <v>-25611.92749</v>
      </c>
      <c r="J136" s="308">
        <f>J133-('Hypothèses'!$B$4+MAX('Hypothèses'!$B$4*'Hypothèses'!$B$5,'Hypothèses'!$B$4*'Hypothèses'!$B$43)+IF(9&gt;5,'Hypothèses'!$B$4*'Hypothèses'!$B$44,0))</f>
        <v>-21218.6064</v>
      </c>
      <c r="K136" s="308">
        <f>K133-('Hypothèses'!$B$4+MAX('Hypothèses'!$B$4*'Hypothèses'!$B$5,'Hypothèses'!$B$4*'Hypothèses'!$B$43)+IF(10&gt;5,'Hypothèses'!$B$4*'Hypothèses'!$B$44,0))</f>
        <v>-16759.38549</v>
      </c>
      <c r="L136" s="308">
        <f>L133-('Hypothèses'!$B$4+MAX('Hypothèses'!$B$4*'Hypothèses'!$B$5,'Hypothèses'!$B$4*'Hypothèses'!$B$43)+IF(11&gt;5,'Hypothèses'!$B$4*'Hypothèses'!$B$44,0))</f>
        <v>-12233.27628</v>
      </c>
      <c r="M136" s="308">
        <f>M133-('Hypothèses'!$B$4+MAX('Hypothèses'!$B$4*'Hypothèses'!$B$5,'Hypothèses'!$B$4*'Hypothèses'!$B$43)+IF(12&gt;5,'Hypothèses'!$B$4*'Hypothèses'!$B$44,0))</f>
        <v>-7639.27542</v>
      </c>
      <c r="N136" s="308">
        <f>N133-('Hypothèses'!$B$4+MAX('Hypothèses'!$B$4*'Hypothèses'!$B$5,'Hypothèses'!$B$4*'Hypothèses'!$B$43)+IF(13&gt;5,'Hypothèses'!$B$4*'Hypothèses'!$B$44,0))</f>
        <v>-2976.364551</v>
      </c>
      <c r="O136" s="308">
        <f>O133-('Hypothèses'!$B$4+MAX('Hypothèses'!$B$4*'Hypothèses'!$B$5,'Hypothèses'!$B$4*'Hypothèses'!$B$43)+IF(14&gt;5,'Hypothèses'!$B$4*'Hypothèses'!$B$44,0))</f>
        <v>1756.48998</v>
      </c>
      <c r="P136" s="308">
        <f>P133-('Hypothèses'!$B$4+MAX('Hypothèses'!$B$4*'Hypothèses'!$B$5,'Hypothèses'!$B$4*'Hypothèses'!$B$43)+IF(15&gt;5,'Hypothèses'!$B$4*'Hypothèses'!$B$44,0))</f>
        <v>6560.33733</v>
      </c>
      <c r="Q136" s="308">
        <f>Q133-('Hypothèses'!$B$4+MAX('Hypothèses'!$B$4*'Hypothèses'!$B$5,'Hypothèses'!$B$4*'Hypothèses'!$B$43)+IF(16&gt;5,'Hypothèses'!$B$4*'Hypothèses'!$B$44,0))</f>
        <v>11436.24239</v>
      </c>
      <c r="R136" s="308">
        <f>R133-('Hypothèses'!$B$4+MAX('Hypothèses'!$B$4*'Hypothèses'!$B$5,'Hypothèses'!$B$4*'Hypothèses'!$B$43)+IF(17&gt;5,'Hypothèses'!$B$4*'Hypothèses'!$B$44,0))</f>
        <v>16385.28603</v>
      </c>
      <c r="S136" s="308">
        <f>S133-('Hypothèses'!$B$4+MAX('Hypothèses'!$B$4*'Hypothèses'!$B$5,'Hypothèses'!$B$4*'Hypothèses'!$B$43)+IF(18&gt;5,'Hypothèses'!$B$4*'Hypothèses'!$B$44,0))</f>
        <v>21408.56532</v>
      </c>
      <c r="T136" s="308">
        <f>T133-('Hypothèses'!$B$4+MAX('Hypothèses'!$B$4*'Hypothèses'!$B$5,'Hypothèses'!$B$4*'Hypothèses'!$B$43)+IF(19&gt;5,'Hypothèses'!$B$4*'Hypothèses'!$B$44,0))</f>
        <v>26507.1938</v>
      </c>
      <c r="U136" s="308">
        <f>U133-('Hypothèses'!$B$4+MAX('Hypothèses'!$B$4*'Hypothèses'!$B$5,'Hypothèses'!$B$4*'Hypothèses'!$B$43)+IF(20&gt;5,'Hypothèses'!$B$4*'Hypothèses'!$B$44,0))</f>
        <v>31682.3017</v>
      </c>
      <c r="V136" s="308">
        <f>V133-('Hypothèses'!$B$4+MAX('Hypothèses'!$B$4*'Hypothèses'!$B$5,'Hypothèses'!$B$4*'Hypothèses'!$B$43)+IF(21&gt;5,'Hypothèses'!$B$4*'Hypothèses'!$B$44,0))</f>
        <v>36935.03623</v>
      </c>
      <c r="W136" s="308">
        <f>W133-('Hypothèses'!$B$4+MAX('Hypothèses'!$B$4*'Hypothèses'!$B$5,'Hypothèses'!$B$4*'Hypothèses'!$B$43)+IF(22&gt;5,'Hypothèses'!$B$4*'Hypothèses'!$B$44,0))</f>
        <v>42266.56177</v>
      </c>
      <c r="X136" s="308">
        <f>X133-('Hypothèses'!$B$4+MAX('Hypothèses'!$B$4*'Hypothèses'!$B$5,'Hypothèses'!$B$4*'Hypothèses'!$B$43)+IF(23&gt;5,'Hypothèses'!$B$4*'Hypothèses'!$B$44,0))</f>
        <v>47678.0602</v>
      </c>
      <c r="Y136" s="308">
        <f>Y133-('Hypothèses'!$B$4+MAX('Hypothèses'!$B$4*'Hypothèses'!$B$5,'Hypothèses'!$B$4*'Hypothèses'!$B$43)+IF(24&gt;5,'Hypothèses'!$B$4*'Hypothèses'!$B$44,0))</f>
        <v>53170.7311</v>
      </c>
      <c r="Z136" s="308">
        <f>Z133-('Hypothèses'!$B$4+MAX('Hypothèses'!$B$4*'Hypothèses'!$B$5,'Hypothèses'!$B$4*'Hypothèses'!$B$43)+IF(25&gt;5,'Hypothèses'!$B$4*'Hypothèses'!$B$44,0))</f>
        <v>58745.79207</v>
      </c>
      <c r="AA136" s="263"/>
      <c r="AB136" s="263"/>
      <c r="AC136" s="263"/>
      <c r="AD136" s="263"/>
      <c r="AE136" s="263"/>
      <c r="AF136" s="263"/>
      <c r="AG136" s="263"/>
      <c r="AH136" s="263"/>
      <c r="AI136" s="263"/>
      <c r="AJ136" s="263"/>
      <c r="AK136" s="263"/>
      <c r="AL136" s="45"/>
      <c r="AM136" s="45"/>
      <c r="AN136" s="45"/>
      <c r="AO136" s="45"/>
      <c r="AP136" s="45"/>
      <c r="AQ136" s="45"/>
      <c r="AR136" s="45"/>
      <c r="AS136" s="45"/>
      <c r="AT136" s="45"/>
      <c r="AU136" s="45"/>
    </row>
    <row r="137" ht="15.75" customHeight="1">
      <c r="A137" s="307" t="s">
        <v>364</v>
      </c>
      <c r="B137" s="310">
        <f>AO4</f>
        <v>0</v>
      </c>
      <c r="C137" s="310">
        <f>AO5</f>
        <v>0</v>
      </c>
      <c r="D137" s="310">
        <f>AO6</f>
        <v>0</v>
      </c>
      <c r="E137" s="310">
        <f>AO7</f>
        <v>0</v>
      </c>
      <c r="F137" s="310">
        <f>AO8</f>
        <v>0</v>
      </c>
      <c r="G137" s="310">
        <f>AO9</f>
        <v>0.06</v>
      </c>
      <c r="H137" s="310">
        <f>AO10</f>
        <v>0.12</v>
      </c>
      <c r="I137" s="310">
        <f>AO11</f>
        <v>0.18</v>
      </c>
      <c r="J137" s="310">
        <f>AO12</f>
        <v>0.24</v>
      </c>
      <c r="K137" s="310">
        <f>AO13</f>
        <v>0.3</v>
      </c>
      <c r="L137" s="310">
        <f>AO14</f>
        <v>0.36</v>
      </c>
      <c r="M137" s="310">
        <f>AO15</f>
        <v>0.42</v>
      </c>
      <c r="N137" s="310">
        <f>AO16</f>
        <v>0.48</v>
      </c>
      <c r="O137" s="310">
        <f>AO17</f>
        <v>0.54</v>
      </c>
      <c r="P137" s="310">
        <f>AO18</f>
        <v>0.6</v>
      </c>
      <c r="Q137" s="310">
        <f>AO19</f>
        <v>0.66</v>
      </c>
      <c r="R137" s="310">
        <f>AO20</f>
        <v>0.72</v>
      </c>
      <c r="S137" s="310">
        <f>AO21</f>
        <v>0.78</v>
      </c>
      <c r="T137" s="310">
        <f>AO22</f>
        <v>0.84</v>
      </c>
      <c r="U137" s="310">
        <f>AO23</f>
        <v>0.9</v>
      </c>
      <c r="V137" s="310">
        <f>AO24</f>
        <v>0.96</v>
      </c>
      <c r="W137" s="310">
        <f>AO25</f>
        <v>1</v>
      </c>
      <c r="X137" s="310">
        <f>AO26</f>
        <v>1</v>
      </c>
      <c r="Y137" s="310">
        <f>AO27</f>
        <v>1</v>
      </c>
      <c r="Z137" s="310">
        <f>AO28</f>
        <v>1</v>
      </c>
      <c r="AA137" s="263"/>
      <c r="AB137" s="263"/>
      <c r="AC137" s="263"/>
      <c r="AD137" s="263"/>
      <c r="AE137" s="263"/>
      <c r="AF137" s="263"/>
      <c r="AG137" s="263"/>
      <c r="AH137" s="263"/>
      <c r="AI137" s="263"/>
      <c r="AJ137" s="263"/>
      <c r="AK137" s="263"/>
      <c r="AL137" s="45"/>
      <c r="AM137" s="45"/>
      <c r="AN137" s="45"/>
      <c r="AO137" s="45"/>
      <c r="AP137" s="45"/>
      <c r="AQ137" s="45"/>
      <c r="AR137" s="45"/>
      <c r="AS137" s="45"/>
      <c r="AT137" s="45"/>
      <c r="AU137" s="45"/>
    </row>
    <row r="138" ht="15.75" customHeight="1">
      <c r="A138" s="307" t="s">
        <v>365</v>
      </c>
      <c r="B138" s="310">
        <f>AQ4</f>
        <v>0</v>
      </c>
      <c r="C138" s="310">
        <f>AQ5</f>
        <v>0</v>
      </c>
      <c r="D138" s="310">
        <f>AQ6</f>
        <v>0</v>
      </c>
      <c r="E138" s="310">
        <f>AQ7</f>
        <v>0</v>
      </c>
      <c r="F138" s="310">
        <f>AQ8</f>
        <v>0</v>
      </c>
      <c r="G138" s="310">
        <f>AQ9</f>
        <v>0.0165</v>
      </c>
      <c r="H138" s="310">
        <f>AQ10</f>
        <v>0.033</v>
      </c>
      <c r="I138" s="310">
        <f>AQ11</f>
        <v>0.0495</v>
      </c>
      <c r="J138" s="310">
        <f>AQ12</f>
        <v>0.066</v>
      </c>
      <c r="K138" s="310">
        <f>AQ13</f>
        <v>0.0825</v>
      </c>
      <c r="L138" s="310">
        <f>AQ14</f>
        <v>0.099</v>
      </c>
      <c r="M138" s="310">
        <f>AQ15</f>
        <v>0.1155</v>
      </c>
      <c r="N138" s="310">
        <f>AQ16</f>
        <v>0.132</v>
      </c>
      <c r="O138" s="310">
        <f>AQ17</f>
        <v>0.1485</v>
      </c>
      <c r="P138" s="310">
        <f>AQ18</f>
        <v>0.165</v>
      </c>
      <c r="Q138" s="310">
        <f>AQ19</f>
        <v>0.1815</v>
      </c>
      <c r="R138" s="310">
        <f>AQ20</f>
        <v>0.198</v>
      </c>
      <c r="S138" s="310">
        <f>AQ21</f>
        <v>0.2145</v>
      </c>
      <c r="T138" s="310">
        <f>AQ22</f>
        <v>0.231</v>
      </c>
      <c r="U138" s="310">
        <f>AQ23</f>
        <v>0.2475</v>
      </c>
      <c r="V138" s="310">
        <f>AQ24</f>
        <v>0.264</v>
      </c>
      <c r="W138" s="310">
        <f>AQ25</f>
        <v>0.28</v>
      </c>
      <c r="X138" s="310">
        <f>AQ26</f>
        <v>0.37</v>
      </c>
      <c r="Y138" s="310">
        <f>AQ27</f>
        <v>0.46</v>
      </c>
      <c r="Z138" s="310">
        <f>AQ28</f>
        <v>0.55</v>
      </c>
      <c r="AA138" s="263"/>
      <c r="AB138" s="263"/>
      <c r="AC138" s="263"/>
      <c r="AD138" s="263"/>
      <c r="AE138" s="263"/>
      <c r="AF138" s="263"/>
      <c r="AG138" s="263"/>
      <c r="AH138" s="263"/>
      <c r="AI138" s="263"/>
      <c r="AJ138" s="263"/>
      <c r="AK138" s="263"/>
      <c r="AL138" s="45"/>
      <c r="AM138" s="45"/>
      <c r="AN138" s="45"/>
      <c r="AO138" s="45"/>
      <c r="AP138" s="45"/>
      <c r="AQ138" s="45"/>
      <c r="AR138" s="45"/>
      <c r="AS138" s="45"/>
      <c r="AT138" s="45"/>
      <c r="AU138" s="45"/>
    </row>
    <row r="139" ht="15.75" customHeight="1">
      <c r="A139" s="307" t="s">
        <v>394</v>
      </c>
      <c r="B139" s="263">
        <f t="shared" ref="B139:Z139" si="37">MAX(0,B135*(1-B137))</f>
        <v>0</v>
      </c>
      <c r="C139" s="263">
        <f t="shared" si="37"/>
        <v>0</v>
      </c>
      <c r="D139" s="263">
        <f t="shared" si="37"/>
        <v>0</v>
      </c>
      <c r="E139" s="263">
        <f t="shared" si="37"/>
        <v>0</v>
      </c>
      <c r="F139" s="263">
        <f t="shared" si="37"/>
        <v>0</v>
      </c>
      <c r="G139" s="263">
        <f t="shared" si="37"/>
        <v>0</v>
      </c>
      <c r="H139" s="263">
        <f t="shared" si="37"/>
        <v>0</v>
      </c>
      <c r="I139" s="263">
        <f t="shared" si="37"/>
        <v>0</v>
      </c>
      <c r="J139" s="263">
        <f t="shared" si="37"/>
        <v>0</v>
      </c>
      <c r="K139" s="263">
        <f t="shared" si="37"/>
        <v>0</v>
      </c>
      <c r="L139" s="263">
        <f t="shared" si="37"/>
        <v>0</v>
      </c>
      <c r="M139" s="263">
        <f t="shared" si="37"/>
        <v>0</v>
      </c>
      <c r="N139" s="263">
        <f t="shared" si="37"/>
        <v>0</v>
      </c>
      <c r="O139" s="263">
        <f t="shared" si="37"/>
        <v>0</v>
      </c>
      <c r="P139" s="263">
        <f t="shared" si="37"/>
        <v>0</v>
      </c>
      <c r="Q139" s="263">
        <f t="shared" si="37"/>
        <v>0</v>
      </c>
      <c r="R139" s="263">
        <f t="shared" si="37"/>
        <v>0</v>
      </c>
      <c r="S139" s="263">
        <f t="shared" si="37"/>
        <v>0</v>
      </c>
      <c r="T139" s="263">
        <f t="shared" si="37"/>
        <v>0</v>
      </c>
      <c r="U139" s="263">
        <f t="shared" si="37"/>
        <v>0</v>
      </c>
      <c r="V139" s="263">
        <f t="shared" si="37"/>
        <v>0</v>
      </c>
      <c r="W139" s="263">
        <f t="shared" si="37"/>
        <v>0</v>
      </c>
      <c r="X139" s="263">
        <f t="shared" si="37"/>
        <v>0</v>
      </c>
      <c r="Y139" s="263">
        <f t="shared" si="37"/>
        <v>0</v>
      </c>
      <c r="Z139" s="263">
        <f t="shared" si="37"/>
        <v>0</v>
      </c>
      <c r="AA139" s="263"/>
      <c r="AB139" s="263"/>
      <c r="AC139" s="263"/>
      <c r="AD139" s="263"/>
      <c r="AE139" s="263"/>
      <c r="AF139" s="263"/>
      <c r="AG139" s="263"/>
      <c r="AH139" s="263"/>
      <c r="AI139" s="263"/>
      <c r="AJ139" s="263"/>
      <c r="AK139" s="263"/>
      <c r="AL139" s="45"/>
      <c r="AM139" s="45"/>
      <c r="AN139" s="45"/>
      <c r="AO139" s="45"/>
      <c r="AP139" s="45"/>
      <c r="AQ139" s="45"/>
      <c r="AR139" s="45"/>
      <c r="AS139" s="45"/>
      <c r="AT139" s="45"/>
      <c r="AU139" s="45"/>
    </row>
    <row r="140" ht="15.75" customHeight="1">
      <c r="A140" s="307" t="s">
        <v>395</v>
      </c>
      <c r="B140" s="263">
        <f t="shared" ref="B140:Z140" si="38">MAX(0,B135*(1-B138))</f>
        <v>0</v>
      </c>
      <c r="C140" s="263">
        <f t="shared" si="38"/>
        <v>0</v>
      </c>
      <c r="D140" s="263">
        <f t="shared" si="38"/>
        <v>0</v>
      </c>
      <c r="E140" s="263">
        <f t="shared" si="38"/>
        <v>0</v>
      </c>
      <c r="F140" s="263">
        <f t="shared" si="38"/>
        <v>0</v>
      </c>
      <c r="G140" s="263">
        <f t="shared" si="38"/>
        <v>0</v>
      </c>
      <c r="H140" s="263">
        <f t="shared" si="38"/>
        <v>0</v>
      </c>
      <c r="I140" s="263">
        <f t="shared" si="38"/>
        <v>0</v>
      </c>
      <c r="J140" s="263">
        <f t="shared" si="38"/>
        <v>0</v>
      </c>
      <c r="K140" s="263">
        <f t="shared" si="38"/>
        <v>0</v>
      </c>
      <c r="L140" s="263">
        <f t="shared" si="38"/>
        <v>0</v>
      </c>
      <c r="M140" s="263">
        <f t="shared" si="38"/>
        <v>0</v>
      </c>
      <c r="N140" s="263">
        <f t="shared" si="38"/>
        <v>0</v>
      </c>
      <c r="O140" s="263">
        <f t="shared" si="38"/>
        <v>0</v>
      </c>
      <c r="P140" s="263">
        <f t="shared" si="38"/>
        <v>0</v>
      </c>
      <c r="Q140" s="263">
        <f t="shared" si="38"/>
        <v>0</v>
      </c>
      <c r="R140" s="263">
        <f t="shared" si="38"/>
        <v>0</v>
      </c>
      <c r="S140" s="263">
        <f t="shared" si="38"/>
        <v>0</v>
      </c>
      <c r="T140" s="263">
        <f t="shared" si="38"/>
        <v>0</v>
      </c>
      <c r="U140" s="263">
        <f t="shared" si="38"/>
        <v>0</v>
      </c>
      <c r="V140" s="263">
        <f t="shared" si="38"/>
        <v>0</v>
      </c>
      <c r="W140" s="263">
        <f t="shared" si="38"/>
        <v>0</v>
      </c>
      <c r="X140" s="263">
        <f t="shared" si="38"/>
        <v>0</v>
      </c>
      <c r="Y140" s="263">
        <f t="shared" si="38"/>
        <v>0</v>
      </c>
      <c r="Z140" s="263">
        <f t="shared" si="38"/>
        <v>0</v>
      </c>
      <c r="AA140" s="263"/>
      <c r="AB140" s="263"/>
      <c r="AC140" s="263"/>
      <c r="AD140" s="263"/>
      <c r="AE140" s="263"/>
      <c r="AF140" s="263"/>
      <c r="AG140" s="263"/>
      <c r="AH140" s="263"/>
      <c r="AI140" s="263"/>
      <c r="AJ140" s="263"/>
      <c r="AK140" s="263"/>
      <c r="AL140" s="45"/>
      <c r="AM140" s="45"/>
      <c r="AN140" s="45"/>
      <c r="AO140" s="45"/>
      <c r="AP140" s="45"/>
      <c r="AQ140" s="45"/>
      <c r="AR140" s="45"/>
      <c r="AS140" s="45"/>
      <c r="AT140" s="45"/>
      <c r="AU140" s="45"/>
    </row>
    <row r="141" ht="15.75" customHeight="1">
      <c r="A141" s="307" t="s">
        <v>396</v>
      </c>
      <c r="B141" s="263">
        <f t="shared" ref="B141:Z141" si="39">MAX(0,B136*(1-B137))</f>
        <v>0</v>
      </c>
      <c r="C141" s="263">
        <f t="shared" si="39"/>
        <v>0</v>
      </c>
      <c r="D141" s="263">
        <f t="shared" si="39"/>
        <v>0</v>
      </c>
      <c r="E141" s="263">
        <f t="shared" si="39"/>
        <v>0</v>
      </c>
      <c r="F141" s="263">
        <f t="shared" si="39"/>
        <v>593.8410099</v>
      </c>
      <c r="G141" s="263">
        <f t="shared" si="39"/>
        <v>0</v>
      </c>
      <c r="H141" s="263">
        <f t="shared" si="39"/>
        <v>0</v>
      </c>
      <c r="I141" s="263">
        <f t="shared" si="39"/>
        <v>0</v>
      </c>
      <c r="J141" s="263">
        <f t="shared" si="39"/>
        <v>0</v>
      </c>
      <c r="K141" s="263">
        <f t="shared" si="39"/>
        <v>0</v>
      </c>
      <c r="L141" s="263">
        <f t="shared" si="39"/>
        <v>0</v>
      </c>
      <c r="M141" s="263">
        <f t="shared" si="39"/>
        <v>0</v>
      </c>
      <c r="N141" s="263">
        <f t="shared" si="39"/>
        <v>0</v>
      </c>
      <c r="O141" s="263">
        <f t="shared" si="39"/>
        <v>807.985391</v>
      </c>
      <c r="P141" s="263">
        <f t="shared" si="39"/>
        <v>2624.134932</v>
      </c>
      <c r="Q141" s="263">
        <f t="shared" si="39"/>
        <v>3888.322413</v>
      </c>
      <c r="R141" s="263">
        <f t="shared" si="39"/>
        <v>4587.880087</v>
      </c>
      <c r="S141" s="263">
        <f t="shared" si="39"/>
        <v>4709.88437</v>
      </c>
      <c r="T141" s="263">
        <f t="shared" si="39"/>
        <v>4241.151007</v>
      </c>
      <c r="U141" s="263">
        <f t="shared" si="39"/>
        <v>3168.23017</v>
      </c>
      <c r="V141" s="263">
        <f t="shared" si="39"/>
        <v>1477.401449</v>
      </c>
      <c r="W141" s="263">
        <f t="shared" si="39"/>
        <v>0</v>
      </c>
      <c r="X141" s="263">
        <f t="shared" si="39"/>
        <v>0</v>
      </c>
      <c r="Y141" s="263">
        <f t="shared" si="39"/>
        <v>0</v>
      </c>
      <c r="Z141" s="263">
        <f t="shared" si="39"/>
        <v>0</v>
      </c>
      <c r="AA141" s="263"/>
      <c r="AB141" s="263"/>
      <c r="AC141" s="263"/>
      <c r="AD141" s="263"/>
      <c r="AE141" s="263"/>
      <c r="AF141" s="263"/>
      <c r="AG141" s="263"/>
      <c r="AH141" s="263"/>
      <c r="AI141" s="263"/>
      <c r="AJ141" s="263"/>
      <c r="AK141" s="263"/>
      <c r="AL141" s="45"/>
      <c r="AM141" s="45"/>
      <c r="AN141" s="45"/>
      <c r="AO141" s="45"/>
      <c r="AP141" s="45"/>
      <c r="AQ141" s="45"/>
      <c r="AR141" s="45"/>
      <c r="AS141" s="45"/>
      <c r="AT141" s="45"/>
      <c r="AU141" s="45"/>
    </row>
    <row r="142" ht="15.75" customHeight="1">
      <c r="A142" s="307" t="s">
        <v>397</v>
      </c>
      <c r="B142" s="263">
        <f t="shared" ref="B142:Z142" si="40">MAX(0,B136*(1-B138))</f>
        <v>0</v>
      </c>
      <c r="C142" s="263">
        <f t="shared" si="40"/>
        <v>0</v>
      </c>
      <c r="D142" s="263">
        <f t="shared" si="40"/>
        <v>0</v>
      </c>
      <c r="E142" s="263">
        <f t="shared" si="40"/>
        <v>0</v>
      </c>
      <c r="F142" s="263">
        <f t="shared" si="40"/>
        <v>593.8410099</v>
      </c>
      <c r="G142" s="263">
        <f t="shared" si="40"/>
        <v>0</v>
      </c>
      <c r="H142" s="263">
        <f t="shared" si="40"/>
        <v>0</v>
      </c>
      <c r="I142" s="263">
        <f t="shared" si="40"/>
        <v>0</v>
      </c>
      <c r="J142" s="263">
        <f t="shared" si="40"/>
        <v>0</v>
      </c>
      <c r="K142" s="263">
        <f t="shared" si="40"/>
        <v>0</v>
      </c>
      <c r="L142" s="263">
        <f t="shared" si="40"/>
        <v>0</v>
      </c>
      <c r="M142" s="263">
        <f t="shared" si="40"/>
        <v>0</v>
      </c>
      <c r="N142" s="263">
        <f t="shared" si="40"/>
        <v>0</v>
      </c>
      <c r="O142" s="263">
        <f t="shared" si="40"/>
        <v>1495.651218</v>
      </c>
      <c r="P142" s="263">
        <f t="shared" si="40"/>
        <v>5477.881671</v>
      </c>
      <c r="Q142" s="263">
        <f t="shared" si="40"/>
        <v>9360.564396</v>
      </c>
      <c r="R142" s="263">
        <f t="shared" si="40"/>
        <v>13140.99939</v>
      </c>
      <c r="S142" s="263">
        <f t="shared" si="40"/>
        <v>16816.42806</v>
      </c>
      <c r="T142" s="263">
        <f t="shared" si="40"/>
        <v>20384.03203</v>
      </c>
      <c r="U142" s="263">
        <f t="shared" si="40"/>
        <v>23840.93203</v>
      </c>
      <c r="V142" s="263">
        <f t="shared" si="40"/>
        <v>27184.18666</v>
      </c>
      <c r="W142" s="263">
        <f t="shared" si="40"/>
        <v>30431.92448</v>
      </c>
      <c r="X142" s="263">
        <f t="shared" si="40"/>
        <v>30037.17793</v>
      </c>
      <c r="Y142" s="263">
        <f t="shared" si="40"/>
        <v>28712.19479</v>
      </c>
      <c r="Z142" s="263">
        <f t="shared" si="40"/>
        <v>26435.60643</v>
      </c>
      <c r="AA142" s="263"/>
      <c r="AB142" s="263"/>
      <c r="AC142" s="263"/>
      <c r="AD142" s="263"/>
      <c r="AE142" s="263"/>
      <c r="AF142" s="263"/>
      <c r="AG142" s="263"/>
      <c r="AH142" s="263"/>
      <c r="AI142" s="263"/>
      <c r="AJ142" s="263"/>
      <c r="AK142" s="263"/>
      <c r="AL142" s="45"/>
      <c r="AM142" s="45"/>
      <c r="AN142" s="45"/>
      <c r="AO142" s="45"/>
      <c r="AP142" s="45"/>
      <c r="AQ142" s="45"/>
      <c r="AR142" s="45"/>
      <c r="AS142" s="45"/>
      <c r="AT142" s="45"/>
      <c r="AU142" s="45"/>
    </row>
    <row r="143" ht="15.75" customHeight="1">
      <c r="A143" s="307" t="s">
        <v>398</v>
      </c>
      <c r="B143" s="263">
        <f>IF(B135&lt;=0,0,B139*'Hypothèses'!$B$45+B140*'Hypothèses'!$B$46+IF(B139&lt;=50000,0,IF(B139&lt;=60000,B139*0.02-(60000-B139)/20,IF(B139&lt;=100000,B139*0.02,IF(B139&lt;=110000,B139*0.03-(110000-B139)/10,IF(B139&lt;=150000,B139*0.03,IF(B139&lt;=160000,B139*0.04-(160000-B139)*3/20,IF(B139&lt;=200000,B139*0.04,IF(B139&lt;=210000,B139*0.05-(210000-B139)/5,IF(B139&lt;=250000,B139*0.05,IF(B139&lt;=260000,B139*0.06-(260000-B139)/4,B139*0.06)))))))))))</f>
        <v>0</v>
      </c>
      <c r="C143" s="263">
        <f>IF(C135&lt;=0,0,C139*'Hypothèses'!$B$45+C140*'Hypothèses'!$B$46+IF(C139&lt;=50000,0,IF(C139&lt;=60000,C139*0.02-(60000-C139)/20,IF(C139&lt;=100000,C139*0.02,IF(C139&lt;=110000,C139*0.03-(110000-C139)/10,IF(C139&lt;=150000,C139*0.03,IF(C139&lt;=160000,C139*0.04-(160000-C139)*3/20,IF(C139&lt;=200000,C139*0.04,IF(C139&lt;=210000,C139*0.05-(210000-C139)/5,IF(C139&lt;=250000,C139*0.05,IF(C139&lt;=260000,C139*0.06-(260000-C139)/4,C139*0.06)))))))))))</f>
        <v>0</v>
      </c>
      <c r="D143" s="263">
        <f>IF(D135&lt;=0,0,D139*'Hypothèses'!$B$45+D140*'Hypothèses'!$B$46+IF(D139&lt;=50000,0,IF(D139&lt;=60000,D139*0.02-(60000-D139)/20,IF(D139&lt;=100000,D139*0.02,IF(D139&lt;=110000,D139*0.03-(110000-D139)/10,IF(D139&lt;=150000,D139*0.03,IF(D139&lt;=160000,D139*0.04-(160000-D139)*3/20,IF(D139&lt;=200000,D139*0.04,IF(D139&lt;=210000,D139*0.05-(210000-D139)/5,IF(D139&lt;=250000,D139*0.05,IF(D139&lt;=260000,D139*0.06-(260000-D139)/4,D139*0.06)))))))))))</f>
        <v>0</v>
      </c>
      <c r="E143" s="263">
        <f>IF(E135&lt;=0,0,E139*'Hypothèses'!$B$45+E140*'Hypothèses'!$B$46+IF(E139&lt;=50000,0,IF(E139&lt;=60000,E139*0.02-(60000-E139)/20,IF(E139&lt;=100000,E139*0.02,IF(E139&lt;=110000,E139*0.03-(110000-E139)/10,IF(E139&lt;=150000,E139*0.03,IF(E139&lt;=160000,E139*0.04-(160000-E139)*3/20,IF(E139&lt;=200000,E139*0.04,IF(E139&lt;=210000,E139*0.05-(210000-E139)/5,IF(E139&lt;=250000,E139*0.05,IF(E139&lt;=260000,E139*0.06-(260000-E139)/4,E139*0.06)))))))))))</f>
        <v>0</v>
      </c>
      <c r="F143" s="263">
        <f>IF(F135&lt;=0,0,F139*'Hypothèses'!$B$45+F140*'Hypothèses'!$B$46+IF(F139&lt;=50000,0,IF(F139&lt;=60000,F139*0.02-(60000-F139)/20,IF(F139&lt;=100000,F139*0.02,IF(F139&lt;=110000,F139*0.03-(110000-F139)/10,IF(F139&lt;=150000,F139*0.03,IF(F139&lt;=160000,F139*0.04-(160000-F139)*3/20,IF(F139&lt;=200000,F139*0.04,IF(F139&lt;=210000,F139*0.05-(210000-F139)/5,IF(F139&lt;=250000,F139*0.05,IF(F139&lt;=260000,F139*0.06-(260000-F139)/4,F139*0.06)))))))))))</f>
        <v>0</v>
      </c>
      <c r="G143" s="263">
        <f>IF(G135&lt;=0,0,G139*'Hypothèses'!$B$45+G140*'Hypothèses'!$B$46+IF(G139&lt;=50000,0,IF(G139&lt;=60000,G139*0.02-(60000-G139)/20,IF(G139&lt;=100000,G139*0.02,IF(G139&lt;=110000,G139*0.03-(110000-G139)/10,IF(G139&lt;=150000,G139*0.03,IF(G139&lt;=160000,G139*0.04-(160000-G139)*3/20,IF(G139&lt;=200000,G139*0.04,IF(G139&lt;=210000,G139*0.05-(210000-G139)/5,IF(G139&lt;=250000,G139*0.05,IF(G139&lt;=260000,G139*0.06-(260000-G139)/4,G139*0.06)))))))))))</f>
        <v>0</v>
      </c>
      <c r="H143" s="263">
        <f>IF(H135&lt;=0,0,H139*'Hypothèses'!$B$45+H140*'Hypothèses'!$B$46+IF(H139&lt;=50000,0,IF(H139&lt;=60000,H139*0.02-(60000-H139)/20,IF(H139&lt;=100000,H139*0.02,IF(H139&lt;=110000,H139*0.03-(110000-H139)/10,IF(H139&lt;=150000,H139*0.03,IF(H139&lt;=160000,H139*0.04-(160000-H139)*3/20,IF(H139&lt;=200000,H139*0.04,IF(H139&lt;=210000,H139*0.05-(210000-H139)/5,IF(H139&lt;=250000,H139*0.05,IF(H139&lt;=260000,H139*0.06-(260000-H139)/4,H139*0.06)))))))))))</f>
        <v>0</v>
      </c>
      <c r="I143" s="263">
        <f>IF(I135&lt;=0,0,I139*'Hypothèses'!$B$45+I140*'Hypothèses'!$B$46+IF(I139&lt;=50000,0,IF(I139&lt;=60000,I139*0.02-(60000-I139)/20,IF(I139&lt;=100000,I139*0.02,IF(I139&lt;=110000,I139*0.03-(110000-I139)/10,IF(I139&lt;=150000,I139*0.03,IF(I139&lt;=160000,I139*0.04-(160000-I139)*3/20,IF(I139&lt;=200000,I139*0.04,IF(I139&lt;=210000,I139*0.05-(210000-I139)/5,IF(I139&lt;=250000,I139*0.05,IF(I139&lt;=260000,I139*0.06-(260000-I139)/4,I139*0.06)))))))))))</f>
        <v>0</v>
      </c>
      <c r="J143" s="263">
        <f>IF(J135&lt;=0,0,J139*'Hypothèses'!$B$45+J140*'Hypothèses'!$B$46+IF(J139&lt;=50000,0,IF(J139&lt;=60000,J139*0.02-(60000-J139)/20,IF(J139&lt;=100000,J139*0.02,IF(J139&lt;=110000,J139*0.03-(110000-J139)/10,IF(J139&lt;=150000,J139*0.03,IF(J139&lt;=160000,J139*0.04-(160000-J139)*3/20,IF(J139&lt;=200000,J139*0.04,IF(J139&lt;=210000,J139*0.05-(210000-J139)/5,IF(J139&lt;=250000,J139*0.05,IF(J139&lt;=260000,J139*0.06-(260000-J139)/4,J139*0.06)))))))))))</f>
        <v>0</v>
      </c>
      <c r="K143" s="263">
        <f>IF(K135&lt;=0,0,K139*'Hypothèses'!$B$45+K140*'Hypothèses'!$B$46+IF(K139&lt;=50000,0,IF(K139&lt;=60000,K139*0.02-(60000-K139)/20,IF(K139&lt;=100000,K139*0.02,IF(K139&lt;=110000,K139*0.03-(110000-K139)/10,IF(K139&lt;=150000,K139*0.03,IF(K139&lt;=160000,K139*0.04-(160000-K139)*3/20,IF(K139&lt;=200000,K139*0.04,IF(K139&lt;=210000,K139*0.05-(210000-K139)/5,IF(K139&lt;=250000,K139*0.05,IF(K139&lt;=260000,K139*0.06-(260000-K139)/4,K139*0.06)))))))))))</f>
        <v>0</v>
      </c>
      <c r="L143" s="263">
        <f>IF(L135&lt;=0,0,L139*'Hypothèses'!$B$45+L140*'Hypothèses'!$B$46+IF(L139&lt;=50000,0,IF(L139&lt;=60000,L139*0.02-(60000-L139)/20,IF(L139&lt;=100000,L139*0.02,IF(L139&lt;=110000,L139*0.03-(110000-L139)/10,IF(L139&lt;=150000,L139*0.03,IF(L139&lt;=160000,L139*0.04-(160000-L139)*3/20,IF(L139&lt;=200000,L139*0.04,IF(L139&lt;=210000,L139*0.05-(210000-L139)/5,IF(L139&lt;=250000,L139*0.05,IF(L139&lt;=260000,L139*0.06-(260000-L139)/4,L139*0.06)))))))))))</f>
        <v>0</v>
      </c>
      <c r="M143" s="263">
        <f>IF(M135&lt;=0,0,M139*'Hypothèses'!$B$45+M140*'Hypothèses'!$B$46+IF(M139&lt;=50000,0,IF(M139&lt;=60000,M139*0.02-(60000-M139)/20,IF(M139&lt;=100000,M139*0.02,IF(M139&lt;=110000,M139*0.03-(110000-M139)/10,IF(M139&lt;=150000,M139*0.03,IF(M139&lt;=160000,M139*0.04-(160000-M139)*3/20,IF(M139&lt;=200000,M139*0.04,IF(M139&lt;=210000,M139*0.05-(210000-M139)/5,IF(M139&lt;=250000,M139*0.05,IF(M139&lt;=260000,M139*0.06-(260000-M139)/4,M139*0.06)))))))))))</f>
        <v>0</v>
      </c>
      <c r="N143" s="263">
        <f>IF(N135&lt;=0,0,N139*'Hypothèses'!$B$45+N140*'Hypothèses'!$B$46+IF(N139&lt;=50000,0,IF(N139&lt;=60000,N139*0.02-(60000-N139)/20,IF(N139&lt;=100000,N139*0.02,IF(N139&lt;=110000,N139*0.03-(110000-N139)/10,IF(N139&lt;=150000,N139*0.03,IF(N139&lt;=160000,N139*0.04-(160000-N139)*3/20,IF(N139&lt;=200000,N139*0.04,IF(N139&lt;=210000,N139*0.05-(210000-N139)/5,IF(N139&lt;=250000,N139*0.05,IF(N139&lt;=260000,N139*0.06-(260000-N139)/4,N139*0.06)))))))))))</f>
        <v>0</v>
      </c>
      <c r="O143" s="263">
        <f>IF(O135&lt;=0,0,O139*'Hypothèses'!$B$45+O140*'Hypothèses'!$B$46+IF(O139&lt;=50000,0,IF(O139&lt;=60000,O139*0.02-(60000-O139)/20,IF(O139&lt;=100000,O139*0.02,IF(O139&lt;=110000,O139*0.03-(110000-O139)/10,IF(O139&lt;=150000,O139*0.03,IF(O139&lt;=160000,O139*0.04-(160000-O139)*3/20,IF(O139&lt;=200000,O139*0.04,IF(O139&lt;=210000,O139*0.05-(210000-O139)/5,IF(O139&lt;=250000,O139*0.05,IF(O139&lt;=260000,O139*0.06-(260000-O139)/4,O139*0.06)))))))))))</f>
        <v>0</v>
      </c>
      <c r="P143" s="263">
        <f>IF(P135&lt;=0,0,P139*'Hypothèses'!$B$45+P140*'Hypothèses'!$B$46+IF(P139&lt;=50000,0,IF(P139&lt;=60000,P139*0.02-(60000-P139)/20,IF(P139&lt;=100000,P139*0.02,IF(P139&lt;=110000,P139*0.03-(110000-P139)/10,IF(P139&lt;=150000,P139*0.03,IF(P139&lt;=160000,P139*0.04-(160000-P139)*3/20,IF(P139&lt;=200000,P139*0.04,IF(P139&lt;=210000,P139*0.05-(210000-P139)/5,IF(P139&lt;=250000,P139*0.05,IF(P139&lt;=260000,P139*0.06-(260000-P139)/4,P139*0.06)))))))))))</f>
        <v>0</v>
      </c>
      <c r="Q143" s="263">
        <f>IF(Q135&lt;=0,0,Q139*'Hypothèses'!$B$45+Q140*'Hypothèses'!$B$46+IF(Q139&lt;=50000,0,IF(Q139&lt;=60000,Q139*0.02-(60000-Q139)/20,IF(Q139&lt;=100000,Q139*0.02,IF(Q139&lt;=110000,Q139*0.03-(110000-Q139)/10,IF(Q139&lt;=150000,Q139*0.03,IF(Q139&lt;=160000,Q139*0.04-(160000-Q139)*3/20,IF(Q139&lt;=200000,Q139*0.04,IF(Q139&lt;=210000,Q139*0.05-(210000-Q139)/5,IF(Q139&lt;=250000,Q139*0.05,IF(Q139&lt;=260000,Q139*0.06-(260000-Q139)/4,Q139*0.06)))))))))))</f>
        <v>0</v>
      </c>
      <c r="R143" s="263">
        <f>IF(R135&lt;=0,0,R139*'Hypothèses'!$B$45+R140*'Hypothèses'!$B$46+IF(R139&lt;=50000,0,IF(R139&lt;=60000,R139*0.02-(60000-R139)/20,IF(R139&lt;=100000,R139*0.02,IF(R139&lt;=110000,R139*0.03-(110000-R139)/10,IF(R139&lt;=150000,R139*0.03,IF(R139&lt;=160000,R139*0.04-(160000-R139)*3/20,IF(R139&lt;=200000,R139*0.04,IF(R139&lt;=210000,R139*0.05-(210000-R139)/5,IF(R139&lt;=250000,R139*0.05,IF(R139&lt;=260000,R139*0.06-(260000-R139)/4,R139*0.06)))))))))))</f>
        <v>0</v>
      </c>
      <c r="S143" s="263">
        <f>IF(S135&lt;=0,0,S139*'Hypothèses'!$B$45+S140*'Hypothèses'!$B$46+IF(S139&lt;=50000,0,IF(S139&lt;=60000,S139*0.02-(60000-S139)/20,IF(S139&lt;=100000,S139*0.02,IF(S139&lt;=110000,S139*0.03-(110000-S139)/10,IF(S139&lt;=150000,S139*0.03,IF(S139&lt;=160000,S139*0.04-(160000-S139)*3/20,IF(S139&lt;=200000,S139*0.04,IF(S139&lt;=210000,S139*0.05-(210000-S139)/5,IF(S139&lt;=250000,S139*0.05,IF(S139&lt;=260000,S139*0.06-(260000-S139)/4,S139*0.06)))))))))))</f>
        <v>0</v>
      </c>
      <c r="T143" s="263">
        <f>IF(T135&lt;=0,0,T139*'Hypothèses'!$B$45+T140*'Hypothèses'!$B$46+IF(T139&lt;=50000,0,IF(T139&lt;=60000,T139*0.02-(60000-T139)/20,IF(T139&lt;=100000,T139*0.02,IF(T139&lt;=110000,T139*0.03-(110000-T139)/10,IF(T139&lt;=150000,T139*0.03,IF(T139&lt;=160000,T139*0.04-(160000-T139)*3/20,IF(T139&lt;=200000,T139*0.04,IF(T139&lt;=210000,T139*0.05-(210000-T139)/5,IF(T139&lt;=250000,T139*0.05,IF(T139&lt;=260000,T139*0.06-(260000-T139)/4,T139*0.06)))))))))))</f>
        <v>0</v>
      </c>
      <c r="U143" s="263">
        <f>IF(U135&lt;=0,0,U139*'Hypothèses'!$B$45+U140*'Hypothèses'!$B$46+IF(U139&lt;=50000,0,IF(U139&lt;=60000,U139*0.02-(60000-U139)/20,IF(U139&lt;=100000,U139*0.02,IF(U139&lt;=110000,U139*0.03-(110000-U139)/10,IF(U139&lt;=150000,U139*0.03,IF(U139&lt;=160000,U139*0.04-(160000-U139)*3/20,IF(U139&lt;=200000,U139*0.04,IF(U139&lt;=210000,U139*0.05-(210000-U139)/5,IF(U139&lt;=250000,U139*0.05,IF(U139&lt;=260000,U139*0.06-(260000-U139)/4,U139*0.06)))))))))))</f>
        <v>0</v>
      </c>
      <c r="V143" s="263">
        <f>IF(V135&lt;=0,0,V139*'Hypothèses'!$B$45+V140*'Hypothèses'!$B$46+IF(V139&lt;=50000,0,IF(V139&lt;=60000,V139*0.02-(60000-V139)/20,IF(V139&lt;=100000,V139*0.02,IF(V139&lt;=110000,V139*0.03-(110000-V139)/10,IF(V139&lt;=150000,V139*0.03,IF(V139&lt;=160000,V139*0.04-(160000-V139)*3/20,IF(V139&lt;=200000,V139*0.04,IF(V139&lt;=210000,V139*0.05-(210000-V139)/5,IF(V139&lt;=250000,V139*0.05,IF(V139&lt;=260000,V139*0.06-(260000-V139)/4,V139*0.06)))))))))))</f>
        <v>0</v>
      </c>
      <c r="W143" s="263">
        <f>IF(W135&lt;=0,0,W139*'Hypothèses'!$B$45+W140*'Hypothèses'!$B$46+IF(W139&lt;=50000,0,IF(W139&lt;=60000,W139*0.02-(60000-W139)/20,IF(W139&lt;=100000,W139*0.02,IF(W139&lt;=110000,W139*0.03-(110000-W139)/10,IF(W139&lt;=150000,W139*0.03,IF(W139&lt;=160000,W139*0.04-(160000-W139)*3/20,IF(W139&lt;=200000,W139*0.04,IF(W139&lt;=210000,W139*0.05-(210000-W139)/5,IF(W139&lt;=250000,W139*0.05,IF(W139&lt;=260000,W139*0.06-(260000-W139)/4,W139*0.06)))))))))))</f>
        <v>0</v>
      </c>
      <c r="X143" s="263">
        <f>IF(X135&lt;=0,0,X139*'Hypothèses'!$B$45+X140*'Hypothèses'!$B$46+IF(X139&lt;=50000,0,IF(X139&lt;=60000,X139*0.02-(60000-X139)/20,IF(X139&lt;=100000,X139*0.02,IF(X139&lt;=110000,X139*0.03-(110000-X139)/10,IF(X139&lt;=150000,X139*0.03,IF(X139&lt;=160000,X139*0.04-(160000-X139)*3/20,IF(X139&lt;=200000,X139*0.04,IF(X139&lt;=210000,X139*0.05-(210000-X139)/5,IF(X139&lt;=250000,X139*0.05,IF(X139&lt;=260000,X139*0.06-(260000-X139)/4,X139*0.06)))))))))))</f>
        <v>0</v>
      </c>
      <c r="Y143" s="263">
        <f>IF(Y135&lt;=0,0,Y139*'Hypothèses'!$B$45+Y140*'Hypothèses'!$B$46+IF(Y139&lt;=50000,0,IF(Y139&lt;=60000,Y139*0.02-(60000-Y139)/20,IF(Y139&lt;=100000,Y139*0.02,IF(Y139&lt;=110000,Y139*0.03-(110000-Y139)/10,IF(Y139&lt;=150000,Y139*0.03,IF(Y139&lt;=160000,Y139*0.04-(160000-Y139)*3/20,IF(Y139&lt;=200000,Y139*0.04,IF(Y139&lt;=210000,Y139*0.05-(210000-Y139)/5,IF(Y139&lt;=250000,Y139*0.05,IF(Y139&lt;=260000,Y139*0.06-(260000-Y139)/4,Y139*0.06)))))))))))</f>
        <v>0</v>
      </c>
      <c r="Z143" s="263">
        <f>IF(Z135&lt;=0,0,Z139*'Hypothèses'!$B$45+Z140*'Hypothèses'!$B$46+IF(Z139&lt;=50000,0,IF(Z139&lt;=60000,Z139*0.02-(60000-Z139)/20,IF(Z139&lt;=100000,Z139*0.02,IF(Z139&lt;=110000,Z139*0.03-(110000-Z139)/10,IF(Z139&lt;=150000,Z139*0.03,IF(Z139&lt;=160000,Z139*0.04-(160000-Z139)*3/20,IF(Z139&lt;=200000,Z139*0.04,IF(Z139&lt;=210000,Z139*0.05-(210000-Z139)/5,IF(Z139&lt;=250000,Z139*0.05,IF(Z139&lt;=260000,Z139*0.06-(260000-Z139)/4,Z139*0.06)))))))))))</f>
        <v>0</v>
      </c>
      <c r="AA143" s="263"/>
      <c r="AB143" s="263"/>
      <c r="AC143" s="263"/>
      <c r="AD143" s="263"/>
      <c r="AE143" s="263"/>
      <c r="AF143" s="263"/>
      <c r="AG143" s="263"/>
      <c r="AH143" s="263"/>
      <c r="AI143" s="263"/>
      <c r="AJ143" s="263"/>
      <c r="AK143" s="263"/>
      <c r="AL143" s="45"/>
      <c r="AM143" s="45"/>
      <c r="AN143" s="45"/>
      <c r="AO143" s="45"/>
      <c r="AP143" s="45"/>
      <c r="AQ143" s="45"/>
      <c r="AR143" s="45"/>
      <c r="AS143" s="45"/>
      <c r="AT143" s="45"/>
      <c r="AU143" s="45"/>
    </row>
    <row r="144" ht="15.75" customHeight="1">
      <c r="A144" s="307" t="s">
        <v>399</v>
      </c>
      <c r="B144" s="263">
        <f>IF(B136&lt;=0,0,B141*'Hypothèses'!$B$45+B142*'Hypothèses'!$B$46+IF(B141&lt;=50000,0,IF(B141&lt;=60000,B141*0.02-(60000-B141)/20,IF(B141&lt;=100000,B141*0.02,IF(B141&lt;=110000,B141*0.03-(110000-B141)/10,IF(B141&lt;=150000,B141*0.03,IF(B141&lt;=160000,B141*0.04-(160000-B141)*3/20,IF(B141&lt;=200000,B141*0.04,IF(B141&lt;=210000,B141*0.05-(210000-B141)/5,IF(B141&lt;=250000,B141*0.05,IF(B141&lt;=260000,B141*0.06-(260000-B141)/4,B141*0.06)))))))))))</f>
        <v>0</v>
      </c>
      <c r="C144" s="263">
        <f>IF(C136&lt;=0,0,C141*'Hypothèses'!$B$45+C142*'Hypothèses'!$B$46+IF(C141&lt;=50000,0,IF(C141&lt;=60000,C141*0.02-(60000-C141)/20,IF(C141&lt;=100000,C141*0.02,IF(C141&lt;=110000,C141*0.03-(110000-C141)/10,IF(C141&lt;=150000,C141*0.03,IF(C141&lt;=160000,C141*0.04-(160000-C141)*3/20,IF(C141&lt;=200000,C141*0.04,IF(C141&lt;=210000,C141*0.05-(210000-C141)/5,IF(C141&lt;=250000,C141*0.05,IF(C141&lt;=260000,C141*0.06-(260000-C141)/4,C141*0.06)))))))))))</f>
        <v>0</v>
      </c>
      <c r="D144" s="263">
        <f>IF(D136&lt;=0,0,D141*'Hypothèses'!$B$45+D142*'Hypothèses'!$B$46+IF(D141&lt;=50000,0,IF(D141&lt;=60000,D141*0.02-(60000-D141)/20,IF(D141&lt;=100000,D141*0.02,IF(D141&lt;=110000,D141*0.03-(110000-D141)/10,IF(D141&lt;=150000,D141*0.03,IF(D141&lt;=160000,D141*0.04-(160000-D141)*3/20,IF(D141&lt;=200000,D141*0.04,IF(D141&lt;=210000,D141*0.05-(210000-D141)/5,IF(D141&lt;=250000,D141*0.05,IF(D141&lt;=260000,D141*0.06-(260000-D141)/4,D141*0.06)))))))))))</f>
        <v>0</v>
      </c>
      <c r="E144" s="263">
        <f>IF(E136&lt;=0,0,E141*'Hypothèses'!$B$45+E142*'Hypothèses'!$B$46+IF(E141&lt;=50000,0,IF(E141&lt;=60000,E141*0.02-(60000-E141)/20,IF(E141&lt;=100000,E141*0.02,IF(E141&lt;=110000,E141*0.03-(110000-E141)/10,IF(E141&lt;=150000,E141*0.03,IF(E141&lt;=160000,E141*0.04-(160000-E141)*3/20,IF(E141&lt;=200000,E141*0.04,IF(E141&lt;=210000,E141*0.05-(210000-E141)/5,IF(E141&lt;=250000,E141*0.05,IF(E141&lt;=260000,E141*0.06-(260000-E141)/4,E141*0.06)))))))))))</f>
        <v>0</v>
      </c>
      <c r="F144" s="263">
        <f>IF(F136&lt;=0,0,F141*'Hypothèses'!$B$45+F142*'Hypothèses'!$B$46+IF(F141&lt;=50000,0,IF(F141&lt;=60000,F141*0.02-(60000-F141)/20,IF(F141&lt;=100000,F141*0.02,IF(F141&lt;=110000,F141*0.03-(110000-F141)/10,IF(F141&lt;=150000,F141*0.03,IF(F141&lt;=160000,F141*0.04-(160000-F141)*3/20,IF(F141&lt;=200000,F141*0.04,IF(F141&lt;=210000,F141*0.05-(210000-F141)/5,IF(F141&lt;=250000,F141*0.05,IF(F141&lt;=260000,F141*0.06-(260000-F141)/4,F141*0.06)))))))))))</f>
        <v>214.9704456</v>
      </c>
      <c r="G144" s="263">
        <f>IF(G136&lt;=0,0,G141*'Hypothèses'!$B$45+G142*'Hypothèses'!$B$46+IF(G141&lt;=50000,0,IF(G141&lt;=60000,G141*0.02-(60000-G141)/20,IF(G141&lt;=100000,G141*0.02,IF(G141&lt;=110000,G141*0.03-(110000-G141)/10,IF(G141&lt;=150000,G141*0.03,IF(G141&lt;=160000,G141*0.04-(160000-G141)*3/20,IF(G141&lt;=200000,G141*0.04,IF(G141&lt;=210000,G141*0.05-(210000-G141)/5,IF(G141&lt;=250000,G141*0.05,IF(G141&lt;=260000,G141*0.06-(260000-G141)/4,G141*0.06)))))))))))</f>
        <v>0</v>
      </c>
      <c r="H144" s="263">
        <f>IF(H136&lt;=0,0,H141*'Hypothèses'!$B$45+H142*'Hypothèses'!$B$46+IF(H141&lt;=50000,0,IF(H141&lt;=60000,H141*0.02-(60000-H141)/20,IF(H141&lt;=100000,H141*0.02,IF(H141&lt;=110000,H141*0.03-(110000-H141)/10,IF(H141&lt;=150000,H141*0.03,IF(H141&lt;=160000,H141*0.04-(160000-H141)*3/20,IF(H141&lt;=200000,H141*0.04,IF(H141&lt;=210000,H141*0.05-(210000-H141)/5,IF(H141&lt;=250000,H141*0.05,IF(H141&lt;=260000,H141*0.06-(260000-H141)/4,H141*0.06)))))))))))</f>
        <v>0</v>
      </c>
      <c r="I144" s="263">
        <f>IF(I136&lt;=0,0,I141*'Hypothèses'!$B$45+I142*'Hypothèses'!$B$46+IF(I141&lt;=50000,0,IF(I141&lt;=60000,I141*0.02-(60000-I141)/20,IF(I141&lt;=100000,I141*0.02,IF(I141&lt;=110000,I141*0.03-(110000-I141)/10,IF(I141&lt;=150000,I141*0.03,IF(I141&lt;=160000,I141*0.04-(160000-I141)*3/20,IF(I141&lt;=200000,I141*0.04,IF(I141&lt;=210000,I141*0.05-(210000-I141)/5,IF(I141&lt;=250000,I141*0.05,IF(I141&lt;=260000,I141*0.06-(260000-I141)/4,I141*0.06)))))))))))</f>
        <v>0</v>
      </c>
      <c r="J144" s="263">
        <f>IF(J136&lt;=0,0,J141*'Hypothèses'!$B$45+J142*'Hypothèses'!$B$46+IF(J141&lt;=50000,0,IF(J141&lt;=60000,J141*0.02-(60000-J141)/20,IF(J141&lt;=100000,J141*0.02,IF(J141&lt;=110000,J141*0.03-(110000-J141)/10,IF(J141&lt;=150000,J141*0.03,IF(J141&lt;=160000,J141*0.04-(160000-J141)*3/20,IF(J141&lt;=200000,J141*0.04,IF(J141&lt;=210000,J141*0.05-(210000-J141)/5,IF(J141&lt;=250000,J141*0.05,IF(J141&lt;=260000,J141*0.06-(260000-J141)/4,J141*0.06)))))))))))</f>
        <v>0</v>
      </c>
      <c r="K144" s="263">
        <f>IF(K136&lt;=0,0,K141*'Hypothèses'!$B$45+K142*'Hypothèses'!$B$46+IF(K141&lt;=50000,0,IF(K141&lt;=60000,K141*0.02-(60000-K141)/20,IF(K141&lt;=100000,K141*0.02,IF(K141&lt;=110000,K141*0.03-(110000-K141)/10,IF(K141&lt;=150000,K141*0.03,IF(K141&lt;=160000,K141*0.04-(160000-K141)*3/20,IF(K141&lt;=200000,K141*0.04,IF(K141&lt;=210000,K141*0.05-(210000-K141)/5,IF(K141&lt;=250000,K141*0.05,IF(K141&lt;=260000,K141*0.06-(260000-K141)/4,K141*0.06)))))))))))</f>
        <v>0</v>
      </c>
      <c r="L144" s="263">
        <f>IF(L136&lt;=0,0,L141*'Hypothèses'!$B$45+L142*'Hypothèses'!$B$46+IF(L141&lt;=50000,0,IF(L141&lt;=60000,L141*0.02-(60000-L141)/20,IF(L141&lt;=100000,L141*0.02,IF(L141&lt;=110000,L141*0.03-(110000-L141)/10,IF(L141&lt;=150000,L141*0.03,IF(L141&lt;=160000,L141*0.04-(160000-L141)*3/20,IF(L141&lt;=200000,L141*0.04,IF(L141&lt;=210000,L141*0.05-(210000-L141)/5,IF(L141&lt;=250000,L141*0.05,IF(L141&lt;=260000,L141*0.06-(260000-L141)/4,L141*0.06)))))))))))</f>
        <v>0</v>
      </c>
      <c r="M144" s="263">
        <f>IF(M136&lt;=0,0,M141*'Hypothèses'!$B$45+M142*'Hypothèses'!$B$46+IF(M141&lt;=50000,0,IF(M141&lt;=60000,M141*0.02-(60000-M141)/20,IF(M141&lt;=100000,M141*0.02,IF(M141&lt;=110000,M141*0.03-(110000-M141)/10,IF(M141&lt;=150000,M141*0.03,IF(M141&lt;=160000,M141*0.04-(160000-M141)*3/20,IF(M141&lt;=200000,M141*0.04,IF(M141&lt;=210000,M141*0.05-(210000-M141)/5,IF(M141&lt;=250000,M141*0.05,IF(M141&lt;=260000,M141*0.06-(260000-M141)/4,M141*0.06)))))))))))</f>
        <v>0</v>
      </c>
      <c r="N144" s="263">
        <f>IF(N136&lt;=0,0,N141*'Hypothèses'!$B$45+N142*'Hypothèses'!$B$46+IF(N141&lt;=50000,0,IF(N141&lt;=60000,N141*0.02-(60000-N141)/20,IF(N141&lt;=100000,N141*0.02,IF(N141&lt;=110000,N141*0.03-(110000-N141)/10,IF(N141&lt;=150000,N141*0.03,IF(N141&lt;=160000,N141*0.04-(160000-N141)*3/20,IF(N141&lt;=200000,N141*0.04,IF(N141&lt;=210000,N141*0.05-(210000-N141)/5,IF(N141&lt;=250000,N141*0.05,IF(N141&lt;=260000,N141*0.06-(260000-N141)/4,N141*0.06)))))))))))</f>
        <v>0</v>
      </c>
      <c r="O144" s="263">
        <f>IF(O136&lt;=0,0,O141*'Hypothèses'!$B$45+O142*'Hypothèses'!$B$46+IF(O141&lt;=50000,0,IF(O141&lt;=60000,O141*0.02-(60000-O141)/20,IF(O141&lt;=100000,O141*0.02,IF(O141&lt;=110000,O141*0.03-(110000-O141)/10,IF(O141&lt;=150000,O141*0.03,IF(O141&lt;=160000,O141*0.04-(160000-O141)*3/20,IF(O141&lt;=200000,O141*0.04,IF(O141&lt;=210000,O141*0.05-(210000-O141)/5,IF(O141&lt;=250000,O141*0.05,IF(O141&lt;=260000,O141*0.06-(260000-O141)/4,O141*0.06)))))))))))</f>
        <v>410.7692338</v>
      </c>
      <c r="P144" s="263">
        <f>IF(P136&lt;=0,0,P141*'Hypothèses'!$B$45+P142*'Hypothèses'!$B$46+IF(P141&lt;=50000,0,IF(P141&lt;=60000,P141*0.02-(60000-P141)/20,IF(P141&lt;=100000,P141*0.02,IF(P141&lt;=110000,P141*0.03-(110000-P141)/10,IF(P141&lt;=150000,P141*0.03,IF(P141&lt;=160000,P141*0.04-(160000-P141)*3/20,IF(P141&lt;=200000,P141*0.04,IF(P141&lt;=210000,P141*0.05-(210000-P141)/5,IF(P141&lt;=250000,P141*0.05,IF(P141&lt;=260000,P141*0.06-(260000-P141)/4,P141*0.06)))))))))))</f>
        <v>1440.781284</v>
      </c>
      <c r="Q144" s="263">
        <f>IF(Q136&lt;=0,0,Q141*'Hypothèses'!$B$45+Q142*'Hypothèses'!$B$46+IF(Q141&lt;=50000,0,IF(Q141&lt;=60000,Q141*0.02-(60000-Q141)/20,IF(Q141&lt;=100000,Q141*0.02,IF(Q141&lt;=110000,Q141*0.03-(110000-Q141)/10,IF(Q141&lt;=150000,Q141*0.03,IF(Q141&lt;=160000,Q141*0.04-(160000-Q141)*3/20,IF(Q141&lt;=200000,Q141*0.04,IF(Q141&lt;=210000,Q141*0.05-(210000-Q141)/5,IF(Q141&lt;=250000,Q141*0.05,IF(Q141&lt;=260000,Q141*0.06-(260000-Q141)/4,Q141*0.06)))))))))))</f>
        <v>2348.798335</v>
      </c>
      <c r="R144" s="263">
        <f>IF(R136&lt;=0,0,R141*'Hypothèses'!$B$45+R142*'Hypothèses'!$B$46+IF(R141&lt;=50000,0,IF(R141&lt;=60000,R141*0.02-(60000-R141)/20,IF(R141&lt;=100000,R141*0.02,IF(R141&lt;=110000,R141*0.03-(110000-R141)/10,IF(R141&lt;=150000,R141*0.03,IF(R141&lt;=160000,R141*0.04-(160000-R141)*3/20,IF(R141&lt;=200000,R141*0.04,IF(R141&lt;=210000,R141*0.05-(210000-R141)/5,IF(R141&lt;=250000,R141*0.05,IF(R141&lt;=260000,R141*0.06-(260000-R141)/4,R141*0.06)))))))))))</f>
        <v>3131.949112</v>
      </c>
      <c r="S144" s="263">
        <f>IF(S136&lt;=0,0,S141*'Hypothèses'!$B$45+S142*'Hypothèses'!$B$46+IF(S141&lt;=50000,0,IF(S141&lt;=60000,S141*0.02-(60000-S141)/20,IF(S141&lt;=100000,S141*0.02,IF(S141&lt;=110000,S141*0.03-(110000-S141)/10,IF(S141&lt;=150000,S141*0.03,IF(S141&lt;=160000,S141*0.04-(160000-S141)*3/20,IF(S141&lt;=200000,S141*0.04,IF(S141&lt;=210000,S141*0.05-(210000-S141)/5,IF(S141&lt;=250000,S141*0.05,IF(S141&lt;=260000,S141*0.06-(260000-S141)/4,S141*0.06)))))))))))</f>
        <v>3787.303656</v>
      </c>
      <c r="T144" s="263">
        <f>IF(T136&lt;=0,0,T141*'Hypothèses'!$B$45+T142*'Hypothèses'!$B$46+IF(T141&lt;=50000,0,IF(T141&lt;=60000,T141*0.02-(60000-T141)/20,IF(T141&lt;=100000,T141*0.02,IF(T141&lt;=110000,T141*0.03-(110000-T141)/10,IF(T141&lt;=150000,T141*0.03,IF(T141&lt;=160000,T141*0.04-(160000-T141)*3/20,IF(T141&lt;=200000,T141*0.04,IF(T141&lt;=210000,T141*0.05-(210000-T141)/5,IF(T141&lt;=250000,T141*0.05,IF(T141&lt;=260000,T141*0.06-(260000-T141)/4,T141*0.06)))))))))))</f>
        <v>4311.8722</v>
      </c>
      <c r="U144" s="263">
        <f>IF(U136&lt;=0,0,U141*'Hypothèses'!$B$45+U142*'Hypothèses'!$B$46+IF(U141&lt;=50000,0,IF(U141&lt;=60000,U141*0.02-(60000-U141)/20,IF(U141&lt;=100000,U141*0.02,IF(U141&lt;=110000,U141*0.03-(110000-U141)/10,IF(U141&lt;=150000,U141*0.03,IF(U141&lt;=160000,U141*0.04-(160000-U141)*3/20,IF(U141&lt;=200000,U141*0.04,IF(U141&lt;=210000,U141*0.05-(210000-U141)/5,IF(U141&lt;=250000,U141*0.05,IF(U141&lt;=260000,U141*0.06-(260000-U141)/4,U141*0.06)))))))))))</f>
        <v>4702.604042</v>
      </c>
      <c r="V144" s="263">
        <f>IF(V136&lt;=0,0,V141*'Hypothèses'!$B$45+V142*'Hypothèses'!$B$46+IF(V141&lt;=50000,0,IF(V141&lt;=60000,V141*0.02-(60000-V141)/20,IF(V141&lt;=100000,V141*0.02,IF(V141&lt;=110000,V141*0.03-(110000-V141)/10,IF(V141&lt;=150000,V141*0.03,IF(V141&lt;=160000,V141*0.04-(160000-V141)*3/20,IF(V141&lt;=200000,V141*0.04,IF(V141&lt;=210000,V141*0.05-(210000-V141)/5,IF(V141&lt;=250000,V141*0.05,IF(V141&lt;=260000,V141*0.06-(260000-V141)/4,V141*0.06)))))))))))</f>
        <v>4956.386382</v>
      </c>
      <c r="W144" s="263">
        <f>IF(W136&lt;=0,0,W141*'Hypothèses'!$B$45+W142*'Hypothèses'!$B$46+IF(W141&lt;=50000,0,IF(W141&lt;=60000,W141*0.02-(60000-W141)/20,IF(W141&lt;=100000,W141*0.02,IF(W141&lt;=110000,W141*0.03-(110000-W141)/10,IF(W141&lt;=150000,W141*0.03,IF(W141&lt;=160000,W141*0.04-(160000-W141)*3/20,IF(W141&lt;=200000,W141*0.04,IF(W141&lt;=210000,W141*0.05-(210000-W141)/5,IF(W141&lt;=250000,W141*0.05,IF(W141&lt;=260000,W141*0.06-(260000-W141)/4,W141*0.06)))))))))))</f>
        <v>5234.29101</v>
      </c>
      <c r="X144" s="263">
        <f>IF(X136&lt;=0,0,X141*'Hypothèses'!$B$45+X142*'Hypothèses'!$B$46+IF(X141&lt;=50000,0,IF(X141&lt;=60000,X141*0.02-(60000-X141)/20,IF(X141&lt;=100000,X141*0.02,IF(X141&lt;=110000,X141*0.03-(110000-X141)/10,IF(X141&lt;=150000,X141*0.03,IF(X141&lt;=160000,X141*0.04-(160000-X141)*3/20,IF(X141&lt;=200000,X141*0.04,IF(X141&lt;=210000,X141*0.05-(210000-X141)/5,IF(X141&lt;=250000,X141*0.05,IF(X141&lt;=260000,X141*0.06-(260000-X141)/4,X141*0.06)))))))))))</f>
        <v>5166.394603</v>
      </c>
      <c r="Y144" s="263">
        <f>IF(Y136&lt;=0,0,Y141*'Hypothèses'!$B$45+Y142*'Hypothèses'!$B$46+IF(Y141&lt;=50000,0,IF(Y141&lt;=60000,Y141*0.02-(60000-Y141)/20,IF(Y141&lt;=100000,Y141*0.02,IF(Y141&lt;=110000,Y141*0.03-(110000-Y141)/10,IF(Y141&lt;=150000,Y141*0.03,IF(Y141&lt;=160000,Y141*0.04-(160000-Y141)*3/20,IF(Y141&lt;=200000,Y141*0.04,IF(Y141&lt;=210000,Y141*0.05-(210000-Y141)/5,IF(Y141&lt;=250000,Y141*0.05,IF(Y141&lt;=260000,Y141*0.06-(260000-Y141)/4,Y141*0.06)))))))))))</f>
        <v>4938.497505</v>
      </c>
      <c r="Z144" s="263">
        <f>IF(Z136&lt;=0,0,Z141*'Hypothèses'!$B$45+Z142*'Hypothèses'!$B$46+IF(Z141&lt;=50000,0,IF(Z141&lt;=60000,Z141*0.02-(60000-Z141)/20,IF(Z141&lt;=100000,Z141*0.02,IF(Z141&lt;=110000,Z141*0.03-(110000-Z141)/10,IF(Z141&lt;=150000,Z141*0.03,IF(Z141&lt;=160000,Z141*0.04-(160000-Z141)*3/20,IF(Z141&lt;=200000,Z141*0.04,IF(Z141&lt;=210000,Z141*0.05-(210000-Z141)/5,IF(Z141&lt;=250000,Z141*0.05,IF(Z141&lt;=260000,Z141*0.06-(260000-Z141)/4,Z141*0.06)))))))))))</f>
        <v>4546.924306</v>
      </c>
      <c r="AA144" s="263"/>
      <c r="AB144" s="263"/>
      <c r="AC144" s="263"/>
      <c r="AD144" s="263"/>
      <c r="AE144" s="263"/>
      <c r="AF144" s="263"/>
      <c r="AG144" s="263"/>
      <c r="AH144" s="263"/>
      <c r="AI144" s="263"/>
      <c r="AJ144" s="263"/>
      <c r="AK144" s="263"/>
      <c r="AL144" s="45"/>
      <c r="AM144" s="45"/>
      <c r="AN144" s="45"/>
      <c r="AO144" s="45"/>
      <c r="AP144" s="45"/>
      <c r="AQ144" s="45"/>
      <c r="AR144" s="45"/>
      <c r="AS144" s="45"/>
      <c r="AT144" s="45"/>
      <c r="AU144" s="45"/>
    </row>
    <row r="145" ht="15.75" customHeight="1">
      <c r="A145" s="307" t="s">
        <v>400</v>
      </c>
      <c r="B145" s="308">
        <f>SUM(B125)</f>
        <v>2184</v>
      </c>
      <c r="C145" s="308">
        <f>SUM(B125:C125)</f>
        <v>4796.048879</v>
      </c>
      <c r="D145" s="308">
        <f>SUM(B125:D125)</f>
        <v>7413.257453</v>
      </c>
      <c r="E145" s="308">
        <f>SUM(B125:E125)</f>
        <v>10081.32949</v>
      </c>
      <c r="F145" s="308">
        <f>SUM(B125:F125)</f>
        <v>12801.69546</v>
      </c>
      <c r="G145" s="308">
        <f>SUM(B125:G125)</f>
        <v>15575.82966</v>
      </c>
      <c r="H145" s="308">
        <f>SUM(B125:H125)</f>
        <v>18405.25161</v>
      </c>
      <c r="I145" s="308">
        <f>SUM(B125:I125)</f>
        <v>21291.52751</v>
      </c>
      <c r="J145" s="308">
        <f>SUM(B125:J125)</f>
        <v>24236.27175</v>
      </c>
      <c r="K145" s="308">
        <f>SUM(B125:K125)</f>
        <v>27241.14844</v>
      </c>
      <c r="L145" s="308">
        <f>SUM(B125:L125)</f>
        <v>30307.87304</v>
      </c>
      <c r="M145" s="308">
        <f>SUM(B125:M125)</f>
        <v>33438.21396</v>
      </c>
      <c r="N145" s="308">
        <f>SUM(B125:N125)</f>
        <v>36633.99435</v>
      </c>
      <c r="O145" s="308">
        <f>SUM(B125:O125)</f>
        <v>39897.09378</v>
      </c>
      <c r="P145" s="308">
        <f>SUM(B125:P125)</f>
        <v>43189.25958</v>
      </c>
      <c r="Q145" s="308">
        <f>SUM(B125:Q125)</f>
        <v>46476.90758</v>
      </c>
      <c r="R145" s="308">
        <f>SUM(B125:R125)</f>
        <v>49764.55558</v>
      </c>
      <c r="S145" s="308">
        <f>SUM(B125:S125)</f>
        <v>53052.20358</v>
      </c>
      <c r="T145" s="308">
        <f>SUM(B125:T125)</f>
        <v>56339.85158</v>
      </c>
      <c r="U145" s="308">
        <f>SUM(B125:U125)</f>
        <v>59627.49958</v>
      </c>
      <c r="V145" s="308">
        <f>SUM(B125:V125)</f>
        <v>62915.14758</v>
      </c>
      <c r="W145" s="308">
        <f>SUM(B125:W125)</f>
        <v>66202.79558</v>
      </c>
      <c r="X145" s="308">
        <f>SUM(B125:X125)</f>
        <v>69490.44358</v>
      </c>
      <c r="Y145" s="308">
        <f>SUM(B125:Y125)</f>
        <v>72778.09158</v>
      </c>
      <c r="Z145" s="308">
        <f>SUM(B125:Z125)</f>
        <v>76065.73958</v>
      </c>
      <c r="AA145" s="263"/>
      <c r="AB145" s="263"/>
      <c r="AC145" s="263"/>
      <c r="AD145" s="263"/>
      <c r="AE145" s="263"/>
      <c r="AF145" s="263"/>
      <c r="AG145" s="263"/>
      <c r="AH145" s="263"/>
      <c r="AI145" s="263"/>
      <c r="AJ145" s="263"/>
      <c r="AK145" s="263"/>
      <c r="AL145" s="45"/>
      <c r="AM145" s="45"/>
      <c r="AN145" s="45"/>
      <c r="AO145" s="45"/>
      <c r="AP145" s="45"/>
      <c r="AQ145" s="45"/>
      <c r="AR145" s="45"/>
      <c r="AS145" s="45"/>
      <c r="AT145" s="45"/>
      <c r="AU145" s="45"/>
    </row>
    <row r="146" ht="15.75" customHeight="1">
      <c r="A146" s="307" t="s">
        <v>401</v>
      </c>
      <c r="B146" s="311">
        <f t="shared" ref="B146:Z146" si="41">B132-B134-B143</f>
        <v>13820.61507</v>
      </c>
      <c r="C146" s="311">
        <f t="shared" si="41"/>
        <v>20663.04543</v>
      </c>
      <c r="D146" s="311">
        <f t="shared" si="41"/>
        <v>27734.72272</v>
      </c>
      <c r="E146" s="311">
        <f t="shared" si="41"/>
        <v>35043.32757</v>
      </c>
      <c r="F146" s="311">
        <f t="shared" si="41"/>
        <v>42596.79793</v>
      </c>
      <c r="G146" s="311">
        <f t="shared" si="41"/>
        <v>50403.33771</v>
      </c>
      <c r="H146" s="311">
        <f t="shared" si="41"/>
        <v>58471.42569</v>
      </c>
      <c r="I146" s="311">
        <f t="shared" si="41"/>
        <v>66809.8247</v>
      </c>
      <c r="J146" s="311">
        <f t="shared" si="41"/>
        <v>75427.59116</v>
      </c>
      <c r="K146" s="311">
        <f t="shared" si="41"/>
        <v>84334.08494</v>
      </c>
      <c r="L146" s="311">
        <f t="shared" si="41"/>
        <v>93538.97946</v>
      </c>
      <c r="M146" s="311">
        <f t="shared" si="41"/>
        <v>103052.2723</v>
      </c>
      <c r="N146" s="311">
        <f t="shared" si="41"/>
        <v>112884.2959</v>
      </c>
      <c r="O146" s="311">
        <f t="shared" si="41"/>
        <v>123045.7289</v>
      </c>
      <c r="P146" s="311">
        <f t="shared" si="41"/>
        <v>133547.6079</v>
      </c>
      <c r="Q146" s="311">
        <f t="shared" si="41"/>
        <v>144401.3389</v>
      </c>
      <c r="R146" s="311">
        <f t="shared" si="41"/>
        <v>155618.7104</v>
      </c>
      <c r="S146" s="311">
        <f t="shared" si="41"/>
        <v>167211.9057</v>
      </c>
      <c r="T146" s="311">
        <f t="shared" si="41"/>
        <v>179193.5163</v>
      </c>
      <c r="U146" s="311">
        <f t="shared" si="41"/>
        <v>191576.5555</v>
      </c>
      <c r="V146" s="311">
        <f t="shared" si="41"/>
        <v>204374.4726</v>
      </c>
      <c r="W146" s="311">
        <f t="shared" si="41"/>
        <v>217601.1677</v>
      </c>
      <c r="X146" s="311">
        <f t="shared" si="41"/>
        <v>231271.0065</v>
      </c>
      <c r="Y146" s="311">
        <f t="shared" si="41"/>
        <v>245398.8358</v>
      </c>
      <c r="Z146" s="311">
        <f t="shared" si="41"/>
        <v>260000</v>
      </c>
      <c r="AA146" s="263"/>
      <c r="AB146" s="263"/>
      <c r="AC146" s="263"/>
      <c r="AD146" s="263"/>
      <c r="AE146" s="263"/>
      <c r="AF146" s="263"/>
      <c r="AG146" s="263"/>
      <c r="AH146" s="263"/>
      <c r="AI146" s="263"/>
      <c r="AJ146" s="263"/>
      <c r="AK146" s="263"/>
      <c r="AL146" s="45"/>
      <c r="AM146" s="45"/>
      <c r="AN146" s="45"/>
      <c r="AO146" s="45"/>
      <c r="AP146" s="45"/>
      <c r="AQ146" s="45"/>
      <c r="AR146" s="45"/>
      <c r="AS146" s="45"/>
      <c r="AT146" s="45"/>
      <c r="AU146" s="45"/>
    </row>
    <row r="147" ht="15.75" customHeight="1">
      <c r="A147" s="307" t="s">
        <v>402</v>
      </c>
      <c r="B147" s="311">
        <f t="shared" ref="B147:Z147" si="42">B133-B134-B144</f>
        <v>17720.61507</v>
      </c>
      <c r="C147" s="311">
        <f t="shared" si="42"/>
        <v>28521.54543</v>
      </c>
      <c r="D147" s="311">
        <f t="shared" si="42"/>
        <v>39611.10022</v>
      </c>
      <c r="E147" s="311">
        <f t="shared" si="42"/>
        <v>50997.85073</v>
      </c>
      <c r="F147" s="311">
        <f t="shared" si="42"/>
        <v>62475.66849</v>
      </c>
      <c r="G147" s="311">
        <f t="shared" si="42"/>
        <v>74698.58634</v>
      </c>
      <c r="H147" s="311">
        <f t="shared" si="42"/>
        <v>87031.10304</v>
      </c>
      <c r="I147" s="311">
        <f t="shared" si="42"/>
        <v>99697.89721</v>
      </c>
      <c r="J147" s="311">
        <f t="shared" si="42"/>
        <v>112708.9848</v>
      </c>
      <c r="K147" s="311">
        <f t="shared" si="42"/>
        <v>126074.6994</v>
      </c>
      <c r="L147" s="311">
        <f t="shared" si="42"/>
        <v>139805.7032</v>
      </c>
      <c r="M147" s="311">
        <f t="shared" si="42"/>
        <v>153912.9969</v>
      </c>
      <c r="N147" s="311">
        <f t="shared" si="42"/>
        <v>168407.9313</v>
      </c>
      <c r="O147" s="311">
        <f t="shared" si="42"/>
        <v>182891.4497</v>
      </c>
      <c r="P147" s="311">
        <f t="shared" si="42"/>
        <v>197167.1639</v>
      </c>
      <c r="Q147" s="311">
        <f t="shared" si="42"/>
        <v>211988.783</v>
      </c>
      <c r="R147" s="311">
        <f t="shared" si="42"/>
        <v>227372.0474</v>
      </c>
      <c r="S147" s="311">
        <f t="shared" si="42"/>
        <v>243333.1674</v>
      </c>
      <c r="T147" s="311">
        <f t="shared" si="42"/>
        <v>259888.8379</v>
      </c>
      <c r="U147" s="311">
        <f t="shared" si="42"/>
        <v>277056.2531</v>
      </c>
      <c r="V147" s="311">
        <f t="shared" si="42"/>
        <v>294853.1225</v>
      </c>
      <c r="W147" s="311">
        <f t="shared" si="42"/>
        <v>313133.4385</v>
      </c>
      <c r="X147" s="311">
        <f t="shared" si="42"/>
        <v>332282.6721</v>
      </c>
      <c r="Y147" s="311">
        <f t="shared" si="42"/>
        <v>352131.0693</v>
      </c>
      <c r="Z147" s="311">
        <f t="shared" si="42"/>
        <v>372698.8678</v>
      </c>
      <c r="AA147" s="263"/>
      <c r="AB147" s="263"/>
      <c r="AC147" s="263"/>
      <c r="AD147" s="263"/>
      <c r="AE147" s="263"/>
      <c r="AF147" s="263"/>
      <c r="AG147" s="263"/>
      <c r="AH147" s="263"/>
      <c r="AI147" s="263"/>
      <c r="AJ147" s="263"/>
      <c r="AK147" s="263"/>
      <c r="AL147" s="45"/>
      <c r="AM147" s="45"/>
      <c r="AN147" s="45"/>
      <c r="AO147" s="45"/>
      <c r="AP147" s="45"/>
      <c r="AQ147" s="45"/>
      <c r="AR147" s="45"/>
      <c r="AS147" s="45"/>
      <c r="AT147" s="45"/>
      <c r="AU147" s="45"/>
    </row>
    <row r="148" ht="15.75" customHeight="1">
      <c r="A148" s="263"/>
      <c r="B148" s="263"/>
      <c r="C148" s="263"/>
      <c r="D148" s="263"/>
      <c r="E148" s="263"/>
      <c r="F148" s="263"/>
      <c r="G148" s="263"/>
      <c r="H148" s="263"/>
      <c r="I148" s="263"/>
      <c r="J148" s="263"/>
      <c r="K148" s="263"/>
      <c r="L148" s="263"/>
      <c r="M148" s="263"/>
      <c r="N148" s="263"/>
      <c r="O148" s="263"/>
      <c r="P148" s="263"/>
      <c r="Q148" s="263"/>
      <c r="R148" s="263"/>
      <c r="S148" s="263"/>
      <c r="T148" s="263"/>
      <c r="U148" s="263"/>
      <c r="V148" s="263"/>
      <c r="W148" s="263"/>
      <c r="X148" s="263"/>
      <c r="Y148" s="263"/>
      <c r="Z148" s="263"/>
      <c r="AA148" s="263"/>
      <c r="AB148" s="263"/>
      <c r="AC148" s="263"/>
      <c r="AD148" s="263"/>
      <c r="AE148" s="263"/>
      <c r="AF148" s="263"/>
      <c r="AG148" s="263"/>
      <c r="AH148" s="263"/>
      <c r="AI148" s="263"/>
      <c r="AJ148" s="263"/>
      <c r="AK148" s="263"/>
      <c r="AL148" s="45"/>
      <c r="AM148" s="45"/>
      <c r="AN148" s="45"/>
      <c r="AO148" s="45"/>
      <c r="AP148" s="45"/>
      <c r="AQ148" s="45"/>
      <c r="AR148" s="45"/>
      <c r="AS148" s="45"/>
      <c r="AT148" s="45"/>
      <c r="AU148" s="45"/>
    </row>
    <row r="149" ht="15.75" customHeight="1">
      <c r="A149" s="263"/>
      <c r="B149" s="263"/>
      <c r="C149" s="263"/>
      <c r="D149" s="263"/>
      <c r="E149" s="263"/>
      <c r="F149" s="263"/>
      <c r="G149" s="263"/>
      <c r="H149" s="263"/>
      <c r="I149" s="263"/>
      <c r="J149" s="263"/>
      <c r="K149" s="263"/>
      <c r="L149" s="263"/>
      <c r="M149" s="263"/>
      <c r="N149" s="263"/>
      <c r="O149" s="263"/>
      <c r="P149" s="263"/>
      <c r="Q149" s="263"/>
      <c r="R149" s="263"/>
      <c r="S149" s="263"/>
      <c r="T149" s="263"/>
      <c r="U149" s="263"/>
      <c r="V149" s="263"/>
      <c r="W149" s="263"/>
      <c r="X149" s="263"/>
      <c r="Y149" s="263"/>
      <c r="Z149" s="263"/>
      <c r="AA149" s="263"/>
      <c r="AB149" s="263"/>
      <c r="AC149" s="263"/>
      <c r="AD149" s="263"/>
      <c r="AE149" s="263"/>
      <c r="AF149" s="263"/>
      <c r="AG149" s="263"/>
      <c r="AH149" s="263"/>
      <c r="AI149" s="263"/>
      <c r="AJ149" s="263"/>
      <c r="AK149" s="263"/>
      <c r="AL149" s="45"/>
      <c r="AM149" s="45"/>
      <c r="AN149" s="45"/>
      <c r="AO149" s="45"/>
      <c r="AP149" s="45"/>
      <c r="AQ149" s="45"/>
      <c r="AR149" s="45"/>
      <c r="AS149" s="45"/>
      <c r="AT149" s="45"/>
      <c r="AU149" s="45"/>
    </row>
    <row r="150" ht="15.75" customHeight="1">
      <c r="A150" s="263"/>
      <c r="B150" s="263"/>
      <c r="C150" s="263"/>
      <c r="D150" s="263"/>
      <c r="E150" s="263"/>
      <c r="F150" s="263"/>
      <c r="G150" s="263"/>
      <c r="H150" s="263"/>
      <c r="I150" s="263"/>
      <c r="J150" s="263"/>
      <c r="K150" s="263"/>
      <c r="L150" s="263"/>
      <c r="M150" s="263"/>
      <c r="N150" s="263"/>
      <c r="O150" s="263"/>
      <c r="P150" s="263"/>
      <c r="Q150" s="263"/>
      <c r="R150" s="263"/>
      <c r="S150" s="263"/>
      <c r="T150" s="263"/>
      <c r="U150" s="263"/>
      <c r="V150" s="263"/>
      <c r="W150" s="263"/>
      <c r="X150" s="263"/>
      <c r="Y150" s="263"/>
      <c r="Z150" s="263"/>
      <c r="AA150" s="263"/>
      <c r="AB150" s="263"/>
      <c r="AC150" s="263"/>
      <c r="AD150" s="263"/>
      <c r="AE150" s="263"/>
      <c r="AF150" s="263"/>
      <c r="AG150" s="263"/>
      <c r="AH150" s="263"/>
      <c r="AI150" s="263"/>
      <c r="AJ150" s="263"/>
      <c r="AK150" s="263"/>
      <c r="AL150" s="45"/>
      <c r="AM150" s="45"/>
      <c r="AN150" s="45"/>
      <c r="AO150" s="45"/>
      <c r="AP150" s="45"/>
      <c r="AQ150" s="45"/>
      <c r="AR150" s="45"/>
      <c r="AS150" s="45"/>
      <c r="AT150" s="45"/>
      <c r="AU150" s="45"/>
    </row>
    <row r="151" ht="15.75" customHeight="1">
      <c r="A151" s="263"/>
      <c r="B151" s="263"/>
      <c r="C151" s="263"/>
      <c r="D151" s="263"/>
      <c r="E151" s="263"/>
      <c r="F151" s="263"/>
      <c r="G151" s="263"/>
      <c r="H151" s="263"/>
      <c r="I151" s="263"/>
      <c r="J151" s="263"/>
      <c r="K151" s="263"/>
      <c r="L151" s="263"/>
      <c r="M151" s="263"/>
      <c r="N151" s="263"/>
      <c r="O151" s="263"/>
      <c r="P151" s="263"/>
      <c r="Q151" s="263"/>
      <c r="R151" s="263"/>
      <c r="S151" s="263"/>
      <c r="T151" s="263"/>
      <c r="U151" s="263"/>
      <c r="V151" s="263"/>
      <c r="W151" s="263"/>
      <c r="X151" s="263"/>
      <c r="Y151" s="263"/>
      <c r="Z151" s="263"/>
      <c r="AA151" s="263"/>
      <c r="AB151" s="263"/>
      <c r="AC151" s="263"/>
      <c r="AD151" s="263"/>
      <c r="AE151" s="263"/>
      <c r="AF151" s="263"/>
      <c r="AG151" s="263"/>
      <c r="AH151" s="263"/>
      <c r="AI151" s="263"/>
      <c r="AJ151" s="263"/>
      <c r="AK151" s="263"/>
      <c r="AL151" s="45"/>
      <c r="AM151" s="45"/>
      <c r="AN151" s="45"/>
      <c r="AO151" s="45"/>
      <c r="AP151" s="45"/>
      <c r="AQ151" s="45"/>
      <c r="AR151" s="45"/>
      <c r="AS151" s="45"/>
      <c r="AT151" s="45"/>
      <c r="AU151" s="45"/>
    </row>
    <row r="152" ht="15.75" customHeight="1">
      <c r="A152" s="263"/>
      <c r="B152" s="263"/>
      <c r="C152" s="263"/>
      <c r="D152" s="263"/>
      <c r="E152" s="263"/>
      <c r="F152" s="263"/>
      <c r="G152" s="263"/>
      <c r="H152" s="263"/>
      <c r="I152" s="263"/>
      <c r="J152" s="263"/>
      <c r="K152" s="263"/>
      <c r="L152" s="263"/>
      <c r="M152" s="263"/>
      <c r="N152" s="263"/>
      <c r="O152" s="263"/>
      <c r="P152" s="263"/>
      <c r="Q152" s="263"/>
      <c r="R152" s="263"/>
      <c r="S152" s="263"/>
      <c r="T152" s="263"/>
      <c r="U152" s="263"/>
      <c r="V152" s="263"/>
      <c r="W152" s="263"/>
      <c r="X152" s="263"/>
      <c r="Y152" s="263"/>
      <c r="Z152" s="263"/>
      <c r="AA152" s="263"/>
      <c r="AB152" s="263"/>
      <c r="AC152" s="263"/>
      <c r="AD152" s="263"/>
      <c r="AE152" s="263"/>
      <c r="AF152" s="263"/>
      <c r="AG152" s="263"/>
      <c r="AH152" s="263"/>
      <c r="AI152" s="263"/>
      <c r="AJ152" s="263"/>
      <c r="AK152" s="263"/>
      <c r="AL152" s="45"/>
      <c r="AM152" s="45"/>
      <c r="AN152" s="45"/>
      <c r="AO152" s="45"/>
      <c r="AP152" s="45"/>
      <c r="AQ152" s="45"/>
      <c r="AR152" s="45"/>
      <c r="AS152" s="45"/>
      <c r="AT152" s="45"/>
      <c r="AU152" s="45"/>
    </row>
    <row r="153" ht="15.75" customHeight="1">
      <c r="A153" s="263"/>
      <c r="B153" s="263"/>
      <c r="C153" s="263"/>
      <c r="D153" s="263"/>
      <c r="E153" s="263"/>
      <c r="F153" s="263"/>
      <c r="G153" s="263"/>
      <c r="H153" s="263"/>
      <c r="I153" s="263"/>
      <c r="J153" s="263"/>
      <c r="K153" s="263"/>
      <c r="L153" s="263"/>
      <c r="M153" s="263"/>
      <c r="N153" s="263"/>
      <c r="O153" s="263"/>
      <c r="P153" s="263"/>
      <c r="Q153" s="263"/>
      <c r="R153" s="263"/>
      <c r="S153" s="263"/>
      <c r="T153" s="263"/>
      <c r="U153" s="263"/>
      <c r="V153" s="263"/>
      <c r="W153" s="263"/>
      <c r="X153" s="263"/>
      <c r="Y153" s="263"/>
      <c r="Z153" s="263"/>
      <c r="AA153" s="263"/>
      <c r="AB153" s="263"/>
      <c r="AC153" s="263"/>
      <c r="AD153" s="263"/>
      <c r="AE153" s="263"/>
      <c r="AF153" s="263"/>
      <c r="AG153" s="263"/>
      <c r="AH153" s="263"/>
      <c r="AI153" s="263"/>
      <c r="AJ153" s="263"/>
      <c r="AK153" s="263"/>
      <c r="AL153" s="45"/>
      <c r="AM153" s="45"/>
      <c r="AN153" s="45"/>
      <c r="AO153" s="45"/>
      <c r="AP153" s="45"/>
      <c r="AQ153" s="45"/>
      <c r="AR153" s="45"/>
      <c r="AS153" s="45"/>
      <c r="AT153" s="45"/>
      <c r="AU153" s="45"/>
    </row>
    <row r="154" ht="15.75" customHeight="1">
      <c r="A154" s="263"/>
      <c r="B154" s="263"/>
      <c r="C154" s="263"/>
      <c r="D154" s="263"/>
      <c r="E154" s="263"/>
      <c r="F154" s="263"/>
      <c r="G154" s="263"/>
      <c r="H154" s="263"/>
      <c r="I154" s="263"/>
      <c r="J154" s="263"/>
      <c r="K154" s="263"/>
      <c r="L154" s="263"/>
      <c r="M154" s="263"/>
      <c r="N154" s="263"/>
      <c r="O154" s="263"/>
      <c r="P154" s="263"/>
      <c r="Q154" s="263"/>
      <c r="R154" s="263"/>
      <c r="S154" s="263"/>
      <c r="T154" s="263"/>
      <c r="U154" s="263"/>
      <c r="V154" s="263"/>
      <c r="W154" s="263"/>
      <c r="X154" s="263"/>
      <c r="Y154" s="263"/>
      <c r="Z154" s="263"/>
      <c r="AA154" s="263"/>
      <c r="AB154" s="263"/>
      <c r="AC154" s="263"/>
      <c r="AD154" s="263"/>
      <c r="AE154" s="263"/>
      <c r="AF154" s="263"/>
      <c r="AG154" s="263"/>
      <c r="AH154" s="263"/>
      <c r="AI154" s="263"/>
      <c r="AJ154" s="263"/>
      <c r="AK154" s="263"/>
      <c r="AL154" s="45"/>
      <c r="AM154" s="45"/>
      <c r="AN154" s="45"/>
      <c r="AO154" s="45"/>
      <c r="AP154" s="45"/>
      <c r="AQ154" s="45"/>
      <c r="AR154" s="45"/>
      <c r="AS154" s="45"/>
      <c r="AT154" s="45"/>
      <c r="AU154" s="45"/>
    </row>
    <row r="155" ht="15.75" customHeight="1">
      <c r="A155" s="303" t="s">
        <v>403</v>
      </c>
      <c r="B155" s="263"/>
      <c r="C155" s="263"/>
      <c r="D155" s="263"/>
      <c r="E155" s="263"/>
      <c r="F155" s="263"/>
      <c r="G155" s="263"/>
      <c r="H155" s="263"/>
      <c r="I155" s="263"/>
      <c r="J155" s="263"/>
      <c r="K155" s="263"/>
      <c r="L155" s="263"/>
      <c r="M155" s="263"/>
      <c r="N155" s="263"/>
      <c r="O155" s="263"/>
      <c r="P155" s="263"/>
      <c r="Q155" s="263"/>
      <c r="R155" s="263"/>
      <c r="S155" s="263"/>
      <c r="T155" s="263"/>
      <c r="U155" s="263"/>
      <c r="V155" s="263"/>
      <c r="W155" s="263"/>
      <c r="X155" s="263"/>
      <c r="Y155" s="263"/>
      <c r="Z155" s="263"/>
      <c r="AA155" s="263"/>
      <c r="AB155" s="263"/>
      <c r="AC155" s="263"/>
      <c r="AD155" s="263"/>
      <c r="AE155" s="263"/>
      <c r="AF155" s="263"/>
      <c r="AG155" s="263"/>
      <c r="AH155" s="263"/>
      <c r="AI155" s="263"/>
      <c r="AJ155" s="263"/>
      <c r="AK155" s="263"/>
      <c r="AL155" s="45"/>
      <c r="AM155" s="45"/>
      <c r="AN155" s="45"/>
      <c r="AO155" s="45"/>
      <c r="AP155" s="45"/>
      <c r="AQ155" s="45"/>
      <c r="AR155" s="45"/>
      <c r="AS155" s="45"/>
      <c r="AT155" s="45"/>
      <c r="AU155" s="45"/>
    </row>
    <row r="156" ht="15.75" customHeight="1">
      <c r="A156" s="307" t="s">
        <v>154</v>
      </c>
      <c r="B156" s="263">
        <v>1.0</v>
      </c>
      <c r="C156" s="263">
        <v>2.0</v>
      </c>
      <c r="D156" s="263">
        <v>3.0</v>
      </c>
      <c r="E156" s="263">
        <v>4.0</v>
      </c>
      <c r="F156" s="263">
        <v>5.0</v>
      </c>
      <c r="G156" s="263">
        <v>6.0</v>
      </c>
      <c r="H156" s="263">
        <v>7.0</v>
      </c>
      <c r="I156" s="263">
        <v>8.0</v>
      </c>
      <c r="J156" s="263">
        <v>9.0</v>
      </c>
      <c r="K156" s="263">
        <v>10.0</v>
      </c>
      <c r="L156" s="263">
        <v>11.0</v>
      </c>
      <c r="M156" s="263">
        <v>12.0</v>
      </c>
      <c r="N156" s="263">
        <v>13.0</v>
      </c>
      <c r="O156" s="263">
        <v>14.0</v>
      </c>
      <c r="P156" s="263">
        <v>15.0</v>
      </c>
      <c r="Q156" s="263">
        <v>16.0</v>
      </c>
      <c r="R156" s="263">
        <v>17.0</v>
      </c>
      <c r="S156" s="263">
        <v>18.0</v>
      </c>
      <c r="T156" s="263">
        <v>19.0</v>
      </c>
      <c r="U156" s="263">
        <v>20.0</v>
      </c>
      <c r="V156" s="263">
        <v>21.0</v>
      </c>
      <c r="W156" s="263">
        <v>22.0</v>
      </c>
      <c r="X156" s="263">
        <v>23.0</v>
      </c>
      <c r="Y156" s="263">
        <v>24.0</v>
      </c>
      <c r="Z156" s="263">
        <v>25.0</v>
      </c>
      <c r="AA156" s="263"/>
      <c r="AB156" s="263"/>
      <c r="AC156" s="263"/>
      <c r="AD156" s="263"/>
      <c r="AE156" s="263"/>
      <c r="AF156" s="263"/>
      <c r="AG156" s="263"/>
      <c r="AH156" s="263"/>
      <c r="AI156" s="263"/>
      <c r="AJ156" s="263"/>
      <c r="AK156" s="263"/>
      <c r="AL156" s="45"/>
      <c r="AM156" s="45"/>
      <c r="AN156" s="45"/>
      <c r="AO156" s="45"/>
      <c r="AP156" s="45"/>
      <c r="AQ156" s="45"/>
      <c r="AR156" s="45"/>
      <c r="AS156" s="45"/>
      <c r="AT156" s="45"/>
      <c r="AU156" s="45"/>
    </row>
    <row r="157" ht="15.75" customHeight="1">
      <c r="A157" s="307" t="s">
        <v>404</v>
      </c>
      <c r="B157" s="308">
        <f>P4-B124</f>
        <v>2908.297705</v>
      </c>
      <c r="C157" s="308">
        <f>P5-C124</f>
        <v>1083.354238</v>
      </c>
      <c r="D157" s="308">
        <f>P6-D124</f>
        <v>980.6452146</v>
      </c>
      <c r="E157" s="308">
        <f>P7-E124</f>
        <v>829.4966059</v>
      </c>
      <c r="F157" s="308">
        <f>P8-F124</f>
        <v>674.0980348</v>
      </c>
      <c r="G157" s="308">
        <f>P9-G124</f>
        <v>514.319323</v>
      </c>
      <c r="H157" s="308">
        <f>P10-H124</f>
        <v>350.0261138</v>
      </c>
      <c r="I157" s="308">
        <f>P11-I124</f>
        <v>181.079735</v>
      </c>
      <c r="J157" s="308">
        <f>P12-J124</f>
        <v>7.33705708</v>
      </c>
      <c r="K157" s="308">
        <f>P13-K124</f>
        <v>-171.3496534</v>
      </c>
      <c r="L157" s="308">
        <f>P14-L124</f>
        <v>-355.1328851</v>
      </c>
      <c r="M157" s="308">
        <f>P15-M124</f>
        <v>-544.1700381</v>
      </c>
      <c r="N157" s="308">
        <f>P16-N124</f>
        <v>-738.6235859</v>
      </c>
      <c r="O157" s="308">
        <f>P17-O124</f>
        <v>-938.6612421</v>
      </c>
      <c r="P157" s="308">
        <f>P18-P124</f>
        <v>-1144.456133</v>
      </c>
      <c r="Q157" s="308">
        <f>P19-Q124</f>
        <v>-1356.186976</v>
      </c>
      <c r="R157" s="308">
        <f>P20-R124</f>
        <v>-1574.038263</v>
      </c>
      <c r="S157" s="308">
        <f>P21-S124</f>
        <v>-1798.200452</v>
      </c>
      <c r="T157" s="308">
        <f>P22-T124</f>
        <v>-2028.870163</v>
      </c>
      <c r="U157" s="308">
        <f>P23-U124</f>
        <v>-2266.250381</v>
      </c>
      <c r="V157" s="308">
        <f>P24-V124</f>
        <v>-2510.550666</v>
      </c>
      <c r="W157" s="308">
        <f>P25-W124</f>
        <v>-2761.98737</v>
      </c>
      <c r="X157" s="308">
        <f>P26-X124</f>
        <v>-3020.783863</v>
      </c>
      <c r="Y157" s="308">
        <f>P27-Y124</f>
        <v>-3287.170758</v>
      </c>
      <c r="Z157" s="308">
        <f>P28-Z124</f>
        <v>-3561.386161</v>
      </c>
      <c r="AA157" s="263"/>
      <c r="AB157" s="263"/>
      <c r="AC157" s="263"/>
      <c r="AD157" s="263"/>
      <c r="AE157" s="263"/>
      <c r="AF157" s="263"/>
      <c r="AG157" s="263"/>
      <c r="AH157" s="263"/>
      <c r="AI157" s="263"/>
      <c r="AJ157" s="263"/>
      <c r="AK157" s="263"/>
      <c r="AL157" s="45"/>
      <c r="AM157" s="45"/>
      <c r="AN157" s="45"/>
      <c r="AO157" s="45"/>
      <c r="AP157" s="45"/>
      <c r="AQ157" s="45"/>
      <c r="AR157" s="45"/>
      <c r="AS157" s="45"/>
      <c r="AT157" s="45"/>
      <c r="AU157" s="45"/>
    </row>
    <row r="158" ht="15.75" customHeight="1">
      <c r="A158" s="307" t="s">
        <v>405</v>
      </c>
      <c r="B158" s="311">
        <f>(B4-'Tableau dAMT financier'!G16-C4+B157)/12</f>
        <v>-544.9980316</v>
      </c>
      <c r="C158" s="311">
        <f>(B5-'Tableau dAMT financier'!G17-C5+C157)/12</f>
        <v>-689.2016538</v>
      </c>
      <c r="D158" s="311">
        <f>(B6-'Tableau dAMT financier'!G18-C6+D157)/12</f>
        <v>-689.7676141</v>
      </c>
      <c r="E158" s="311">
        <f>(B7-'Tableau dAMT financier'!G19-C7+E157)/12</f>
        <v>-694.2503096</v>
      </c>
      <c r="F158" s="311">
        <f>(B8-'Tableau dAMT financier'!G20-C8+F157)/12</f>
        <v>-698.9654734</v>
      </c>
      <c r="G158" s="311">
        <f>(B9-'Tableau dAMT financier'!G21-C9+G157)/12</f>
        <v>-703.922128</v>
      </c>
      <c r="H158" s="311">
        <f>(B10-'Tableau dAMT financier'!G22-C10+H157)/12</f>
        <v>-709.1296173</v>
      </c>
      <c r="I158" s="311">
        <f>(B11-'Tableau dAMT financier'!G23-C11+I157)/12</f>
        <v>-714.5976165</v>
      </c>
      <c r="J158" s="311">
        <f>(B12-'Tableau dAMT financier'!G24-C12+J157)/12</f>
        <v>-720.3361443</v>
      </c>
      <c r="K158" s="311">
        <f>(B13-'Tableau dAMT financier'!G25-C13+K157)/12</f>
        <v>-726.3555744</v>
      </c>
      <c r="L158" s="311">
        <f>(B14-'Tableau dAMT financier'!G26-C14+L157)/12</f>
        <v>-732.6666476</v>
      </c>
      <c r="M158" s="311">
        <f>(B15-'Tableau dAMT financier'!G27-C15+M157)/12</f>
        <v>-739.2804847</v>
      </c>
      <c r="N158" s="311">
        <f>(B16-'Tableau dAMT financier'!G28-C16+N157)/12</f>
        <v>-746.2085991</v>
      </c>
      <c r="O158" s="311">
        <f>(B17-'Tableau dAMT financier'!G29-C17+O157)/12</f>
        <v>-753.4629107</v>
      </c>
      <c r="P158" s="311">
        <f>(B18-'Tableau dAMT financier'!G30-C18+P157)/12</f>
        <v>-761.0557595</v>
      </c>
      <c r="Q158" s="311">
        <f>(B19-'Tableau dAMT financier'!G31-C19+Q157)/12</f>
        <v>-768.99992</v>
      </c>
      <c r="R158" s="311">
        <f>(B20-'Tableau dAMT financier'!G32-C20+R157)/12</f>
        <v>-777.3086164</v>
      </c>
      <c r="S158" s="311">
        <f>(B21-'Tableau dAMT financier'!G33-C21+S157)/12</f>
        <v>-785.9955376</v>
      </c>
      <c r="T158" s="311">
        <f>(B22-'Tableau dAMT financier'!G34-C22+T157)/12</f>
        <v>-795.0748534</v>
      </c>
      <c r="U158" s="311">
        <f>(B23-'Tableau dAMT financier'!G35-C23+U157)/12</f>
        <v>-804.5612308</v>
      </c>
      <c r="V158" s="311">
        <f>(B24-'Tableau dAMT financier'!G36-C24+V157)/12</f>
        <v>-814.4698507</v>
      </c>
      <c r="W158" s="311">
        <f>(B25-'Tableau dAMT financier'!G37-C25+W157)/12</f>
        <v>-824.8164262</v>
      </c>
      <c r="X158" s="311">
        <f>(B26-'Tableau dAMT financier'!G38-C26+X157)/12</f>
        <v>-835.6172202</v>
      </c>
      <c r="Y158" s="311">
        <f>(B27-'Tableau dAMT financier'!G39-C27+Y157)/12</f>
        <v>-846.889064</v>
      </c>
      <c r="Z158" s="311">
        <f>(B28-'Tableau dAMT financier'!G40-C28+Z157)/12</f>
        <v>-858.6493775</v>
      </c>
      <c r="AA158" s="263"/>
      <c r="AB158" s="263"/>
      <c r="AC158" s="263"/>
      <c r="AD158" s="263"/>
      <c r="AE158" s="263"/>
      <c r="AF158" s="263"/>
      <c r="AG158" s="263"/>
      <c r="AH158" s="263"/>
      <c r="AI158" s="263"/>
      <c r="AJ158" s="263"/>
      <c r="AK158" s="263"/>
      <c r="AL158" s="45"/>
      <c r="AM158" s="45"/>
      <c r="AN158" s="45"/>
      <c r="AO158" s="45"/>
      <c r="AP158" s="45"/>
      <c r="AQ158" s="45"/>
      <c r="AR158" s="45"/>
      <c r="AS158" s="45"/>
      <c r="AT158" s="45"/>
      <c r="AU158" s="45"/>
    </row>
    <row r="159" ht="15.75" customHeight="1">
      <c r="A159" s="307" t="s">
        <v>406</v>
      </c>
      <c r="B159" s="311">
        <f>-'Hypothèses'!$B$14+B158*12</f>
        <v>-21539.97638</v>
      </c>
      <c r="C159" s="311">
        <f t="shared" ref="C159:Z159" si="43">B159+C158*12</f>
        <v>-29810.39623</v>
      </c>
      <c r="D159" s="311">
        <f t="shared" si="43"/>
        <v>-38087.60759</v>
      </c>
      <c r="E159" s="311">
        <f t="shared" si="43"/>
        <v>-46418.61131</v>
      </c>
      <c r="F159" s="311">
        <f t="shared" si="43"/>
        <v>-54806.19699</v>
      </c>
      <c r="G159" s="311">
        <f t="shared" si="43"/>
        <v>-63253.26253</v>
      </c>
      <c r="H159" s="311">
        <f t="shared" si="43"/>
        <v>-71762.81793</v>
      </c>
      <c r="I159" s="311">
        <f t="shared" si="43"/>
        <v>-80337.98933</v>
      </c>
      <c r="J159" s="311">
        <f t="shared" si="43"/>
        <v>-88982.02306</v>
      </c>
      <c r="K159" s="311">
        <f t="shared" si="43"/>
        <v>-97698.28996</v>
      </c>
      <c r="L159" s="311">
        <f t="shared" si="43"/>
        <v>-106490.2897</v>
      </c>
      <c r="M159" s="311">
        <f t="shared" si="43"/>
        <v>-115361.6555</v>
      </c>
      <c r="N159" s="311">
        <f t="shared" si="43"/>
        <v>-124316.1587</v>
      </c>
      <c r="O159" s="311">
        <f t="shared" si="43"/>
        <v>-133357.7137</v>
      </c>
      <c r="P159" s="311">
        <f t="shared" si="43"/>
        <v>-142490.3828</v>
      </c>
      <c r="Q159" s="311">
        <f t="shared" si="43"/>
        <v>-151718.3818</v>
      </c>
      <c r="R159" s="311">
        <f t="shared" si="43"/>
        <v>-161046.0852</v>
      </c>
      <c r="S159" s="311">
        <f t="shared" si="43"/>
        <v>-170478.0317</v>
      </c>
      <c r="T159" s="311">
        <f t="shared" si="43"/>
        <v>-180018.9299</v>
      </c>
      <c r="U159" s="311">
        <f t="shared" si="43"/>
        <v>-189673.6647</v>
      </c>
      <c r="V159" s="311">
        <f t="shared" si="43"/>
        <v>-199447.3029</v>
      </c>
      <c r="W159" s="311">
        <f t="shared" si="43"/>
        <v>-209345.1</v>
      </c>
      <c r="X159" s="311">
        <f t="shared" si="43"/>
        <v>-219372.5066</v>
      </c>
      <c r="Y159" s="311">
        <f t="shared" si="43"/>
        <v>-229535.1754</v>
      </c>
      <c r="Z159" s="311">
        <f t="shared" si="43"/>
        <v>-239838.9679</v>
      </c>
      <c r="AA159" s="263"/>
      <c r="AB159" s="263"/>
      <c r="AC159" s="263"/>
      <c r="AD159" s="263"/>
      <c r="AE159" s="263"/>
      <c r="AF159" s="263"/>
      <c r="AG159" s="263"/>
      <c r="AH159" s="263"/>
      <c r="AI159" s="263"/>
      <c r="AJ159" s="263"/>
      <c r="AK159" s="263"/>
      <c r="AL159" s="45"/>
      <c r="AM159" s="45"/>
      <c r="AN159" s="45"/>
      <c r="AO159" s="45"/>
      <c r="AP159" s="45"/>
      <c r="AQ159" s="45"/>
      <c r="AR159" s="45"/>
      <c r="AS159" s="45"/>
      <c r="AT159" s="45"/>
      <c r="AU159" s="45"/>
    </row>
    <row r="160" ht="15.75" customHeight="1">
      <c r="A160" s="307" t="s">
        <v>407</v>
      </c>
      <c r="B160" s="311">
        <f t="shared" ref="B160:Z160" si="44">B146</f>
        <v>13820.61507</v>
      </c>
      <c r="C160" s="311">
        <f t="shared" si="44"/>
        <v>20663.04543</v>
      </c>
      <c r="D160" s="311">
        <f t="shared" si="44"/>
        <v>27734.72272</v>
      </c>
      <c r="E160" s="311">
        <f t="shared" si="44"/>
        <v>35043.32757</v>
      </c>
      <c r="F160" s="311">
        <f t="shared" si="44"/>
        <v>42596.79793</v>
      </c>
      <c r="G160" s="311">
        <f t="shared" si="44"/>
        <v>50403.33771</v>
      </c>
      <c r="H160" s="311">
        <f t="shared" si="44"/>
        <v>58471.42569</v>
      </c>
      <c r="I160" s="311">
        <f t="shared" si="44"/>
        <v>66809.8247</v>
      </c>
      <c r="J160" s="311">
        <f t="shared" si="44"/>
        <v>75427.59116</v>
      </c>
      <c r="K160" s="311">
        <f t="shared" si="44"/>
        <v>84334.08494</v>
      </c>
      <c r="L160" s="311">
        <f t="shared" si="44"/>
        <v>93538.97946</v>
      </c>
      <c r="M160" s="311">
        <f t="shared" si="44"/>
        <v>103052.2723</v>
      </c>
      <c r="N160" s="311">
        <f t="shared" si="44"/>
        <v>112884.2959</v>
      </c>
      <c r="O160" s="311">
        <f t="shared" si="44"/>
        <v>123045.7289</v>
      </c>
      <c r="P160" s="311">
        <f t="shared" si="44"/>
        <v>133547.6079</v>
      </c>
      <c r="Q160" s="311">
        <f t="shared" si="44"/>
        <v>144401.3389</v>
      </c>
      <c r="R160" s="311">
        <f t="shared" si="44"/>
        <v>155618.7104</v>
      </c>
      <c r="S160" s="311">
        <f t="shared" si="44"/>
        <v>167211.9057</v>
      </c>
      <c r="T160" s="311">
        <f t="shared" si="44"/>
        <v>179193.5163</v>
      </c>
      <c r="U160" s="311">
        <f t="shared" si="44"/>
        <v>191576.5555</v>
      </c>
      <c r="V160" s="311">
        <f t="shared" si="44"/>
        <v>204374.4726</v>
      </c>
      <c r="W160" s="311">
        <f t="shared" si="44"/>
        <v>217601.1677</v>
      </c>
      <c r="X160" s="311">
        <f t="shared" si="44"/>
        <v>231271.0065</v>
      </c>
      <c r="Y160" s="311">
        <f t="shared" si="44"/>
        <v>245398.8358</v>
      </c>
      <c r="Z160" s="311">
        <f t="shared" si="44"/>
        <v>260000</v>
      </c>
      <c r="AA160" s="263"/>
      <c r="AB160" s="263"/>
      <c r="AC160" s="263"/>
      <c r="AD160" s="263"/>
      <c r="AE160" s="263"/>
      <c r="AF160" s="263"/>
      <c r="AG160" s="263"/>
      <c r="AH160" s="263"/>
      <c r="AI160" s="263"/>
      <c r="AJ160" s="263"/>
      <c r="AK160" s="263"/>
      <c r="AL160" s="45"/>
      <c r="AM160" s="45"/>
      <c r="AN160" s="45"/>
      <c r="AO160" s="45"/>
      <c r="AP160" s="45"/>
      <c r="AQ160" s="45"/>
      <c r="AR160" s="45"/>
      <c r="AS160" s="45"/>
      <c r="AT160" s="45"/>
      <c r="AU160" s="45"/>
    </row>
    <row r="161" ht="15.75" customHeight="1">
      <c r="A161" s="307" t="s">
        <v>408</v>
      </c>
      <c r="B161" s="311">
        <f t="shared" ref="B161:Z161" si="45">B147</f>
        <v>17720.61507</v>
      </c>
      <c r="C161" s="311">
        <f t="shared" si="45"/>
        <v>28521.54543</v>
      </c>
      <c r="D161" s="311">
        <f t="shared" si="45"/>
        <v>39611.10022</v>
      </c>
      <c r="E161" s="311">
        <f t="shared" si="45"/>
        <v>50997.85073</v>
      </c>
      <c r="F161" s="311">
        <f t="shared" si="45"/>
        <v>62475.66849</v>
      </c>
      <c r="G161" s="311">
        <f t="shared" si="45"/>
        <v>74698.58634</v>
      </c>
      <c r="H161" s="311">
        <f t="shared" si="45"/>
        <v>87031.10304</v>
      </c>
      <c r="I161" s="311">
        <f t="shared" si="45"/>
        <v>99697.89721</v>
      </c>
      <c r="J161" s="311">
        <f t="shared" si="45"/>
        <v>112708.9848</v>
      </c>
      <c r="K161" s="311">
        <f t="shared" si="45"/>
        <v>126074.6994</v>
      </c>
      <c r="L161" s="311">
        <f t="shared" si="45"/>
        <v>139805.7032</v>
      </c>
      <c r="M161" s="311">
        <f t="shared" si="45"/>
        <v>153912.9969</v>
      </c>
      <c r="N161" s="311">
        <f t="shared" si="45"/>
        <v>168407.9313</v>
      </c>
      <c r="O161" s="311">
        <f t="shared" si="45"/>
        <v>182891.4497</v>
      </c>
      <c r="P161" s="311">
        <f t="shared" si="45"/>
        <v>197167.1639</v>
      </c>
      <c r="Q161" s="311">
        <f t="shared" si="45"/>
        <v>211988.783</v>
      </c>
      <c r="R161" s="311">
        <f t="shared" si="45"/>
        <v>227372.0474</v>
      </c>
      <c r="S161" s="311">
        <f t="shared" si="45"/>
        <v>243333.1674</v>
      </c>
      <c r="T161" s="311">
        <f t="shared" si="45"/>
        <v>259888.8379</v>
      </c>
      <c r="U161" s="311">
        <f t="shared" si="45"/>
        <v>277056.2531</v>
      </c>
      <c r="V161" s="311">
        <f t="shared" si="45"/>
        <v>294853.1225</v>
      </c>
      <c r="W161" s="311">
        <f t="shared" si="45"/>
        <v>313133.4385</v>
      </c>
      <c r="X161" s="311">
        <f t="shared" si="45"/>
        <v>332282.6721</v>
      </c>
      <c r="Y161" s="311">
        <f t="shared" si="45"/>
        <v>352131.0693</v>
      </c>
      <c r="Z161" s="311">
        <f t="shared" si="45"/>
        <v>372698.8678</v>
      </c>
      <c r="AA161" s="263"/>
      <c r="AB161" s="263"/>
      <c r="AC161" s="263"/>
      <c r="AD161" s="263"/>
      <c r="AE161" s="263"/>
      <c r="AF161" s="263"/>
      <c r="AG161" s="263"/>
      <c r="AH161" s="263"/>
      <c r="AI161" s="263"/>
      <c r="AJ161" s="263"/>
      <c r="AK161" s="263"/>
      <c r="AL161" s="45"/>
      <c r="AM161" s="45"/>
      <c r="AN161" s="45"/>
      <c r="AO161" s="45"/>
      <c r="AP161" s="45"/>
      <c r="AQ161" s="45"/>
      <c r="AR161" s="45"/>
      <c r="AS161" s="45"/>
      <c r="AT161" s="45"/>
      <c r="AU161" s="45"/>
    </row>
    <row r="162" ht="15.75" customHeight="1">
      <c r="A162" s="307" t="s">
        <v>159</v>
      </c>
      <c r="B162" s="311">
        <f>B102+AK4</f>
        <v>3176.591447</v>
      </c>
      <c r="C162" s="311">
        <f>C102+AK5</f>
        <v>4360.65084</v>
      </c>
      <c r="D162" s="311">
        <f>D102+AK6</f>
        <v>4925.245335</v>
      </c>
      <c r="E162" s="311">
        <f>E102+AK7</f>
        <v>3935.558503</v>
      </c>
      <c r="F162" s="311">
        <f>F102+AK8</f>
        <v>3186.449156</v>
      </c>
      <c r="G162" s="311">
        <f>G102+AK9</f>
        <v>11437.8576</v>
      </c>
      <c r="H162" s="311">
        <f>H102+AK10</f>
        <v>13825.81212</v>
      </c>
      <c r="I162" s="311">
        <f>I102+AK11</f>
        <v>16475.31563</v>
      </c>
      <c r="J162" s="311">
        <f>J102+AK12</f>
        <v>17252.35565</v>
      </c>
      <c r="K162" s="311">
        <f>K102+AK13</f>
        <v>18430.31318</v>
      </c>
      <c r="L162" s="311">
        <f>L102+AK14</f>
        <v>20100.09177</v>
      </c>
      <c r="M162" s="311">
        <f>M102+AK15</f>
        <v>22269.82422</v>
      </c>
      <c r="N162" s="311">
        <f>N102+AK16</f>
        <v>24947.89482</v>
      </c>
      <c r="O162" s="311">
        <f>O102+AK17</f>
        <v>28142.94745</v>
      </c>
      <c r="P162" s="311">
        <f>P102+AK18</f>
        <v>31823.70344</v>
      </c>
      <c r="Q162" s="311">
        <f>Q102+AK19</f>
        <v>35963.76909</v>
      </c>
      <c r="R162" s="311">
        <f>R102+AK20</f>
        <v>40575.07612</v>
      </c>
      <c r="S162" s="311">
        <f>S102+AK21</f>
        <v>45665.26916</v>
      </c>
      <c r="T162" s="311">
        <f>T102+AK22</f>
        <v>51242.23095</v>
      </c>
      <c r="U162" s="311">
        <f>U102+AK23</f>
        <v>57314.09012</v>
      </c>
      <c r="V162" s="311">
        <f>V102+AK24</f>
        <v>63889.22912</v>
      </c>
      <c r="W162" s="311">
        <f>W102+AK25</f>
        <v>70581.24168</v>
      </c>
      <c r="X162" s="311">
        <f>X102+AK26</f>
        <v>78296.15776</v>
      </c>
      <c r="Y162" s="311">
        <f>Y102+AK27</f>
        <v>86559.19108</v>
      </c>
      <c r="Z162" s="311">
        <f>Z102+AK28</f>
        <v>95379.8244</v>
      </c>
      <c r="AA162" s="263"/>
      <c r="AB162" s="263"/>
      <c r="AC162" s="263"/>
      <c r="AD162" s="263"/>
      <c r="AE162" s="263"/>
      <c r="AF162" s="263"/>
      <c r="AG162" s="263"/>
      <c r="AH162" s="263"/>
      <c r="AI162" s="263"/>
      <c r="AJ162" s="263"/>
      <c r="AK162" s="263"/>
      <c r="AL162" s="45"/>
      <c r="AM162" s="45"/>
      <c r="AN162" s="45"/>
      <c r="AO162" s="45"/>
      <c r="AP162" s="45"/>
      <c r="AQ162" s="45"/>
      <c r="AR162" s="45"/>
      <c r="AS162" s="45"/>
      <c r="AT162" s="45"/>
      <c r="AU162" s="45"/>
    </row>
    <row r="163" ht="15.75" customHeight="1">
      <c r="A163" s="307" t="s">
        <v>409</v>
      </c>
      <c r="B163" s="311">
        <f>B107+AK4</f>
        <v>7076.591447</v>
      </c>
      <c r="C163" s="311">
        <f>C107+AK5</f>
        <v>11162.65384</v>
      </c>
      <c r="D163" s="311">
        <f>D107+AK6</f>
        <v>12502.37418</v>
      </c>
      <c r="E163" s="311">
        <f>E107+AK7</f>
        <v>14114.54428</v>
      </c>
      <c r="F163" s="311">
        <f>F107+AK8</f>
        <v>16006.31972</v>
      </c>
      <c r="G163" s="311">
        <f>G107+AK9</f>
        <v>32437.97482</v>
      </c>
      <c r="H163" s="311">
        <f>H107+AK10</f>
        <v>35374.92261</v>
      </c>
      <c r="I163" s="311">
        <f>I107+AK11</f>
        <v>38945.70139</v>
      </c>
      <c r="J163" s="311">
        <f>J107+AK12</f>
        <v>43161.13469</v>
      </c>
      <c r="K163" s="311">
        <f>K107+AK13</f>
        <v>48032.33959</v>
      </c>
      <c r="L163" s="311">
        <f>L107+AK14</f>
        <v>53570.73518</v>
      </c>
      <c r="M163" s="311">
        <f>M107+AK15</f>
        <v>59788.05148</v>
      </c>
      <c r="N163" s="311">
        <f>N107+AK16</f>
        <v>66696.3384</v>
      </c>
      <c r="O163" s="311">
        <f>O107+AK17</f>
        <v>74307.9752</v>
      </c>
      <c r="P163" s="311">
        <f>P107+AK18</f>
        <v>82595.48949</v>
      </c>
      <c r="Q163" s="311">
        <f>Q107+AK19</f>
        <v>91536.36615</v>
      </c>
      <c r="R163" s="311">
        <f>R107+AK20</f>
        <v>101146.489</v>
      </c>
      <c r="S163" s="311">
        <f>S107+AK21</f>
        <v>111437.5298</v>
      </c>
      <c r="T163" s="311">
        <f>T107+AK22</f>
        <v>122421.4745</v>
      </c>
      <c r="U163" s="311">
        <f>U107+AK23</f>
        <v>134110.6328</v>
      </c>
      <c r="V163" s="311">
        <f>V107+AK24</f>
        <v>146517.647</v>
      </c>
      <c r="W163" s="311">
        <f>W107+AK25</f>
        <v>158868.8724</v>
      </c>
      <c r="X163" s="311">
        <f>X107+AK26</f>
        <v>172968.7634</v>
      </c>
      <c r="Y163" s="311">
        <f>Y107+AK27</f>
        <v>187857.9447</v>
      </c>
      <c r="Z163" s="311">
        <f>Z107+AK28</f>
        <v>203550.7922</v>
      </c>
      <c r="AA163" s="263"/>
      <c r="AB163" s="263"/>
      <c r="AC163" s="263"/>
      <c r="AD163" s="263"/>
      <c r="AE163" s="263"/>
      <c r="AF163" s="263"/>
      <c r="AG163" s="263"/>
      <c r="AH163" s="263"/>
      <c r="AI163" s="263"/>
      <c r="AJ163" s="263"/>
      <c r="AK163" s="263"/>
      <c r="AL163" s="45"/>
      <c r="AM163" s="45"/>
      <c r="AN163" s="45"/>
      <c r="AO163" s="45"/>
      <c r="AP163" s="45"/>
      <c r="AQ163" s="45"/>
      <c r="AR163" s="45"/>
      <c r="AS163" s="45"/>
      <c r="AT163" s="45"/>
      <c r="AU163" s="45"/>
    </row>
    <row r="164" ht="15.75" customHeight="1">
      <c r="A164" s="307" t="s">
        <v>161</v>
      </c>
      <c r="B164" s="311">
        <f t="shared" ref="B164:Z164" si="46">B160+B159</f>
        <v>-7719.361311</v>
      </c>
      <c r="C164" s="311">
        <f t="shared" si="46"/>
        <v>-9147.350798</v>
      </c>
      <c r="D164" s="311">
        <f t="shared" si="46"/>
        <v>-10352.88488</v>
      </c>
      <c r="E164" s="311">
        <f t="shared" si="46"/>
        <v>-11375.28374</v>
      </c>
      <c r="F164" s="311">
        <f t="shared" si="46"/>
        <v>-12209.39906</v>
      </c>
      <c r="G164" s="311">
        <f t="shared" si="46"/>
        <v>-12849.92481</v>
      </c>
      <c r="H164" s="311">
        <f t="shared" si="46"/>
        <v>-13291.39225</v>
      </c>
      <c r="I164" s="311">
        <f t="shared" si="46"/>
        <v>-13528.16464</v>
      </c>
      <c r="J164" s="311">
        <f t="shared" si="46"/>
        <v>-13554.4319</v>
      </c>
      <c r="K164" s="311">
        <f t="shared" si="46"/>
        <v>-13364.20502</v>
      </c>
      <c r="L164" s="311">
        <f t="shared" si="46"/>
        <v>-12951.31026</v>
      </c>
      <c r="M164" s="311">
        <f t="shared" si="46"/>
        <v>-12309.38326</v>
      </c>
      <c r="N164" s="311">
        <f t="shared" si="46"/>
        <v>-11431.86285</v>
      </c>
      <c r="O164" s="311">
        <f t="shared" si="46"/>
        <v>-10311.98473</v>
      </c>
      <c r="P164" s="311">
        <f t="shared" si="46"/>
        <v>-8942.7749</v>
      </c>
      <c r="Q164" s="311">
        <f t="shared" si="46"/>
        <v>-7317.04289</v>
      </c>
      <c r="R164" s="311">
        <f t="shared" si="46"/>
        <v>-5427.374775</v>
      </c>
      <c r="S164" s="311">
        <f t="shared" si="46"/>
        <v>-3266.125943</v>
      </c>
      <c r="T164" s="311">
        <f t="shared" si="46"/>
        <v>-825.4136303</v>
      </c>
      <c r="U164" s="311">
        <f t="shared" si="46"/>
        <v>1902.890784</v>
      </c>
      <c r="V164" s="311">
        <f t="shared" si="46"/>
        <v>4927.169745</v>
      </c>
      <c r="W164" s="311">
        <f t="shared" si="46"/>
        <v>8256.067745</v>
      </c>
      <c r="X164" s="311">
        <f t="shared" si="46"/>
        <v>11898.49982</v>
      </c>
      <c r="Y164" s="311">
        <f t="shared" si="46"/>
        <v>15863.66034</v>
      </c>
      <c r="Z164" s="311">
        <f t="shared" si="46"/>
        <v>20161.03206</v>
      </c>
      <c r="AA164" s="263"/>
      <c r="AB164" s="263"/>
      <c r="AC164" s="263"/>
      <c r="AD164" s="263"/>
      <c r="AE164" s="263"/>
      <c r="AF164" s="263"/>
      <c r="AG164" s="263"/>
      <c r="AH164" s="263"/>
      <c r="AI164" s="263"/>
      <c r="AJ164" s="263"/>
      <c r="AK164" s="263"/>
      <c r="AL164" s="45"/>
      <c r="AM164" s="45"/>
      <c r="AN164" s="45"/>
      <c r="AO164" s="45"/>
      <c r="AP164" s="45"/>
      <c r="AQ164" s="45"/>
      <c r="AR164" s="45"/>
      <c r="AS164" s="45"/>
      <c r="AT164" s="45"/>
      <c r="AU164" s="45"/>
    </row>
    <row r="165" ht="15.75" customHeight="1">
      <c r="A165" s="307" t="s">
        <v>410</v>
      </c>
      <c r="B165" s="311">
        <f t="shared" ref="B165:Z165" si="47">B161+B159</f>
        <v>-3819.361311</v>
      </c>
      <c r="C165" s="311">
        <f t="shared" si="47"/>
        <v>-1288.850798</v>
      </c>
      <c r="D165" s="311">
        <f t="shared" si="47"/>
        <v>1523.492623</v>
      </c>
      <c r="E165" s="311">
        <f t="shared" si="47"/>
        <v>4579.239418</v>
      </c>
      <c r="F165" s="311">
        <f t="shared" si="47"/>
        <v>7669.471502</v>
      </c>
      <c r="G165" s="311">
        <f t="shared" si="47"/>
        <v>11445.32381</v>
      </c>
      <c r="H165" s="311">
        <f t="shared" si="47"/>
        <v>15268.28511</v>
      </c>
      <c r="I165" s="311">
        <f t="shared" si="47"/>
        <v>19359.90788</v>
      </c>
      <c r="J165" s="311">
        <f t="shared" si="47"/>
        <v>23726.9617</v>
      </c>
      <c r="K165" s="311">
        <f t="shared" si="47"/>
        <v>28376.40949</v>
      </c>
      <c r="L165" s="311">
        <f t="shared" si="47"/>
        <v>33315.41346</v>
      </c>
      <c r="M165" s="311">
        <f t="shared" si="47"/>
        <v>38551.34132</v>
      </c>
      <c r="N165" s="311">
        <f t="shared" si="47"/>
        <v>44091.77259</v>
      </c>
      <c r="O165" s="311">
        <f t="shared" si="47"/>
        <v>49533.73601</v>
      </c>
      <c r="P165" s="311">
        <f t="shared" si="47"/>
        <v>54676.78115</v>
      </c>
      <c r="Q165" s="311">
        <f t="shared" si="47"/>
        <v>60270.40117</v>
      </c>
      <c r="R165" s="311">
        <f t="shared" si="47"/>
        <v>66325.96214</v>
      </c>
      <c r="S165" s="311">
        <f t="shared" si="47"/>
        <v>72855.13572</v>
      </c>
      <c r="T165" s="311">
        <f t="shared" si="47"/>
        <v>79869.90797</v>
      </c>
      <c r="U165" s="311">
        <f t="shared" si="47"/>
        <v>87382.58845</v>
      </c>
      <c r="V165" s="311">
        <f t="shared" si="47"/>
        <v>95405.81959</v>
      </c>
      <c r="W165" s="311">
        <f t="shared" si="47"/>
        <v>103788.3385</v>
      </c>
      <c r="X165" s="311">
        <f t="shared" si="47"/>
        <v>112910.1654</v>
      </c>
      <c r="Y165" s="311">
        <f t="shared" si="47"/>
        <v>122595.8939</v>
      </c>
      <c r="Z165" s="311">
        <f t="shared" si="47"/>
        <v>132859.8998</v>
      </c>
      <c r="AA165" s="263"/>
      <c r="AB165" s="263"/>
      <c r="AC165" s="263"/>
      <c r="AD165" s="263"/>
      <c r="AE165" s="263"/>
      <c r="AF165" s="263"/>
      <c r="AG165" s="263"/>
      <c r="AH165" s="263"/>
      <c r="AI165" s="263"/>
      <c r="AJ165" s="263"/>
      <c r="AK165" s="263"/>
      <c r="AL165" s="45"/>
      <c r="AM165" s="45"/>
      <c r="AN165" s="45"/>
      <c r="AO165" s="45"/>
      <c r="AP165" s="45"/>
      <c r="AQ165" s="45"/>
      <c r="AR165" s="45"/>
      <c r="AS165" s="45"/>
      <c r="AT165" s="45"/>
      <c r="AU165" s="45"/>
    </row>
    <row r="166" ht="15.75" customHeight="1">
      <c r="A166" s="263"/>
      <c r="B166" s="263"/>
      <c r="C166" s="263"/>
      <c r="D166" s="263"/>
      <c r="E166" s="263"/>
      <c r="F166" s="263"/>
      <c r="G166" s="263"/>
      <c r="H166" s="263"/>
      <c r="I166" s="263"/>
      <c r="J166" s="263"/>
      <c r="K166" s="263"/>
      <c r="L166" s="263"/>
      <c r="M166" s="263"/>
      <c r="N166" s="263"/>
      <c r="O166" s="263"/>
      <c r="P166" s="263"/>
      <c r="Q166" s="263"/>
      <c r="R166" s="263"/>
      <c r="S166" s="263"/>
      <c r="T166" s="263"/>
      <c r="U166" s="263"/>
      <c r="V166" s="263"/>
      <c r="W166" s="263"/>
      <c r="X166" s="263"/>
      <c r="Y166" s="263"/>
      <c r="Z166" s="263"/>
      <c r="AA166" s="263"/>
      <c r="AB166" s="263"/>
      <c r="AC166" s="263"/>
      <c r="AD166" s="263"/>
      <c r="AE166" s="263"/>
      <c r="AF166" s="263"/>
      <c r="AG166" s="263"/>
      <c r="AH166" s="263"/>
      <c r="AI166" s="263"/>
      <c r="AJ166" s="263"/>
      <c r="AK166" s="263"/>
      <c r="AL166" s="45"/>
      <c r="AM166" s="45"/>
      <c r="AN166" s="45"/>
      <c r="AO166" s="45"/>
      <c r="AP166" s="45"/>
      <c r="AQ166" s="45"/>
      <c r="AR166" s="45"/>
      <c r="AS166" s="45"/>
      <c r="AT166" s="45"/>
      <c r="AU166" s="45"/>
    </row>
    <row r="167" ht="15.75" customHeight="1">
      <c r="A167" s="263"/>
      <c r="B167" s="263"/>
      <c r="C167" s="263"/>
      <c r="D167" s="263"/>
      <c r="E167" s="263"/>
      <c r="F167" s="263"/>
      <c r="G167" s="263"/>
      <c r="H167" s="263"/>
      <c r="I167" s="263"/>
      <c r="J167" s="263"/>
      <c r="K167" s="263"/>
      <c r="L167" s="263"/>
      <c r="M167" s="263"/>
      <c r="N167" s="263"/>
      <c r="O167" s="263"/>
      <c r="P167" s="263"/>
      <c r="Q167" s="263"/>
      <c r="R167" s="263"/>
      <c r="S167" s="263"/>
      <c r="T167" s="263"/>
      <c r="U167" s="263"/>
      <c r="V167" s="263"/>
      <c r="W167" s="263"/>
      <c r="X167" s="263"/>
      <c r="Y167" s="263"/>
      <c r="Z167" s="263"/>
      <c r="AA167" s="263"/>
      <c r="AB167" s="263"/>
      <c r="AC167" s="263"/>
      <c r="AD167" s="263"/>
      <c r="AE167" s="263"/>
      <c r="AF167" s="263"/>
      <c r="AG167" s="263"/>
      <c r="AH167" s="263"/>
      <c r="AI167" s="263"/>
      <c r="AJ167" s="263"/>
      <c r="AK167" s="263"/>
      <c r="AL167" s="45"/>
      <c r="AM167" s="45"/>
      <c r="AN167" s="45"/>
      <c r="AO167" s="45"/>
      <c r="AP167" s="45"/>
      <c r="AQ167" s="45"/>
      <c r="AR167" s="45"/>
      <c r="AS167" s="45"/>
      <c r="AT167" s="45"/>
      <c r="AU167" s="45"/>
    </row>
    <row r="168" ht="15.75" customHeight="1">
      <c r="A168" s="263"/>
      <c r="B168" s="263"/>
      <c r="C168" s="263"/>
      <c r="D168" s="263"/>
      <c r="E168" s="263"/>
      <c r="F168" s="263"/>
      <c r="G168" s="263"/>
      <c r="H168" s="263"/>
      <c r="I168" s="263"/>
      <c r="J168" s="263"/>
      <c r="K168" s="263"/>
      <c r="L168" s="263"/>
      <c r="M168" s="263"/>
      <c r="N168" s="263"/>
      <c r="O168" s="263"/>
      <c r="P168" s="263"/>
      <c r="Q168" s="263"/>
      <c r="R168" s="263"/>
      <c r="S168" s="263"/>
      <c r="T168" s="263"/>
      <c r="U168" s="263"/>
      <c r="V168" s="263"/>
      <c r="W168" s="263"/>
      <c r="X168" s="263"/>
      <c r="Y168" s="263"/>
      <c r="Z168" s="263"/>
      <c r="AA168" s="263"/>
      <c r="AB168" s="263"/>
      <c r="AC168" s="263"/>
      <c r="AD168" s="263"/>
      <c r="AE168" s="263"/>
      <c r="AF168" s="263"/>
      <c r="AG168" s="263"/>
      <c r="AH168" s="263"/>
      <c r="AI168" s="263"/>
      <c r="AJ168" s="263"/>
      <c r="AK168" s="263"/>
      <c r="AL168" s="45"/>
      <c r="AM168" s="45"/>
      <c r="AN168" s="45"/>
      <c r="AO168" s="45"/>
      <c r="AP168" s="45"/>
      <c r="AQ168" s="45"/>
      <c r="AR168" s="45"/>
      <c r="AS168" s="45"/>
      <c r="AT168" s="45"/>
      <c r="AU168" s="45"/>
    </row>
    <row r="169" ht="15.75" customHeight="1">
      <c r="A169" s="263"/>
      <c r="B169" s="263"/>
      <c r="C169" s="263"/>
      <c r="D169" s="263"/>
      <c r="E169" s="263"/>
      <c r="F169" s="263"/>
      <c r="G169" s="263"/>
      <c r="H169" s="263"/>
      <c r="I169" s="263"/>
      <c r="J169" s="263"/>
      <c r="K169" s="263"/>
      <c r="L169" s="263"/>
      <c r="M169" s="263"/>
      <c r="N169" s="263"/>
      <c r="O169" s="263"/>
      <c r="P169" s="263"/>
      <c r="Q169" s="263"/>
      <c r="R169" s="263"/>
      <c r="S169" s="263"/>
      <c r="T169" s="263"/>
      <c r="U169" s="263"/>
      <c r="V169" s="263"/>
      <c r="W169" s="263"/>
      <c r="X169" s="263"/>
      <c r="Y169" s="263"/>
      <c r="Z169" s="263"/>
      <c r="AA169" s="263"/>
      <c r="AB169" s="263"/>
      <c r="AC169" s="263"/>
      <c r="AD169" s="263"/>
      <c r="AE169" s="263"/>
      <c r="AF169" s="263"/>
      <c r="AG169" s="263"/>
      <c r="AH169" s="263"/>
      <c r="AI169" s="263"/>
      <c r="AJ169" s="263"/>
      <c r="AK169" s="263"/>
      <c r="AL169" s="45"/>
      <c r="AM169" s="45"/>
      <c r="AN169" s="45"/>
      <c r="AO169" s="45"/>
      <c r="AP169" s="45"/>
      <c r="AQ169" s="45"/>
      <c r="AR169" s="45"/>
      <c r="AS169" s="45"/>
      <c r="AT169" s="45"/>
      <c r="AU169" s="45"/>
    </row>
    <row r="170" ht="15.75" customHeight="1">
      <c r="A170" s="263"/>
      <c r="B170" s="263"/>
      <c r="C170" s="263"/>
      <c r="D170" s="263"/>
      <c r="E170" s="263"/>
      <c r="F170" s="263"/>
      <c r="G170" s="263"/>
      <c r="H170" s="263"/>
      <c r="I170" s="263"/>
      <c r="J170" s="263"/>
      <c r="K170" s="263"/>
      <c r="L170" s="263"/>
      <c r="M170" s="263"/>
      <c r="N170" s="263"/>
      <c r="O170" s="263"/>
      <c r="P170" s="263"/>
      <c r="Q170" s="263"/>
      <c r="R170" s="263"/>
      <c r="S170" s="263"/>
      <c r="T170" s="263"/>
      <c r="U170" s="263"/>
      <c r="V170" s="263"/>
      <c r="W170" s="263"/>
      <c r="X170" s="263"/>
      <c r="Y170" s="263"/>
      <c r="Z170" s="263"/>
      <c r="AA170" s="263"/>
      <c r="AB170" s="263"/>
      <c r="AC170" s="263"/>
      <c r="AD170" s="263"/>
      <c r="AE170" s="263"/>
      <c r="AF170" s="263"/>
      <c r="AG170" s="263"/>
      <c r="AH170" s="263"/>
      <c r="AI170" s="263"/>
      <c r="AJ170" s="263"/>
      <c r="AK170" s="263"/>
      <c r="AL170" s="45"/>
      <c r="AM170" s="45"/>
      <c r="AN170" s="45"/>
      <c r="AO170" s="45"/>
      <c r="AP170" s="45"/>
      <c r="AQ170" s="45"/>
      <c r="AR170" s="45"/>
      <c r="AS170" s="45"/>
      <c r="AT170" s="45"/>
      <c r="AU170" s="45"/>
    </row>
    <row r="171" ht="15.75" customHeight="1">
      <c r="A171" s="263"/>
      <c r="B171" s="263"/>
      <c r="C171" s="263"/>
      <c r="D171" s="263"/>
      <c r="E171" s="263"/>
      <c r="F171" s="263"/>
      <c r="G171" s="263"/>
      <c r="H171" s="263"/>
      <c r="I171" s="263"/>
      <c r="J171" s="263"/>
      <c r="K171" s="263"/>
      <c r="L171" s="263"/>
      <c r="M171" s="263"/>
      <c r="N171" s="263"/>
      <c r="O171" s="263"/>
      <c r="P171" s="263"/>
      <c r="Q171" s="263"/>
      <c r="R171" s="263"/>
      <c r="S171" s="263"/>
      <c r="T171" s="263"/>
      <c r="U171" s="263"/>
      <c r="V171" s="263"/>
      <c r="W171" s="263"/>
      <c r="X171" s="263"/>
      <c r="Y171" s="263"/>
      <c r="Z171" s="263"/>
      <c r="AA171" s="263"/>
      <c r="AB171" s="263"/>
      <c r="AC171" s="263"/>
      <c r="AD171" s="263"/>
      <c r="AE171" s="263"/>
      <c r="AF171" s="263"/>
      <c r="AG171" s="263"/>
      <c r="AH171" s="263"/>
      <c r="AI171" s="263"/>
      <c r="AJ171" s="263"/>
      <c r="AK171" s="263"/>
      <c r="AL171" s="45"/>
      <c r="AM171" s="45"/>
      <c r="AN171" s="45"/>
      <c r="AO171" s="45"/>
      <c r="AP171" s="45"/>
      <c r="AQ171" s="45"/>
      <c r="AR171" s="45"/>
      <c r="AS171" s="45"/>
      <c r="AT171" s="45"/>
      <c r="AU171" s="45"/>
    </row>
    <row r="172" ht="15.75" customHeight="1">
      <c r="A172" s="263"/>
      <c r="B172" s="263"/>
      <c r="C172" s="263"/>
      <c r="D172" s="263"/>
      <c r="E172" s="263"/>
      <c r="F172" s="263"/>
      <c r="G172" s="263"/>
      <c r="H172" s="263"/>
      <c r="I172" s="263"/>
      <c r="J172" s="263"/>
      <c r="K172" s="263"/>
      <c r="L172" s="263"/>
      <c r="M172" s="263"/>
      <c r="N172" s="263"/>
      <c r="O172" s="263"/>
      <c r="P172" s="263"/>
      <c r="Q172" s="263"/>
      <c r="R172" s="263"/>
      <c r="S172" s="263"/>
      <c r="T172" s="263"/>
      <c r="U172" s="263"/>
      <c r="V172" s="263"/>
      <c r="W172" s="263"/>
      <c r="X172" s="263"/>
      <c r="Y172" s="263"/>
      <c r="Z172" s="263"/>
      <c r="AA172" s="263"/>
      <c r="AB172" s="263"/>
      <c r="AC172" s="263"/>
      <c r="AD172" s="263"/>
      <c r="AE172" s="263"/>
      <c r="AF172" s="263"/>
      <c r="AG172" s="263"/>
      <c r="AH172" s="263"/>
      <c r="AI172" s="263"/>
      <c r="AJ172" s="263"/>
      <c r="AK172" s="263"/>
      <c r="AL172" s="45"/>
      <c r="AM172" s="45"/>
      <c r="AN172" s="45"/>
      <c r="AO172" s="45"/>
      <c r="AP172" s="45"/>
      <c r="AQ172" s="45"/>
      <c r="AR172" s="45"/>
      <c r="AS172" s="45"/>
      <c r="AT172" s="45"/>
      <c r="AU172" s="45"/>
    </row>
    <row r="173" ht="15.75" customHeight="1">
      <c r="A173" s="263"/>
      <c r="B173" s="263"/>
      <c r="C173" s="263"/>
      <c r="D173" s="263"/>
      <c r="E173" s="263"/>
      <c r="F173" s="263"/>
      <c r="G173" s="263"/>
      <c r="H173" s="263"/>
      <c r="I173" s="263"/>
      <c r="J173" s="263"/>
      <c r="K173" s="263"/>
      <c r="L173" s="263"/>
      <c r="M173" s="263"/>
      <c r="N173" s="263"/>
      <c r="O173" s="263"/>
      <c r="P173" s="263"/>
      <c r="Q173" s="263"/>
      <c r="R173" s="263"/>
      <c r="S173" s="263"/>
      <c r="T173" s="263"/>
      <c r="U173" s="263"/>
      <c r="V173" s="263"/>
      <c r="W173" s="263"/>
      <c r="X173" s="263"/>
      <c r="Y173" s="263"/>
      <c r="Z173" s="263"/>
      <c r="AA173" s="263"/>
      <c r="AB173" s="263"/>
      <c r="AC173" s="263"/>
      <c r="AD173" s="263"/>
      <c r="AE173" s="263"/>
      <c r="AF173" s="263"/>
      <c r="AG173" s="263"/>
      <c r="AH173" s="263"/>
      <c r="AI173" s="263"/>
      <c r="AJ173" s="263"/>
      <c r="AK173" s="263"/>
      <c r="AL173" s="45"/>
      <c r="AM173" s="45"/>
      <c r="AN173" s="45"/>
      <c r="AO173" s="45"/>
      <c r="AP173" s="45"/>
      <c r="AQ173" s="45"/>
      <c r="AR173" s="45"/>
      <c r="AS173" s="45"/>
      <c r="AT173" s="45"/>
      <c r="AU173" s="45"/>
    </row>
    <row r="174" ht="15.75" customHeight="1">
      <c r="A174" s="263"/>
      <c r="B174" s="263"/>
      <c r="C174" s="263"/>
      <c r="D174" s="263"/>
      <c r="E174" s="263"/>
      <c r="F174" s="263"/>
      <c r="G174" s="263"/>
      <c r="H174" s="263"/>
      <c r="I174" s="263"/>
      <c r="J174" s="263"/>
      <c r="K174" s="263"/>
      <c r="L174" s="263"/>
      <c r="M174" s="263"/>
      <c r="N174" s="263"/>
      <c r="O174" s="263"/>
      <c r="P174" s="263"/>
      <c r="Q174" s="263"/>
      <c r="R174" s="263"/>
      <c r="S174" s="263"/>
      <c r="T174" s="263"/>
      <c r="U174" s="263"/>
      <c r="V174" s="263"/>
      <c r="W174" s="263"/>
      <c r="X174" s="263"/>
      <c r="Y174" s="263"/>
      <c r="Z174" s="263"/>
      <c r="AA174" s="263"/>
      <c r="AB174" s="263"/>
      <c r="AC174" s="263"/>
      <c r="AD174" s="263"/>
      <c r="AE174" s="263"/>
      <c r="AF174" s="263"/>
      <c r="AG174" s="263"/>
      <c r="AH174" s="263"/>
      <c r="AI174" s="263"/>
      <c r="AJ174" s="263"/>
      <c r="AK174" s="263"/>
      <c r="AL174" s="45"/>
      <c r="AM174" s="45"/>
      <c r="AN174" s="45"/>
      <c r="AO174" s="45"/>
      <c r="AP174" s="45"/>
      <c r="AQ174" s="45"/>
      <c r="AR174" s="45"/>
      <c r="AS174" s="45"/>
      <c r="AT174" s="45"/>
      <c r="AU174" s="45"/>
    </row>
    <row r="175" ht="15.75" customHeight="1">
      <c r="A175" s="263"/>
      <c r="B175" s="263"/>
      <c r="C175" s="263"/>
      <c r="D175" s="263"/>
      <c r="E175" s="263"/>
      <c r="F175" s="263"/>
      <c r="G175" s="263"/>
      <c r="H175" s="263"/>
      <c r="I175" s="263"/>
      <c r="J175" s="263"/>
      <c r="K175" s="263"/>
      <c r="L175" s="263"/>
      <c r="M175" s="263"/>
      <c r="N175" s="263"/>
      <c r="O175" s="263"/>
      <c r="P175" s="263"/>
      <c r="Q175" s="263"/>
      <c r="R175" s="263"/>
      <c r="S175" s="263"/>
      <c r="T175" s="263"/>
      <c r="U175" s="263"/>
      <c r="V175" s="263"/>
      <c r="W175" s="263"/>
      <c r="X175" s="263"/>
      <c r="Y175" s="263"/>
      <c r="Z175" s="263"/>
      <c r="AA175" s="263"/>
      <c r="AB175" s="263"/>
      <c r="AC175" s="263"/>
      <c r="AD175" s="263"/>
      <c r="AE175" s="263"/>
      <c r="AF175" s="263"/>
      <c r="AG175" s="263"/>
      <c r="AH175" s="263"/>
      <c r="AI175" s="263"/>
      <c r="AJ175" s="263"/>
      <c r="AK175" s="263"/>
      <c r="AL175" s="45"/>
      <c r="AM175" s="45"/>
      <c r="AN175" s="45"/>
      <c r="AO175" s="45"/>
      <c r="AP175" s="45"/>
      <c r="AQ175" s="45"/>
      <c r="AR175" s="45"/>
      <c r="AS175" s="45"/>
      <c r="AT175" s="45"/>
      <c r="AU175" s="45"/>
    </row>
    <row r="176" ht="15.75" customHeight="1">
      <c r="A176" s="263"/>
      <c r="B176" s="263"/>
      <c r="C176" s="263"/>
      <c r="D176" s="263"/>
      <c r="E176" s="263"/>
      <c r="F176" s="263"/>
      <c r="G176" s="263"/>
      <c r="H176" s="263"/>
      <c r="I176" s="263"/>
      <c r="J176" s="263"/>
      <c r="K176" s="263"/>
      <c r="L176" s="263"/>
      <c r="M176" s="263"/>
      <c r="N176" s="263"/>
      <c r="O176" s="263"/>
      <c r="P176" s="263"/>
      <c r="Q176" s="263"/>
      <c r="R176" s="263"/>
      <c r="S176" s="263"/>
      <c r="T176" s="263"/>
      <c r="U176" s="263"/>
      <c r="V176" s="263"/>
      <c r="W176" s="263"/>
      <c r="X176" s="263"/>
      <c r="Y176" s="263"/>
      <c r="Z176" s="263"/>
      <c r="AA176" s="263"/>
      <c r="AB176" s="263"/>
      <c r="AC176" s="263"/>
      <c r="AD176" s="263"/>
      <c r="AE176" s="263"/>
      <c r="AF176" s="263"/>
      <c r="AG176" s="263"/>
      <c r="AH176" s="263"/>
      <c r="AI176" s="263"/>
      <c r="AJ176" s="263"/>
      <c r="AK176" s="263"/>
      <c r="AL176" s="45"/>
      <c r="AM176" s="45"/>
      <c r="AN176" s="45"/>
      <c r="AO176" s="45"/>
      <c r="AP176" s="45"/>
      <c r="AQ176" s="45"/>
      <c r="AR176" s="45"/>
      <c r="AS176" s="45"/>
      <c r="AT176" s="45"/>
      <c r="AU176" s="45"/>
    </row>
    <row r="177" ht="15.75" customHeight="1">
      <c r="A177" s="263"/>
      <c r="B177" s="263"/>
      <c r="C177" s="263"/>
      <c r="D177" s="263"/>
      <c r="E177" s="263"/>
      <c r="F177" s="263"/>
      <c r="G177" s="263"/>
      <c r="H177" s="263"/>
      <c r="I177" s="263"/>
      <c r="J177" s="263"/>
      <c r="K177" s="263"/>
      <c r="L177" s="263"/>
      <c r="M177" s="263"/>
      <c r="N177" s="263"/>
      <c r="O177" s="263"/>
      <c r="P177" s="263"/>
      <c r="Q177" s="263"/>
      <c r="R177" s="263"/>
      <c r="S177" s="263"/>
      <c r="T177" s="263"/>
      <c r="U177" s="263"/>
      <c r="V177" s="263"/>
      <c r="W177" s="263"/>
      <c r="X177" s="263"/>
      <c r="Y177" s="263"/>
      <c r="Z177" s="263"/>
      <c r="AA177" s="263"/>
      <c r="AB177" s="263"/>
      <c r="AC177" s="263"/>
      <c r="AD177" s="263"/>
      <c r="AE177" s="263"/>
      <c r="AF177" s="263"/>
      <c r="AG177" s="263"/>
      <c r="AH177" s="263"/>
      <c r="AI177" s="263"/>
      <c r="AJ177" s="263"/>
      <c r="AK177" s="263"/>
      <c r="AL177" s="45"/>
      <c r="AM177" s="45"/>
      <c r="AN177" s="45"/>
      <c r="AO177" s="45"/>
      <c r="AP177" s="45"/>
      <c r="AQ177" s="45"/>
      <c r="AR177" s="45"/>
      <c r="AS177" s="45"/>
      <c r="AT177" s="45"/>
      <c r="AU177" s="45"/>
    </row>
    <row r="178" ht="15.75" customHeight="1">
      <c r="A178" s="263"/>
      <c r="B178" s="263"/>
      <c r="C178" s="263"/>
      <c r="D178" s="263"/>
      <c r="E178" s="263"/>
      <c r="F178" s="263"/>
      <c r="G178" s="263"/>
      <c r="H178" s="263"/>
      <c r="I178" s="263"/>
      <c r="J178" s="263"/>
      <c r="K178" s="263"/>
      <c r="L178" s="263"/>
      <c r="M178" s="263"/>
      <c r="N178" s="263"/>
      <c r="O178" s="263"/>
      <c r="P178" s="263"/>
      <c r="Q178" s="263"/>
      <c r="R178" s="263"/>
      <c r="S178" s="263"/>
      <c r="T178" s="263"/>
      <c r="U178" s="263"/>
      <c r="V178" s="263"/>
      <c r="W178" s="263"/>
      <c r="X178" s="263"/>
      <c r="Y178" s="263"/>
      <c r="Z178" s="263"/>
      <c r="AA178" s="263"/>
      <c r="AB178" s="263"/>
      <c r="AC178" s="263"/>
      <c r="AD178" s="263"/>
      <c r="AE178" s="263"/>
      <c r="AF178" s="263"/>
      <c r="AG178" s="263"/>
      <c r="AH178" s="263"/>
      <c r="AI178" s="263"/>
      <c r="AJ178" s="263"/>
      <c r="AK178" s="263"/>
      <c r="AL178" s="45"/>
      <c r="AM178" s="45"/>
      <c r="AN178" s="45"/>
      <c r="AO178" s="45"/>
      <c r="AP178" s="45"/>
      <c r="AQ178" s="45"/>
      <c r="AR178" s="45"/>
      <c r="AS178" s="45"/>
      <c r="AT178" s="45"/>
      <c r="AU178" s="45"/>
    </row>
    <row r="179" ht="15.75" customHeight="1">
      <c r="A179" s="263"/>
      <c r="B179" s="263"/>
      <c r="C179" s="263"/>
      <c r="D179" s="263"/>
      <c r="E179" s="263"/>
      <c r="F179" s="263"/>
      <c r="G179" s="263"/>
      <c r="H179" s="263"/>
      <c r="I179" s="263"/>
      <c r="J179" s="263"/>
      <c r="K179" s="263"/>
      <c r="L179" s="263"/>
      <c r="M179" s="263"/>
      <c r="N179" s="263"/>
      <c r="O179" s="263"/>
      <c r="P179" s="263"/>
      <c r="Q179" s="263"/>
      <c r="R179" s="263"/>
      <c r="S179" s="263"/>
      <c r="T179" s="263"/>
      <c r="U179" s="263"/>
      <c r="V179" s="263"/>
      <c r="W179" s="263"/>
      <c r="X179" s="263"/>
      <c r="Y179" s="263"/>
      <c r="Z179" s="263"/>
      <c r="AA179" s="263"/>
      <c r="AB179" s="263"/>
      <c r="AC179" s="263"/>
      <c r="AD179" s="263"/>
      <c r="AE179" s="263"/>
      <c r="AF179" s="263"/>
      <c r="AG179" s="263"/>
      <c r="AH179" s="263"/>
      <c r="AI179" s="263"/>
      <c r="AJ179" s="263"/>
      <c r="AK179" s="263"/>
      <c r="AL179" s="45"/>
      <c r="AM179" s="45"/>
      <c r="AN179" s="45"/>
      <c r="AO179" s="45"/>
      <c r="AP179" s="45"/>
      <c r="AQ179" s="45"/>
      <c r="AR179" s="45"/>
      <c r="AS179" s="45"/>
      <c r="AT179" s="45"/>
      <c r="AU179" s="45"/>
    </row>
    <row r="180" ht="15.75" customHeight="1">
      <c r="A180" s="263"/>
      <c r="B180" s="263"/>
      <c r="C180" s="263"/>
      <c r="D180" s="263"/>
      <c r="E180" s="263"/>
      <c r="F180" s="263"/>
      <c r="G180" s="263"/>
      <c r="H180" s="263"/>
      <c r="I180" s="263"/>
      <c r="J180" s="263"/>
      <c r="K180" s="263"/>
      <c r="L180" s="263"/>
      <c r="M180" s="263"/>
      <c r="N180" s="263"/>
      <c r="O180" s="263"/>
      <c r="P180" s="263"/>
      <c r="Q180" s="263"/>
      <c r="R180" s="263"/>
      <c r="S180" s="263"/>
      <c r="T180" s="263"/>
      <c r="U180" s="263"/>
      <c r="V180" s="263"/>
      <c r="W180" s="263"/>
      <c r="X180" s="263"/>
      <c r="Y180" s="263"/>
      <c r="Z180" s="263"/>
      <c r="AA180" s="263"/>
      <c r="AB180" s="263"/>
      <c r="AC180" s="263"/>
      <c r="AD180" s="263"/>
      <c r="AE180" s="263"/>
      <c r="AF180" s="263"/>
      <c r="AG180" s="263"/>
      <c r="AH180" s="263"/>
      <c r="AI180" s="263"/>
      <c r="AJ180" s="263"/>
      <c r="AK180" s="263"/>
      <c r="AL180" s="45"/>
      <c r="AM180" s="45"/>
      <c r="AN180" s="45"/>
      <c r="AO180" s="45"/>
      <c r="AP180" s="45"/>
      <c r="AQ180" s="45"/>
      <c r="AR180" s="45"/>
      <c r="AS180" s="45"/>
      <c r="AT180" s="45"/>
      <c r="AU180" s="45"/>
    </row>
    <row r="181" ht="15.75" customHeight="1">
      <c r="A181" s="263"/>
      <c r="B181" s="263"/>
      <c r="C181" s="263"/>
      <c r="D181" s="263"/>
      <c r="E181" s="263"/>
      <c r="F181" s="263"/>
      <c r="G181" s="263"/>
      <c r="H181" s="263"/>
      <c r="I181" s="263"/>
      <c r="J181" s="263"/>
      <c r="K181" s="263"/>
      <c r="L181" s="263"/>
      <c r="M181" s="263"/>
      <c r="N181" s="263"/>
      <c r="O181" s="263"/>
      <c r="P181" s="263"/>
      <c r="Q181" s="263"/>
      <c r="R181" s="263"/>
      <c r="S181" s="263"/>
      <c r="T181" s="263"/>
      <c r="U181" s="263"/>
      <c r="V181" s="263"/>
      <c r="W181" s="263"/>
      <c r="X181" s="263"/>
      <c r="Y181" s="263"/>
      <c r="Z181" s="263"/>
      <c r="AA181" s="263"/>
      <c r="AB181" s="263"/>
      <c r="AC181" s="263"/>
      <c r="AD181" s="263"/>
      <c r="AE181" s="263"/>
      <c r="AF181" s="263"/>
      <c r="AG181" s="263"/>
      <c r="AH181" s="263"/>
      <c r="AI181" s="263"/>
      <c r="AJ181" s="263"/>
      <c r="AK181" s="263"/>
      <c r="AL181" s="45"/>
      <c r="AM181" s="45"/>
      <c r="AN181" s="45"/>
      <c r="AO181" s="45"/>
      <c r="AP181" s="45"/>
      <c r="AQ181" s="45"/>
      <c r="AR181" s="45"/>
      <c r="AS181" s="45"/>
      <c r="AT181" s="45"/>
      <c r="AU181" s="45"/>
    </row>
    <row r="182" ht="15.75" customHeight="1">
      <c r="A182" s="263"/>
      <c r="B182" s="263"/>
      <c r="C182" s="263"/>
      <c r="D182" s="263"/>
      <c r="E182" s="263"/>
      <c r="F182" s="263"/>
      <c r="G182" s="263"/>
      <c r="H182" s="263"/>
      <c r="I182" s="263"/>
      <c r="J182" s="263"/>
      <c r="K182" s="263"/>
      <c r="L182" s="263"/>
      <c r="M182" s="263"/>
      <c r="N182" s="263"/>
      <c r="O182" s="263"/>
      <c r="P182" s="263"/>
      <c r="Q182" s="263"/>
      <c r="R182" s="263"/>
      <c r="S182" s="263"/>
      <c r="T182" s="263"/>
      <c r="U182" s="263"/>
      <c r="V182" s="263"/>
      <c r="W182" s="263"/>
      <c r="X182" s="263"/>
      <c r="Y182" s="263"/>
      <c r="Z182" s="263"/>
      <c r="AA182" s="263"/>
      <c r="AB182" s="263"/>
      <c r="AC182" s="263"/>
      <c r="AD182" s="263"/>
      <c r="AE182" s="263"/>
      <c r="AF182" s="263"/>
      <c r="AG182" s="263"/>
      <c r="AH182" s="263"/>
      <c r="AI182" s="263"/>
      <c r="AJ182" s="263"/>
      <c r="AK182" s="263"/>
      <c r="AL182" s="45"/>
      <c r="AM182" s="45"/>
      <c r="AN182" s="45"/>
      <c r="AO182" s="45"/>
      <c r="AP182" s="45"/>
      <c r="AQ182" s="45"/>
      <c r="AR182" s="45"/>
      <c r="AS182" s="45"/>
      <c r="AT182" s="45"/>
      <c r="AU182" s="45"/>
    </row>
    <row r="183" ht="15.75" customHeight="1">
      <c r="A183" s="263"/>
      <c r="B183" s="263"/>
      <c r="C183" s="263"/>
      <c r="D183" s="263"/>
      <c r="E183" s="263"/>
      <c r="F183" s="263"/>
      <c r="G183" s="263"/>
      <c r="H183" s="263"/>
      <c r="I183" s="263"/>
      <c r="J183" s="263"/>
      <c r="K183" s="263"/>
      <c r="L183" s="263"/>
      <c r="M183" s="263"/>
      <c r="N183" s="263"/>
      <c r="O183" s="263"/>
      <c r="P183" s="263"/>
      <c r="Q183" s="263"/>
      <c r="R183" s="263"/>
      <c r="S183" s="263"/>
      <c r="T183" s="263"/>
      <c r="U183" s="263"/>
      <c r="V183" s="263"/>
      <c r="W183" s="263"/>
      <c r="X183" s="263"/>
      <c r="Y183" s="263"/>
      <c r="Z183" s="263"/>
      <c r="AA183" s="263"/>
      <c r="AB183" s="263"/>
      <c r="AC183" s="263"/>
      <c r="AD183" s="263"/>
      <c r="AE183" s="263"/>
      <c r="AF183" s="263"/>
      <c r="AG183" s="263"/>
      <c r="AH183" s="263"/>
      <c r="AI183" s="263"/>
      <c r="AJ183" s="263"/>
      <c r="AK183" s="263"/>
      <c r="AL183" s="45"/>
      <c r="AM183" s="45"/>
      <c r="AN183" s="45"/>
      <c r="AO183" s="45"/>
      <c r="AP183" s="45"/>
      <c r="AQ183" s="45"/>
      <c r="AR183" s="45"/>
      <c r="AS183" s="45"/>
      <c r="AT183" s="45"/>
      <c r="AU183" s="45"/>
    </row>
    <row r="184" ht="15.75" customHeight="1">
      <c r="A184" s="263"/>
      <c r="B184" s="263"/>
      <c r="C184" s="263"/>
      <c r="D184" s="263"/>
      <c r="E184" s="263"/>
      <c r="F184" s="263"/>
      <c r="G184" s="263"/>
      <c r="H184" s="263"/>
      <c r="I184" s="263"/>
      <c r="J184" s="263"/>
      <c r="K184" s="263"/>
      <c r="L184" s="263"/>
      <c r="M184" s="263"/>
      <c r="N184" s="263"/>
      <c r="O184" s="263"/>
      <c r="P184" s="263"/>
      <c r="Q184" s="263"/>
      <c r="R184" s="263"/>
      <c r="S184" s="263"/>
      <c r="T184" s="263"/>
      <c r="U184" s="263"/>
      <c r="V184" s="263"/>
      <c r="W184" s="263"/>
      <c r="X184" s="263"/>
      <c r="Y184" s="263"/>
      <c r="Z184" s="263"/>
      <c r="AA184" s="263"/>
      <c r="AB184" s="263"/>
      <c r="AC184" s="263"/>
      <c r="AD184" s="263"/>
      <c r="AE184" s="263"/>
      <c r="AF184" s="263"/>
      <c r="AG184" s="263"/>
      <c r="AH184" s="263"/>
      <c r="AI184" s="263"/>
      <c r="AJ184" s="263"/>
      <c r="AK184" s="263"/>
      <c r="AL184" s="45"/>
      <c r="AM184" s="45"/>
      <c r="AN184" s="45"/>
      <c r="AO184" s="45"/>
      <c r="AP184" s="45"/>
      <c r="AQ184" s="45"/>
      <c r="AR184" s="45"/>
      <c r="AS184" s="45"/>
      <c r="AT184" s="45"/>
      <c r="AU184" s="45"/>
    </row>
    <row r="185" ht="15.75" customHeight="1">
      <c r="A185" s="263"/>
      <c r="B185" s="263"/>
      <c r="C185" s="263"/>
      <c r="D185" s="263"/>
      <c r="E185" s="263"/>
      <c r="F185" s="263"/>
      <c r="G185" s="263"/>
      <c r="H185" s="263"/>
      <c r="I185" s="263"/>
      <c r="J185" s="263"/>
      <c r="K185" s="263"/>
      <c r="L185" s="263"/>
      <c r="M185" s="263"/>
      <c r="N185" s="263"/>
      <c r="O185" s="263"/>
      <c r="P185" s="263"/>
      <c r="Q185" s="263"/>
      <c r="R185" s="263"/>
      <c r="S185" s="263"/>
      <c r="T185" s="263"/>
      <c r="U185" s="263"/>
      <c r="V185" s="263"/>
      <c r="W185" s="263"/>
      <c r="X185" s="263"/>
      <c r="Y185" s="263"/>
      <c r="Z185" s="263"/>
      <c r="AA185" s="263"/>
      <c r="AB185" s="263"/>
      <c r="AC185" s="263"/>
      <c r="AD185" s="263"/>
      <c r="AE185" s="263"/>
      <c r="AF185" s="263"/>
      <c r="AG185" s="263"/>
      <c r="AH185" s="263"/>
      <c r="AI185" s="263"/>
      <c r="AJ185" s="263"/>
      <c r="AK185" s="263"/>
      <c r="AL185" s="45"/>
      <c r="AM185" s="45"/>
      <c r="AN185" s="45"/>
      <c r="AO185" s="45"/>
      <c r="AP185" s="45"/>
      <c r="AQ185" s="45"/>
      <c r="AR185" s="45"/>
      <c r="AS185" s="45"/>
      <c r="AT185" s="45"/>
      <c r="AU185" s="45"/>
    </row>
    <row r="186" ht="15.75" customHeight="1">
      <c r="A186" s="263"/>
      <c r="B186" s="263"/>
      <c r="C186" s="263"/>
      <c r="D186" s="263"/>
      <c r="E186" s="263"/>
      <c r="F186" s="263"/>
      <c r="G186" s="263"/>
      <c r="H186" s="263"/>
      <c r="I186" s="263"/>
      <c r="J186" s="263"/>
      <c r="K186" s="263"/>
      <c r="L186" s="263"/>
      <c r="M186" s="263"/>
      <c r="N186" s="263"/>
      <c r="O186" s="263"/>
      <c r="P186" s="263"/>
      <c r="Q186" s="263"/>
      <c r="R186" s="263"/>
      <c r="S186" s="263"/>
      <c r="T186" s="263"/>
      <c r="U186" s="263"/>
      <c r="V186" s="263"/>
      <c r="W186" s="263"/>
      <c r="X186" s="263"/>
      <c r="Y186" s="263"/>
      <c r="Z186" s="263"/>
      <c r="AA186" s="263"/>
      <c r="AB186" s="263"/>
      <c r="AC186" s="263"/>
      <c r="AD186" s="263"/>
      <c r="AE186" s="263"/>
      <c r="AF186" s="263"/>
      <c r="AG186" s="263"/>
      <c r="AH186" s="263"/>
      <c r="AI186" s="263"/>
      <c r="AJ186" s="263"/>
      <c r="AK186" s="263"/>
      <c r="AL186" s="45"/>
      <c r="AM186" s="45"/>
      <c r="AN186" s="45"/>
      <c r="AO186" s="45"/>
      <c r="AP186" s="45"/>
      <c r="AQ186" s="45"/>
      <c r="AR186" s="45"/>
      <c r="AS186" s="45"/>
      <c r="AT186" s="45"/>
      <c r="AU186" s="45"/>
    </row>
    <row r="187" ht="15.75" customHeight="1">
      <c r="A187" s="263"/>
      <c r="B187" s="263"/>
      <c r="C187" s="263"/>
      <c r="D187" s="263"/>
      <c r="E187" s="263"/>
      <c r="F187" s="263"/>
      <c r="G187" s="263"/>
      <c r="H187" s="263"/>
      <c r="I187" s="263"/>
      <c r="J187" s="263"/>
      <c r="K187" s="263"/>
      <c r="L187" s="263"/>
      <c r="M187" s="263"/>
      <c r="N187" s="263"/>
      <c r="O187" s="263"/>
      <c r="P187" s="263"/>
      <c r="Q187" s="263"/>
      <c r="R187" s="263"/>
      <c r="S187" s="263"/>
      <c r="T187" s="263"/>
      <c r="U187" s="263"/>
      <c r="V187" s="263"/>
      <c r="W187" s="263"/>
      <c r="X187" s="263"/>
      <c r="Y187" s="263"/>
      <c r="Z187" s="263"/>
      <c r="AA187" s="263"/>
      <c r="AB187" s="263"/>
      <c r="AC187" s="263"/>
      <c r="AD187" s="263"/>
      <c r="AE187" s="263"/>
      <c r="AF187" s="263"/>
      <c r="AG187" s="263"/>
      <c r="AH187" s="263"/>
      <c r="AI187" s="263"/>
      <c r="AJ187" s="263"/>
      <c r="AK187" s="263"/>
      <c r="AL187" s="45"/>
      <c r="AM187" s="45"/>
      <c r="AN187" s="45"/>
      <c r="AO187" s="45"/>
      <c r="AP187" s="45"/>
      <c r="AQ187" s="45"/>
      <c r="AR187" s="45"/>
      <c r="AS187" s="45"/>
      <c r="AT187" s="45"/>
      <c r="AU187" s="45"/>
    </row>
    <row r="188" ht="15.75" customHeight="1">
      <c r="A188" s="263"/>
      <c r="B188" s="263"/>
      <c r="C188" s="263"/>
      <c r="D188" s="263"/>
      <c r="E188" s="263"/>
      <c r="F188" s="263"/>
      <c r="G188" s="263"/>
      <c r="H188" s="263"/>
      <c r="I188" s="263"/>
      <c r="J188" s="263"/>
      <c r="K188" s="263"/>
      <c r="L188" s="263"/>
      <c r="M188" s="263"/>
      <c r="N188" s="263"/>
      <c r="O188" s="263"/>
      <c r="P188" s="263"/>
      <c r="Q188" s="263"/>
      <c r="R188" s="263"/>
      <c r="S188" s="263"/>
      <c r="T188" s="263"/>
      <c r="U188" s="263"/>
      <c r="V188" s="263"/>
      <c r="W188" s="263"/>
      <c r="X188" s="263"/>
      <c r="Y188" s="263"/>
      <c r="Z188" s="263"/>
      <c r="AA188" s="263"/>
      <c r="AB188" s="263"/>
      <c r="AC188" s="263"/>
      <c r="AD188" s="263"/>
      <c r="AE188" s="263"/>
      <c r="AF188" s="263"/>
      <c r="AG188" s="263"/>
      <c r="AH188" s="263"/>
      <c r="AI188" s="263"/>
      <c r="AJ188" s="263"/>
      <c r="AK188" s="263"/>
      <c r="AL188" s="45"/>
      <c r="AM188" s="45"/>
      <c r="AN188" s="45"/>
      <c r="AO188" s="45"/>
      <c r="AP188" s="45"/>
      <c r="AQ188" s="45"/>
      <c r="AR188" s="45"/>
      <c r="AS188" s="45"/>
      <c r="AT188" s="45"/>
      <c r="AU188" s="45"/>
    </row>
    <row r="189" ht="15.75" customHeight="1">
      <c r="A189" s="263"/>
      <c r="B189" s="263"/>
      <c r="C189" s="263"/>
      <c r="D189" s="263"/>
      <c r="E189" s="263"/>
      <c r="F189" s="263"/>
      <c r="G189" s="263"/>
      <c r="H189" s="263"/>
      <c r="I189" s="263"/>
      <c r="J189" s="263"/>
      <c r="K189" s="263"/>
      <c r="L189" s="263"/>
      <c r="M189" s="263"/>
      <c r="N189" s="263"/>
      <c r="O189" s="263"/>
      <c r="P189" s="263"/>
      <c r="Q189" s="263"/>
      <c r="R189" s="263"/>
      <c r="S189" s="263"/>
      <c r="T189" s="263"/>
      <c r="U189" s="263"/>
      <c r="V189" s="263"/>
      <c r="W189" s="263"/>
      <c r="X189" s="263"/>
      <c r="Y189" s="263"/>
      <c r="Z189" s="263"/>
      <c r="AA189" s="263"/>
      <c r="AB189" s="263"/>
      <c r="AC189" s="263"/>
      <c r="AD189" s="263"/>
      <c r="AE189" s="263"/>
      <c r="AF189" s="263"/>
      <c r="AG189" s="263"/>
      <c r="AH189" s="263"/>
      <c r="AI189" s="263"/>
      <c r="AJ189" s="263"/>
      <c r="AK189" s="263"/>
      <c r="AL189" s="45"/>
      <c r="AM189" s="45"/>
      <c r="AN189" s="45"/>
      <c r="AO189" s="45"/>
      <c r="AP189" s="45"/>
      <c r="AQ189" s="45"/>
      <c r="AR189" s="45"/>
      <c r="AS189" s="45"/>
      <c r="AT189" s="45"/>
      <c r="AU189" s="45"/>
    </row>
    <row r="190" ht="15.75" customHeight="1">
      <c r="A190" s="263"/>
      <c r="B190" s="263"/>
      <c r="C190" s="263"/>
      <c r="D190" s="263"/>
      <c r="E190" s="263"/>
      <c r="F190" s="263"/>
      <c r="G190" s="263"/>
      <c r="H190" s="263"/>
      <c r="I190" s="263"/>
      <c r="J190" s="263"/>
      <c r="K190" s="263"/>
      <c r="L190" s="263"/>
      <c r="M190" s="263"/>
      <c r="N190" s="263"/>
      <c r="O190" s="263"/>
      <c r="P190" s="263"/>
      <c r="Q190" s="263"/>
      <c r="R190" s="263"/>
      <c r="S190" s="263"/>
      <c r="T190" s="263"/>
      <c r="U190" s="263"/>
      <c r="V190" s="263"/>
      <c r="W190" s="263"/>
      <c r="X190" s="263"/>
      <c r="Y190" s="263"/>
      <c r="Z190" s="263"/>
      <c r="AA190" s="263"/>
      <c r="AB190" s="263"/>
      <c r="AC190" s="263"/>
      <c r="AD190" s="263"/>
      <c r="AE190" s="263"/>
      <c r="AF190" s="263"/>
      <c r="AG190" s="263"/>
      <c r="AH190" s="263"/>
      <c r="AI190" s="263"/>
      <c r="AJ190" s="263"/>
      <c r="AK190" s="263"/>
      <c r="AL190" s="45"/>
      <c r="AM190" s="45"/>
      <c r="AN190" s="45"/>
      <c r="AO190" s="45"/>
      <c r="AP190" s="45"/>
      <c r="AQ190" s="45"/>
      <c r="AR190" s="45"/>
      <c r="AS190" s="45"/>
      <c r="AT190" s="45"/>
      <c r="AU190" s="45"/>
    </row>
    <row r="191" ht="15.75" customHeight="1">
      <c r="A191" s="263"/>
      <c r="B191" s="263"/>
      <c r="C191" s="263"/>
      <c r="D191" s="263"/>
      <c r="E191" s="263"/>
      <c r="F191" s="263"/>
      <c r="G191" s="263"/>
      <c r="H191" s="263"/>
      <c r="I191" s="263"/>
      <c r="J191" s="263"/>
      <c r="K191" s="263"/>
      <c r="L191" s="263"/>
      <c r="M191" s="263"/>
      <c r="N191" s="263"/>
      <c r="O191" s="263"/>
      <c r="P191" s="263"/>
      <c r="Q191" s="263"/>
      <c r="R191" s="263"/>
      <c r="S191" s="263"/>
      <c r="T191" s="263"/>
      <c r="U191" s="263"/>
      <c r="V191" s="263"/>
      <c r="W191" s="263"/>
      <c r="X191" s="263"/>
      <c r="Y191" s="263"/>
      <c r="Z191" s="263"/>
      <c r="AA191" s="263"/>
      <c r="AB191" s="263"/>
      <c r="AC191" s="263"/>
      <c r="AD191" s="263"/>
      <c r="AE191" s="263"/>
      <c r="AF191" s="263"/>
      <c r="AG191" s="263"/>
      <c r="AH191" s="263"/>
      <c r="AI191" s="263"/>
      <c r="AJ191" s="263"/>
      <c r="AK191" s="263"/>
      <c r="AL191" s="45"/>
      <c r="AM191" s="45"/>
      <c r="AN191" s="45"/>
      <c r="AO191" s="45"/>
      <c r="AP191" s="45"/>
      <c r="AQ191" s="45"/>
      <c r="AR191" s="45"/>
      <c r="AS191" s="45"/>
      <c r="AT191" s="45"/>
      <c r="AU191" s="45"/>
    </row>
    <row r="192" ht="15.75" customHeight="1">
      <c r="A192" s="263"/>
      <c r="B192" s="263"/>
      <c r="C192" s="263"/>
      <c r="D192" s="263"/>
      <c r="E192" s="263"/>
      <c r="F192" s="263"/>
      <c r="G192" s="263"/>
      <c r="H192" s="263"/>
      <c r="I192" s="263"/>
      <c r="J192" s="263"/>
      <c r="K192" s="263"/>
      <c r="L192" s="263"/>
      <c r="M192" s="263"/>
      <c r="N192" s="263"/>
      <c r="O192" s="263"/>
      <c r="P192" s="263"/>
      <c r="Q192" s="263"/>
      <c r="R192" s="263"/>
      <c r="S192" s="263"/>
      <c r="T192" s="263"/>
      <c r="U192" s="263"/>
      <c r="V192" s="263"/>
      <c r="W192" s="263"/>
      <c r="X192" s="263"/>
      <c r="Y192" s="263"/>
      <c r="Z192" s="263"/>
      <c r="AA192" s="263"/>
      <c r="AB192" s="263"/>
      <c r="AC192" s="263"/>
      <c r="AD192" s="263"/>
      <c r="AE192" s="263"/>
      <c r="AF192" s="263"/>
      <c r="AG192" s="263"/>
      <c r="AH192" s="263"/>
      <c r="AI192" s="263"/>
      <c r="AJ192" s="263"/>
      <c r="AK192" s="263"/>
      <c r="AL192" s="45"/>
      <c r="AM192" s="45"/>
      <c r="AN192" s="45"/>
      <c r="AO192" s="45"/>
      <c r="AP192" s="45"/>
      <c r="AQ192" s="45"/>
      <c r="AR192" s="45"/>
      <c r="AS192" s="45"/>
      <c r="AT192" s="45"/>
      <c r="AU192" s="45"/>
    </row>
    <row r="193" ht="15.75" customHeight="1">
      <c r="A193" s="263"/>
      <c r="B193" s="263"/>
      <c r="C193" s="263"/>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c r="AA193" s="263"/>
      <c r="AB193" s="263"/>
      <c r="AC193" s="263"/>
      <c r="AD193" s="263"/>
      <c r="AE193" s="263"/>
      <c r="AF193" s="263"/>
      <c r="AG193" s="263"/>
      <c r="AH193" s="263"/>
      <c r="AI193" s="263"/>
      <c r="AJ193" s="263"/>
      <c r="AK193" s="263"/>
      <c r="AL193" s="45"/>
      <c r="AM193" s="45"/>
      <c r="AN193" s="45"/>
      <c r="AO193" s="45"/>
      <c r="AP193" s="45"/>
      <c r="AQ193" s="45"/>
      <c r="AR193" s="45"/>
      <c r="AS193" s="45"/>
      <c r="AT193" s="45"/>
      <c r="AU193" s="45"/>
    </row>
    <row r="194" ht="15.75" customHeight="1">
      <c r="A194" s="263"/>
      <c r="B194" s="263"/>
      <c r="C194" s="263"/>
      <c r="D194" s="263"/>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3"/>
      <c r="AA194" s="263"/>
      <c r="AB194" s="263"/>
      <c r="AC194" s="263"/>
      <c r="AD194" s="263"/>
      <c r="AE194" s="263"/>
      <c r="AF194" s="263"/>
      <c r="AG194" s="263"/>
      <c r="AH194" s="263"/>
      <c r="AI194" s="263"/>
      <c r="AJ194" s="263"/>
      <c r="AK194" s="263"/>
      <c r="AL194" s="45"/>
      <c r="AM194" s="45"/>
      <c r="AN194" s="45"/>
      <c r="AO194" s="45"/>
      <c r="AP194" s="45"/>
      <c r="AQ194" s="45"/>
      <c r="AR194" s="45"/>
      <c r="AS194" s="45"/>
      <c r="AT194" s="45"/>
      <c r="AU194" s="45"/>
    </row>
    <row r="195" ht="15.75" customHeight="1">
      <c r="A195" s="263"/>
      <c r="B195" s="263"/>
      <c r="C195" s="263"/>
      <c r="D195" s="263"/>
      <c r="E195" s="263"/>
      <c r="F195" s="263"/>
      <c r="G195" s="263"/>
      <c r="H195" s="263"/>
      <c r="I195" s="263"/>
      <c r="J195" s="263"/>
      <c r="K195" s="263"/>
      <c r="L195" s="263"/>
      <c r="M195" s="263"/>
      <c r="N195" s="263"/>
      <c r="O195" s="263"/>
      <c r="P195" s="263"/>
      <c r="Q195" s="263"/>
      <c r="R195" s="263"/>
      <c r="S195" s="263"/>
      <c r="T195" s="263"/>
      <c r="U195" s="263"/>
      <c r="V195" s="263"/>
      <c r="W195" s="263"/>
      <c r="X195" s="263"/>
      <c r="Y195" s="263"/>
      <c r="Z195" s="263"/>
      <c r="AA195" s="263"/>
      <c r="AB195" s="263"/>
      <c r="AC195" s="263"/>
      <c r="AD195" s="263"/>
      <c r="AE195" s="263"/>
      <c r="AF195" s="263"/>
      <c r="AG195" s="263"/>
      <c r="AH195" s="263"/>
      <c r="AI195" s="263"/>
      <c r="AJ195" s="263"/>
      <c r="AK195" s="263"/>
      <c r="AL195" s="45"/>
      <c r="AM195" s="45"/>
      <c r="AN195" s="45"/>
      <c r="AO195" s="45"/>
      <c r="AP195" s="45"/>
      <c r="AQ195" s="45"/>
      <c r="AR195" s="45"/>
      <c r="AS195" s="45"/>
      <c r="AT195" s="45"/>
      <c r="AU195" s="45"/>
    </row>
    <row r="196" ht="15.75" customHeight="1">
      <c r="A196" s="263"/>
      <c r="B196" s="263"/>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c r="AA196" s="263"/>
      <c r="AB196" s="263"/>
      <c r="AC196" s="263"/>
      <c r="AD196" s="263"/>
      <c r="AE196" s="263"/>
      <c r="AF196" s="263"/>
      <c r="AG196" s="263"/>
      <c r="AH196" s="263"/>
      <c r="AI196" s="263"/>
      <c r="AJ196" s="263"/>
      <c r="AK196" s="263"/>
      <c r="AL196" s="45"/>
      <c r="AM196" s="45"/>
      <c r="AN196" s="45"/>
      <c r="AO196" s="45"/>
      <c r="AP196" s="45"/>
      <c r="AQ196" s="45"/>
      <c r="AR196" s="45"/>
      <c r="AS196" s="45"/>
      <c r="AT196" s="45"/>
      <c r="AU196" s="45"/>
    </row>
    <row r="197" ht="15.75" customHeight="1">
      <c r="A197" s="263"/>
      <c r="B197" s="263"/>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3"/>
      <c r="AA197" s="263"/>
      <c r="AB197" s="263"/>
      <c r="AC197" s="263"/>
      <c r="AD197" s="263"/>
      <c r="AE197" s="263"/>
      <c r="AF197" s="263"/>
      <c r="AG197" s="263"/>
      <c r="AH197" s="263"/>
      <c r="AI197" s="263"/>
      <c r="AJ197" s="263"/>
      <c r="AK197" s="263"/>
      <c r="AL197" s="45"/>
      <c r="AM197" s="45"/>
      <c r="AN197" s="45"/>
      <c r="AO197" s="45"/>
      <c r="AP197" s="45"/>
      <c r="AQ197" s="45"/>
      <c r="AR197" s="45"/>
      <c r="AS197" s="45"/>
      <c r="AT197" s="45"/>
      <c r="AU197" s="45"/>
    </row>
    <row r="198" ht="15.75" customHeight="1">
      <c r="A198" s="263"/>
      <c r="B198" s="263"/>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3"/>
      <c r="AA198" s="263"/>
      <c r="AB198" s="263"/>
      <c r="AC198" s="263"/>
      <c r="AD198" s="263"/>
      <c r="AE198" s="263"/>
      <c r="AF198" s="263"/>
      <c r="AG198" s="263"/>
      <c r="AH198" s="263"/>
      <c r="AI198" s="263"/>
      <c r="AJ198" s="263"/>
      <c r="AK198" s="263"/>
      <c r="AL198" s="45"/>
      <c r="AM198" s="45"/>
      <c r="AN198" s="45"/>
      <c r="AO198" s="45"/>
      <c r="AP198" s="45"/>
      <c r="AQ198" s="45"/>
      <c r="AR198" s="45"/>
      <c r="AS198" s="45"/>
      <c r="AT198" s="45"/>
      <c r="AU198" s="45"/>
    </row>
    <row r="199" ht="15.75" customHeight="1">
      <c r="A199" s="263"/>
      <c r="B199" s="263"/>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c r="AA199" s="263"/>
      <c r="AB199" s="263"/>
      <c r="AC199" s="263"/>
      <c r="AD199" s="263"/>
      <c r="AE199" s="263"/>
      <c r="AF199" s="263"/>
      <c r="AG199" s="263"/>
      <c r="AH199" s="263"/>
      <c r="AI199" s="263"/>
      <c r="AJ199" s="263"/>
      <c r="AK199" s="263"/>
      <c r="AL199" s="45"/>
      <c r="AM199" s="45"/>
      <c r="AN199" s="45"/>
      <c r="AO199" s="45"/>
      <c r="AP199" s="45"/>
      <c r="AQ199" s="45"/>
      <c r="AR199" s="45"/>
      <c r="AS199" s="45"/>
      <c r="AT199" s="45"/>
      <c r="AU199" s="45"/>
    </row>
    <row r="200" ht="15.75" customHeight="1">
      <c r="A200" s="263"/>
      <c r="B200" s="263"/>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3"/>
      <c r="AA200" s="263"/>
      <c r="AB200" s="263"/>
      <c r="AC200" s="263"/>
      <c r="AD200" s="263"/>
      <c r="AE200" s="263"/>
      <c r="AF200" s="263"/>
      <c r="AG200" s="263"/>
      <c r="AH200" s="263"/>
      <c r="AI200" s="263"/>
      <c r="AJ200" s="263"/>
      <c r="AK200" s="263"/>
      <c r="AL200" s="45"/>
      <c r="AM200" s="45"/>
      <c r="AN200" s="45"/>
      <c r="AO200" s="45"/>
      <c r="AP200" s="45"/>
      <c r="AQ200" s="45"/>
      <c r="AR200" s="45"/>
      <c r="AS200" s="45"/>
      <c r="AT200" s="45"/>
      <c r="AU200" s="45"/>
    </row>
    <row r="201" ht="15.75" customHeight="1">
      <c r="A201" s="263"/>
      <c r="B201" s="263"/>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c r="AA201" s="263"/>
      <c r="AB201" s="263"/>
      <c r="AC201" s="263"/>
      <c r="AD201" s="263"/>
      <c r="AE201" s="263"/>
      <c r="AF201" s="263"/>
      <c r="AG201" s="263"/>
      <c r="AH201" s="263"/>
      <c r="AI201" s="263"/>
      <c r="AJ201" s="263"/>
      <c r="AK201" s="263"/>
      <c r="AL201" s="45"/>
      <c r="AM201" s="45"/>
      <c r="AN201" s="45"/>
      <c r="AO201" s="45"/>
      <c r="AP201" s="45"/>
      <c r="AQ201" s="45"/>
      <c r="AR201" s="45"/>
      <c r="AS201" s="45"/>
      <c r="AT201" s="45"/>
      <c r="AU201" s="45"/>
    </row>
    <row r="202" ht="15.75" customHeight="1">
      <c r="A202" s="263"/>
      <c r="B202" s="263"/>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c r="AA202" s="263"/>
      <c r="AB202" s="263"/>
      <c r="AC202" s="263"/>
      <c r="AD202" s="263"/>
      <c r="AE202" s="263"/>
      <c r="AF202" s="263"/>
      <c r="AG202" s="263"/>
      <c r="AH202" s="263"/>
      <c r="AI202" s="263"/>
      <c r="AJ202" s="263"/>
      <c r="AK202" s="263"/>
      <c r="AL202" s="45"/>
      <c r="AM202" s="45"/>
      <c r="AN202" s="45"/>
      <c r="AO202" s="45"/>
      <c r="AP202" s="45"/>
      <c r="AQ202" s="45"/>
      <c r="AR202" s="45"/>
      <c r="AS202" s="45"/>
      <c r="AT202" s="45"/>
      <c r="AU202" s="45"/>
    </row>
    <row r="203" ht="15.75" customHeight="1">
      <c r="A203" s="263"/>
      <c r="B203" s="263"/>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3"/>
      <c r="AA203" s="263"/>
      <c r="AB203" s="263"/>
      <c r="AC203" s="263"/>
      <c r="AD203" s="263"/>
      <c r="AE203" s="263"/>
      <c r="AF203" s="263"/>
      <c r="AG203" s="263"/>
      <c r="AH203" s="263"/>
      <c r="AI203" s="263"/>
      <c r="AJ203" s="263"/>
      <c r="AK203" s="263"/>
      <c r="AL203" s="45"/>
      <c r="AM203" s="45"/>
      <c r="AN203" s="45"/>
      <c r="AO203" s="45"/>
      <c r="AP203" s="45"/>
      <c r="AQ203" s="45"/>
      <c r="AR203" s="45"/>
      <c r="AS203" s="45"/>
      <c r="AT203" s="45"/>
      <c r="AU203" s="45"/>
    </row>
    <row r="204" ht="15.75" customHeight="1">
      <c r="A204" s="263"/>
      <c r="B204" s="263"/>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c r="AA204" s="263"/>
      <c r="AB204" s="263"/>
      <c r="AC204" s="263"/>
      <c r="AD204" s="263"/>
      <c r="AE204" s="263"/>
      <c r="AF204" s="263"/>
      <c r="AG204" s="263"/>
      <c r="AH204" s="263"/>
      <c r="AI204" s="263"/>
      <c r="AJ204" s="263"/>
      <c r="AK204" s="263"/>
      <c r="AL204" s="45"/>
      <c r="AM204" s="45"/>
      <c r="AN204" s="45"/>
      <c r="AO204" s="45"/>
      <c r="AP204" s="45"/>
      <c r="AQ204" s="45"/>
      <c r="AR204" s="45"/>
      <c r="AS204" s="45"/>
      <c r="AT204" s="45"/>
      <c r="AU204" s="45"/>
    </row>
    <row r="205" ht="15.75" customHeight="1">
      <c r="A205" s="263"/>
      <c r="B205" s="263"/>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3"/>
      <c r="AA205" s="263"/>
      <c r="AB205" s="263"/>
      <c r="AC205" s="263"/>
      <c r="AD205" s="263"/>
      <c r="AE205" s="263"/>
      <c r="AF205" s="263"/>
      <c r="AG205" s="263"/>
      <c r="AH205" s="263"/>
      <c r="AI205" s="263"/>
      <c r="AJ205" s="263"/>
      <c r="AK205" s="263"/>
      <c r="AL205" s="45"/>
      <c r="AM205" s="45"/>
      <c r="AN205" s="45"/>
      <c r="AO205" s="45"/>
      <c r="AP205" s="45"/>
      <c r="AQ205" s="45"/>
      <c r="AR205" s="45"/>
      <c r="AS205" s="45"/>
      <c r="AT205" s="45"/>
      <c r="AU205" s="45"/>
    </row>
    <row r="206" ht="15.75" customHeight="1">
      <c r="A206" s="263"/>
      <c r="B206" s="263"/>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c r="AA206" s="263"/>
      <c r="AB206" s="263"/>
      <c r="AC206" s="263"/>
      <c r="AD206" s="263"/>
      <c r="AE206" s="263"/>
      <c r="AF206" s="263"/>
      <c r="AG206" s="263"/>
      <c r="AH206" s="263"/>
      <c r="AI206" s="263"/>
      <c r="AJ206" s="263"/>
      <c r="AK206" s="263"/>
      <c r="AL206" s="45"/>
      <c r="AM206" s="45"/>
      <c r="AN206" s="45"/>
      <c r="AO206" s="45"/>
      <c r="AP206" s="45"/>
      <c r="AQ206" s="45"/>
      <c r="AR206" s="45"/>
      <c r="AS206" s="45"/>
      <c r="AT206" s="45"/>
      <c r="AU206" s="45"/>
    </row>
    <row r="207" ht="15.75" customHeight="1">
      <c r="A207" s="263"/>
      <c r="B207" s="263"/>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3"/>
      <c r="AA207" s="263"/>
      <c r="AB207" s="263"/>
      <c r="AC207" s="263"/>
      <c r="AD207" s="263"/>
      <c r="AE207" s="263"/>
      <c r="AF207" s="263"/>
      <c r="AG207" s="263"/>
      <c r="AH207" s="263"/>
      <c r="AI207" s="263"/>
      <c r="AJ207" s="263"/>
      <c r="AK207" s="263"/>
      <c r="AL207" s="45"/>
      <c r="AM207" s="45"/>
      <c r="AN207" s="45"/>
      <c r="AO207" s="45"/>
      <c r="AP207" s="45"/>
      <c r="AQ207" s="45"/>
      <c r="AR207" s="45"/>
      <c r="AS207" s="45"/>
      <c r="AT207" s="45"/>
      <c r="AU207" s="45"/>
    </row>
    <row r="208" ht="15.75" customHeight="1">
      <c r="A208" s="263"/>
      <c r="B208" s="263"/>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3"/>
      <c r="AA208" s="263"/>
      <c r="AB208" s="263"/>
      <c r="AC208" s="263"/>
      <c r="AD208" s="263"/>
      <c r="AE208" s="263"/>
      <c r="AF208" s="263"/>
      <c r="AG208" s="263"/>
      <c r="AH208" s="263"/>
      <c r="AI208" s="263"/>
      <c r="AJ208" s="263"/>
      <c r="AK208" s="263"/>
      <c r="AL208" s="45"/>
      <c r="AM208" s="45"/>
      <c r="AN208" s="45"/>
      <c r="AO208" s="45"/>
      <c r="AP208" s="45"/>
      <c r="AQ208" s="45"/>
      <c r="AR208" s="45"/>
      <c r="AS208" s="45"/>
      <c r="AT208" s="45"/>
      <c r="AU208" s="45"/>
    </row>
    <row r="209" ht="15.75" customHeight="1">
      <c r="A209" s="263"/>
      <c r="B209" s="263"/>
      <c r="C209" s="263"/>
      <c r="D209" s="263"/>
      <c r="E209" s="263"/>
      <c r="F209" s="263"/>
      <c r="G209" s="263"/>
      <c r="H209" s="263"/>
      <c r="I209" s="263"/>
      <c r="J209" s="263"/>
      <c r="K209" s="263"/>
      <c r="L209" s="263"/>
      <c r="M209" s="263"/>
      <c r="N209" s="263"/>
      <c r="O209" s="263"/>
      <c r="P209" s="263"/>
      <c r="Q209" s="263"/>
      <c r="R209" s="263"/>
      <c r="S209" s="263"/>
      <c r="T209" s="263"/>
      <c r="U209" s="263"/>
      <c r="V209" s="263"/>
      <c r="W209" s="263"/>
      <c r="X209" s="263"/>
      <c r="Y209" s="263"/>
      <c r="Z209" s="263"/>
      <c r="AA209" s="263"/>
      <c r="AB209" s="263"/>
      <c r="AC209" s="263"/>
      <c r="AD209" s="263"/>
      <c r="AE209" s="263"/>
      <c r="AF209" s="263"/>
      <c r="AG209" s="263"/>
      <c r="AH209" s="263"/>
      <c r="AI209" s="263"/>
      <c r="AJ209" s="263"/>
      <c r="AK209" s="263"/>
      <c r="AL209" s="45"/>
      <c r="AM209" s="45"/>
      <c r="AN209" s="45"/>
      <c r="AO209" s="45"/>
      <c r="AP209" s="45"/>
      <c r="AQ209" s="45"/>
      <c r="AR209" s="45"/>
      <c r="AS209" s="45"/>
      <c r="AT209" s="45"/>
      <c r="AU209" s="45"/>
    </row>
    <row r="210" ht="15.75" customHeight="1">
      <c r="A210" s="263"/>
      <c r="B210" s="263"/>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3"/>
      <c r="AA210" s="263"/>
      <c r="AB210" s="263"/>
      <c r="AC210" s="263"/>
      <c r="AD210" s="263"/>
      <c r="AE210" s="263"/>
      <c r="AF210" s="263"/>
      <c r="AG210" s="263"/>
      <c r="AH210" s="263"/>
      <c r="AI210" s="263"/>
      <c r="AJ210" s="263"/>
      <c r="AK210" s="263"/>
      <c r="AL210" s="45"/>
      <c r="AM210" s="45"/>
      <c r="AN210" s="45"/>
      <c r="AO210" s="45"/>
      <c r="AP210" s="45"/>
      <c r="AQ210" s="45"/>
      <c r="AR210" s="45"/>
      <c r="AS210" s="45"/>
      <c r="AT210" s="45"/>
      <c r="AU210" s="45"/>
    </row>
    <row r="211" ht="15.75" customHeight="1">
      <c r="A211" s="263"/>
      <c r="B211" s="263"/>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3"/>
      <c r="AA211" s="263"/>
      <c r="AB211" s="263"/>
      <c r="AC211" s="263"/>
      <c r="AD211" s="263"/>
      <c r="AE211" s="263"/>
      <c r="AF211" s="263"/>
      <c r="AG211" s="263"/>
      <c r="AH211" s="263"/>
      <c r="AI211" s="263"/>
      <c r="AJ211" s="263"/>
      <c r="AK211" s="263"/>
      <c r="AL211" s="45"/>
      <c r="AM211" s="45"/>
      <c r="AN211" s="45"/>
      <c r="AO211" s="45"/>
      <c r="AP211" s="45"/>
      <c r="AQ211" s="45"/>
      <c r="AR211" s="45"/>
      <c r="AS211" s="45"/>
      <c r="AT211" s="45"/>
      <c r="AU211" s="45"/>
    </row>
    <row r="212" ht="15.75" customHeight="1">
      <c r="A212" s="263"/>
      <c r="B212" s="263"/>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3"/>
      <c r="AA212" s="263"/>
      <c r="AB212" s="263"/>
      <c r="AC212" s="263"/>
      <c r="AD212" s="263"/>
      <c r="AE212" s="263"/>
      <c r="AF212" s="263"/>
      <c r="AG212" s="263"/>
      <c r="AH212" s="263"/>
      <c r="AI212" s="263"/>
      <c r="AJ212" s="263"/>
      <c r="AK212" s="263"/>
      <c r="AL212" s="45"/>
      <c r="AM212" s="45"/>
      <c r="AN212" s="45"/>
      <c r="AO212" s="45"/>
      <c r="AP212" s="45"/>
      <c r="AQ212" s="45"/>
      <c r="AR212" s="45"/>
      <c r="AS212" s="45"/>
      <c r="AT212" s="45"/>
      <c r="AU212" s="45"/>
    </row>
    <row r="213" ht="15.75" customHeight="1">
      <c r="A213" s="263"/>
      <c r="B213" s="26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c r="AA213" s="263"/>
      <c r="AB213" s="263"/>
      <c r="AC213" s="263"/>
      <c r="AD213" s="263"/>
      <c r="AE213" s="263"/>
      <c r="AF213" s="263"/>
      <c r="AG213" s="263"/>
      <c r="AH213" s="263"/>
      <c r="AI213" s="263"/>
      <c r="AJ213" s="263"/>
      <c r="AK213" s="263"/>
      <c r="AL213" s="45"/>
      <c r="AM213" s="45"/>
      <c r="AN213" s="45"/>
      <c r="AO213" s="45"/>
      <c r="AP213" s="45"/>
      <c r="AQ213" s="45"/>
      <c r="AR213" s="45"/>
      <c r="AS213" s="45"/>
      <c r="AT213" s="45"/>
      <c r="AU213" s="45"/>
    </row>
    <row r="214" ht="15.75" customHeight="1">
      <c r="A214" s="263"/>
      <c r="B214" s="263"/>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3"/>
      <c r="AA214" s="263"/>
      <c r="AB214" s="263"/>
      <c r="AC214" s="263"/>
      <c r="AD214" s="263"/>
      <c r="AE214" s="263"/>
      <c r="AF214" s="263"/>
      <c r="AG214" s="263"/>
      <c r="AH214" s="263"/>
      <c r="AI214" s="263"/>
      <c r="AJ214" s="263"/>
      <c r="AK214" s="263"/>
      <c r="AL214" s="45"/>
      <c r="AM214" s="45"/>
      <c r="AN214" s="45"/>
      <c r="AO214" s="45"/>
      <c r="AP214" s="45"/>
      <c r="AQ214" s="45"/>
      <c r="AR214" s="45"/>
      <c r="AS214" s="45"/>
      <c r="AT214" s="45"/>
      <c r="AU214" s="45"/>
    </row>
    <row r="215" ht="15.75" customHeight="1">
      <c r="A215" s="263"/>
      <c r="B215" s="263"/>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3"/>
      <c r="AA215" s="263"/>
      <c r="AB215" s="263"/>
      <c r="AC215" s="263"/>
      <c r="AD215" s="263"/>
      <c r="AE215" s="263"/>
      <c r="AF215" s="263"/>
      <c r="AG215" s="263"/>
      <c r="AH215" s="263"/>
      <c r="AI215" s="263"/>
      <c r="AJ215" s="263"/>
      <c r="AK215" s="263"/>
      <c r="AL215" s="45"/>
      <c r="AM215" s="45"/>
      <c r="AN215" s="45"/>
      <c r="AO215" s="45"/>
      <c r="AP215" s="45"/>
      <c r="AQ215" s="45"/>
      <c r="AR215" s="45"/>
      <c r="AS215" s="45"/>
      <c r="AT215" s="45"/>
      <c r="AU215" s="45"/>
    </row>
    <row r="216" ht="15.75" customHeight="1">
      <c r="A216" s="263"/>
      <c r="B216" s="263"/>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3"/>
      <c r="AA216" s="263"/>
      <c r="AB216" s="263"/>
      <c r="AC216" s="263"/>
      <c r="AD216" s="263"/>
      <c r="AE216" s="263"/>
      <c r="AF216" s="263"/>
      <c r="AG216" s="263"/>
      <c r="AH216" s="263"/>
      <c r="AI216" s="263"/>
      <c r="AJ216" s="263"/>
      <c r="AK216" s="263"/>
      <c r="AL216" s="45"/>
      <c r="AM216" s="45"/>
      <c r="AN216" s="45"/>
      <c r="AO216" s="45"/>
      <c r="AP216" s="45"/>
      <c r="AQ216" s="45"/>
      <c r="AR216" s="45"/>
      <c r="AS216" s="45"/>
      <c r="AT216" s="45"/>
      <c r="AU216" s="45"/>
    </row>
    <row r="217" ht="15.75" customHeight="1">
      <c r="A217" s="263"/>
      <c r="B217" s="26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c r="AA217" s="263"/>
      <c r="AB217" s="263"/>
      <c r="AC217" s="263"/>
      <c r="AD217" s="263"/>
      <c r="AE217" s="263"/>
      <c r="AF217" s="263"/>
      <c r="AG217" s="263"/>
      <c r="AH217" s="263"/>
      <c r="AI217" s="263"/>
      <c r="AJ217" s="263"/>
      <c r="AK217" s="263"/>
      <c r="AL217" s="45"/>
      <c r="AM217" s="45"/>
      <c r="AN217" s="45"/>
      <c r="AO217" s="45"/>
      <c r="AP217" s="45"/>
      <c r="AQ217" s="45"/>
      <c r="AR217" s="45"/>
      <c r="AS217" s="45"/>
      <c r="AT217" s="45"/>
      <c r="AU217" s="45"/>
    </row>
    <row r="218" ht="15.75" customHeight="1">
      <c r="A218" s="263"/>
      <c r="B218" s="263"/>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3"/>
      <c r="AA218" s="263"/>
      <c r="AB218" s="263"/>
      <c r="AC218" s="263"/>
      <c r="AD218" s="263"/>
      <c r="AE218" s="263"/>
      <c r="AF218" s="263"/>
      <c r="AG218" s="263"/>
      <c r="AH218" s="263"/>
      <c r="AI218" s="263"/>
      <c r="AJ218" s="263"/>
      <c r="AK218" s="263"/>
      <c r="AL218" s="45"/>
      <c r="AM218" s="45"/>
      <c r="AN218" s="45"/>
      <c r="AO218" s="45"/>
      <c r="AP218" s="45"/>
      <c r="AQ218" s="45"/>
      <c r="AR218" s="45"/>
      <c r="AS218" s="45"/>
      <c r="AT218" s="45"/>
      <c r="AU218" s="45"/>
    </row>
    <row r="219" ht="15.75" customHeight="1">
      <c r="A219" s="263"/>
      <c r="B219" s="26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c r="AA219" s="263"/>
      <c r="AB219" s="263"/>
      <c r="AC219" s="263"/>
      <c r="AD219" s="263"/>
      <c r="AE219" s="263"/>
      <c r="AF219" s="263"/>
      <c r="AG219" s="263"/>
      <c r="AH219" s="263"/>
      <c r="AI219" s="263"/>
      <c r="AJ219" s="263"/>
      <c r="AK219" s="263"/>
      <c r="AL219" s="45"/>
      <c r="AM219" s="45"/>
      <c r="AN219" s="45"/>
      <c r="AO219" s="45"/>
      <c r="AP219" s="45"/>
      <c r="AQ219" s="45"/>
      <c r="AR219" s="45"/>
      <c r="AS219" s="45"/>
      <c r="AT219" s="45"/>
      <c r="AU219" s="45"/>
    </row>
    <row r="220" ht="15.75" customHeight="1">
      <c r="A220" s="263"/>
      <c r="B220" s="26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c r="AA220" s="263"/>
      <c r="AB220" s="263"/>
      <c r="AC220" s="263"/>
      <c r="AD220" s="263"/>
      <c r="AE220" s="263"/>
      <c r="AF220" s="263"/>
      <c r="AG220" s="263"/>
      <c r="AH220" s="263"/>
      <c r="AI220" s="263"/>
      <c r="AJ220" s="263"/>
      <c r="AK220" s="263"/>
      <c r="AL220" s="45"/>
      <c r="AM220" s="45"/>
      <c r="AN220" s="45"/>
      <c r="AO220" s="45"/>
      <c r="AP220" s="45"/>
      <c r="AQ220" s="45"/>
      <c r="AR220" s="45"/>
      <c r="AS220" s="45"/>
      <c r="AT220" s="45"/>
      <c r="AU220" s="45"/>
    </row>
    <row r="221" ht="15.75" customHeight="1">
      <c r="A221" s="263"/>
      <c r="B221" s="26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c r="AA221" s="263"/>
      <c r="AB221" s="263"/>
      <c r="AC221" s="263"/>
      <c r="AD221" s="263"/>
      <c r="AE221" s="263"/>
      <c r="AF221" s="263"/>
      <c r="AG221" s="263"/>
      <c r="AH221" s="263"/>
      <c r="AI221" s="263"/>
      <c r="AJ221" s="263"/>
      <c r="AK221" s="263"/>
      <c r="AL221" s="45"/>
      <c r="AM221" s="45"/>
      <c r="AN221" s="45"/>
      <c r="AO221" s="45"/>
      <c r="AP221" s="45"/>
      <c r="AQ221" s="45"/>
      <c r="AR221" s="45"/>
      <c r="AS221" s="45"/>
      <c r="AT221" s="45"/>
      <c r="AU221" s="45"/>
    </row>
    <row r="222" ht="15.75" customHeight="1">
      <c r="A222" s="263"/>
      <c r="B222" s="26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c r="AA222" s="263"/>
      <c r="AB222" s="263"/>
      <c r="AC222" s="263"/>
      <c r="AD222" s="263"/>
      <c r="AE222" s="263"/>
      <c r="AF222" s="263"/>
      <c r="AG222" s="263"/>
      <c r="AH222" s="263"/>
      <c r="AI222" s="263"/>
      <c r="AJ222" s="263"/>
      <c r="AK222" s="263"/>
      <c r="AL222" s="45"/>
      <c r="AM222" s="45"/>
      <c r="AN222" s="45"/>
      <c r="AO222" s="45"/>
      <c r="AP222" s="45"/>
      <c r="AQ222" s="45"/>
      <c r="AR222" s="45"/>
      <c r="AS222" s="45"/>
      <c r="AT222" s="45"/>
      <c r="AU222" s="45"/>
    </row>
    <row r="223" ht="15.75" customHeight="1">
      <c r="A223" s="263"/>
      <c r="B223" s="26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c r="AA223" s="263"/>
      <c r="AB223" s="263"/>
      <c r="AC223" s="263"/>
      <c r="AD223" s="263"/>
      <c r="AE223" s="263"/>
      <c r="AF223" s="263"/>
      <c r="AG223" s="263"/>
      <c r="AH223" s="263"/>
      <c r="AI223" s="263"/>
      <c r="AJ223" s="263"/>
      <c r="AK223" s="263"/>
      <c r="AL223" s="45"/>
      <c r="AM223" s="45"/>
      <c r="AN223" s="45"/>
      <c r="AO223" s="45"/>
      <c r="AP223" s="45"/>
      <c r="AQ223" s="45"/>
      <c r="AR223" s="45"/>
      <c r="AS223" s="45"/>
      <c r="AT223" s="45"/>
      <c r="AU223" s="45"/>
    </row>
    <row r="224" ht="15.75" customHeight="1">
      <c r="A224" s="263"/>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c r="AA224" s="263"/>
      <c r="AB224" s="263"/>
      <c r="AC224" s="263"/>
      <c r="AD224" s="263"/>
      <c r="AE224" s="263"/>
      <c r="AF224" s="263"/>
      <c r="AG224" s="263"/>
      <c r="AH224" s="263"/>
      <c r="AI224" s="263"/>
      <c r="AJ224" s="263"/>
      <c r="AK224" s="263"/>
      <c r="AL224" s="45"/>
      <c r="AM224" s="45"/>
      <c r="AN224" s="45"/>
      <c r="AO224" s="45"/>
      <c r="AP224" s="45"/>
      <c r="AQ224" s="45"/>
      <c r="AR224" s="45"/>
      <c r="AS224" s="45"/>
      <c r="AT224" s="45"/>
      <c r="AU224" s="45"/>
    </row>
    <row r="225" ht="15.75" customHeight="1">
      <c r="A225" s="263"/>
      <c r="B225" s="26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c r="AA225" s="263"/>
      <c r="AB225" s="263"/>
      <c r="AC225" s="263"/>
      <c r="AD225" s="263"/>
      <c r="AE225" s="263"/>
      <c r="AF225" s="263"/>
      <c r="AG225" s="263"/>
      <c r="AH225" s="263"/>
      <c r="AI225" s="263"/>
      <c r="AJ225" s="263"/>
      <c r="AK225" s="263"/>
      <c r="AL225" s="45"/>
      <c r="AM225" s="45"/>
      <c r="AN225" s="45"/>
      <c r="AO225" s="45"/>
      <c r="AP225" s="45"/>
      <c r="AQ225" s="45"/>
      <c r="AR225" s="45"/>
      <c r="AS225" s="45"/>
      <c r="AT225" s="45"/>
      <c r="AU225" s="45"/>
    </row>
    <row r="226" ht="15.75" customHeight="1">
      <c r="A226" s="263"/>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c r="AA226" s="263"/>
      <c r="AB226" s="263"/>
      <c r="AC226" s="263"/>
      <c r="AD226" s="263"/>
      <c r="AE226" s="263"/>
      <c r="AF226" s="263"/>
      <c r="AG226" s="263"/>
      <c r="AH226" s="263"/>
      <c r="AI226" s="263"/>
      <c r="AJ226" s="263"/>
      <c r="AK226" s="263"/>
      <c r="AL226" s="45"/>
      <c r="AM226" s="45"/>
      <c r="AN226" s="45"/>
      <c r="AO226" s="45"/>
      <c r="AP226" s="45"/>
      <c r="AQ226" s="45"/>
      <c r="AR226" s="45"/>
      <c r="AS226" s="45"/>
      <c r="AT226" s="45"/>
      <c r="AU226" s="45"/>
    </row>
    <row r="227" ht="15.75" customHeight="1">
      <c r="A227" s="263"/>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c r="AA227" s="263"/>
      <c r="AB227" s="263"/>
      <c r="AC227" s="263"/>
      <c r="AD227" s="263"/>
      <c r="AE227" s="263"/>
      <c r="AF227" s="263"/>
      <c r="AG227" s="263"/>
      <c r="AH227" s="263"/>
      <c r="AI227" s="263"/>
      <c r="AJ227" s="263"/>
      <c r="AK227" s="263"/>
      <c r="AL227" s="45"/>
      <c r="AM227" s="45"/>
      <c r="AN227" s="45"/>
      <c r="AO227" s="45"/>
      <c r="AP227" s="45"/>
      <c r="AQ227" s="45"/>
      <c r="AR227" s="45"/>
      <c r="AS227" s="45"/>
      <c r="AT227" s="45"/>
      <c r="AU227" s="45"/>
    </row>
    <row r="228" ht="15.75" customHeight="1">
      <c r="A228" s="263"/>
      <c r="B228" s="26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c r="AA228" s="263"/>
      <c r="AB228" s="263"/>
      <c r="AC228" s="263"/>
      <c r="AD228" s="263"/>
      <c r="AE228" s="263"/>
      <c r="AF228" s="263"/>
      <c r="AG228" s="263"/>
      <c r="AH228" s="263"/>
      <c r="AI228" s="263"/>
      <c r="AJ228" s="263"/>
      <c r="AK228" s="263"/>
      <c r="AL228" s="45"/>
      <c r="AM228" s="45"/>
      <c r="AN228" s="45"/>
      <c r="AO228" s="45"/>
      <c r="AP228" s="45"/>
      <c r="AQ228" s="45"/>
      <c r="AR228" s="45"/>
      <c r="AS228" s="45"/>
      <c r="AT228" s="45"/>
      <c r="AU228" s="45"/>
    </row>
    <row r="229" ht="15.75" customHeight="1">
      <c r="A229" s="263"/>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c r="AA229" s="263"/>
      <c r="AB229" s="263"/>
      <c r="AC229" s="263"/>
      <c r="AD229" s="263"/>
      <c r="AE229" s="263"/>
      <c r="AF229" s="263"/>
      <c r="AG229" s="263"/>
      <c r="AH229" s="263"/>
      <c r="AI229" s="263"/>
      <c r="AJ229" s="263"/>
      <c r="AK229" s="263"/>
      <c r="AL229" s="45"/>
      <c r="AM229" s="45"/>
      <c r="AN229" s="45"/>
      <c r="AO229" s="45"/>
      <c r="AP229" s="45"/>
      <c r="AQ229" s="45"/>
      <c r="AR229" s="45"/>
      <c r="AS229" s="45"/>
      <c r="AT229" s="45"/>
      <c r="AU229" s="45"/>
    </row>
    <row r="230" ht="15.75" customHeight="1">
      <c r="A230" s="263"/>
      <c r="B230" s="26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3"/>
      <c r="AA230" s="263"/>
      <c r="AB230" s="263"/>
      <c r="AC230" s="263"/>
      <c r="AD230" s="263"/>
      <c r="AE230" s="263"/>
      <c r="AF230" s="263"/>
      <c r="AG230" s="263"/>
      <c r="AH230" s="263"/>
      <c r="AI230" s="263"/>
      <c r="AJ230" s="263"/>
      <c r="AK230" s="263"/>
      <c r="AL230" s="45"/>
      <c r="AM230" s="45"/>
      <c r="AN230" s="45"/>
      <c r="AO230" s="45"/>
      <c r="AP230" s="45"/>
      <c r="AQ230" s="45"/>
      <c r="AR230" s="45"/>
      <c r="AS230" s="45"/>
      <c r="AT230" s="45"/>
      <c r="AU230" s="45"/>
    </row>
    <row r="231" ht="15.75" customHeight="1">
      <c r="A231" s="263"/>
      <c r="B231" s="26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3"/>
      <c r="AA231" s="263"/>
      <c r="AB231" s="263"/>
      <c r="AC231" s="263"/>
      <c r="AD231" s="263"/>
      <c r="AE231" s="263"/>
      <c r="AF231" s="263"/>
      <c r="AG231" s="263"/>
      <c r="AH231" s="263"/>
      <c r="AI231" s="263"/>
      <c r="AJ231" s="263"/>
      <c r="AK231" s="263"/>
      <c r="AL231" s="45"/>
      <c r="AM231" s="45"/>
      <c r="AN231" s="45"/>
      <c r="AO231" s="45"/>
      <c r="AP231" s="45"/>
      <c r="AQ231" s="45"/>
      <c r="AR231" s="45"/>
      <c r="AS231" s="45"/>
      <c r="AT231" s="45"/>
      <c r="AU231" s="45"/>
    </row>
    <row r="232" ht="15.75" customHeight="1">
      <c r="A232" s="263"/>
      <c r="B232" s="26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3"/>
      <c r="AA232" s="263"/>
      <c r="AB232" s="263"/>
      <c r="AC232" s="263"/>
      <c r="AD232" s="263"/>
      <c r="AE232" s="263"/>
      <c r="AF232" s="263"/>
      <c r="AG232" s="263"/>
      <c r="AH232" s="263"/>
      <c r="AI232" s="263"/>
      <c r="AJ232" s="263"/>
      <c r="AK232" s="263"/>
      <c r="AL232" s="45"/>
      <c r="AM232" s="45"/>
      <c r="AN232" s="45"/>
      <c r="AO232" s="45"/>
      <c r="AP232" s="45"/>
      <c r="AQ232" s="45"/>
      <c r="AR232" s="45"/>
      <c r="AS232" s="45"/>
      <c r="AT232" s="45"/>
      <c r="AU232" s="45"/>
    </row>
    <row r="233" ht="15.75" customHeight="1">
      <c r="A233" s="263"/>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c r="AA233" s="263"/>
      <c r="AB233" s="263"/>
      <c r="AC233" s="263"/>
      <c r="AD233" s="263"/>
      <c r="AE233" s="263"/>
      <c r="AF233" s="263"/>
      <c r="AG233" s="263"/>
      <c r="AH233" s="263"/>
      <c r="AI233" s="263"/>
      <c r="AJ233" s="263"/>
      <c r="AK233" s="263"/>
      <c r="AL233" s="45"/>
      <c r="AM233" s="45"/>
      <c r="AN233" s="45"/>
      <c r="AO233" s="45"/>
      <c r="AP233" s="45"/>
      <c r="AQ233" s="45"/>
      <c r="AR233" s="45"/>
      <c r="AS233" s="45"/>
      <c r="AT233" s="45"/>
      <c r="AU233" s="45"/>
    </row>
    <row r="234" ht="15.75" customHeight="1">
      <c r="A234" s="263"/>
      <c r="B234" s="26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3"/>
      <c r="AA234" s="263"/>
      <c r="AB234" s="263"/>
      <c r="AC234" s="263"/>
      <c r="AD234" s="263"/>
      <c r="AE234" s="263"/>
      <c r="AF234" s="263"/>
      <c r="AG234" s="263"/>
      <c r="AH234" s="263"/>
      <c r="AI234" s="263"/>
      <c r="AJ234" s="263"/>
      <c r="AK234" s="263"/>
      <c r="AL234" s="45"/>
      <c r="AM234" s="45"/>
      <c r="AN234" s="45"/>
      <c r="AO234" s="45"/>
      <c r="AP234" s="45"/>
      <c r="AQ234" s="45"/>
      <c r="AR234" s="45"/>
      <c r="AS234" s="45"/>
      <c r="AT234" s="45"/>
      <c r="AU234" s="45"/>
    </row>
    <row r="235" ht="15.75" customHeight="1">
      <c r="A235" s="263"/>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c r="AA235" s="263"/>
      <c r="AB235" s="263"/>
      <c r="AC235" s="263"/>
      <c r="AD235" s="263"/>
      <c r="AE235" s="263"/>
      <c r="AF235" s="263"/>
      <c r="AG235" s="263"/>
      <c r="AH235" s="263"/>
      <c r="AI235" s="263"/>
      <c r="AJ235" s="263"/>
      <c r="AK235" s="263"/>
      <c r="AL235" s="45"/>
      <c r="AM235" s="45"/>
      <c r="AN235" s="45"/>
      <c r="AO235" s="45"/>
      <c r="AP235" s="45"/>
      <c r="AQ235" s="45"/>
      <c r="AR235" s="45"/>
      <c r="AS235" s="45"/>
      <c r="AT235" s="45"/>
      <c r="AU235" s="45"/>
    </row>
    <row r="236" ht="15.75" customHeight="1">
      <c r="A236" s="263"/>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c r="AA236" s="263"/>
      <c r="AB236" s="263"/>
      <c r="AC236" s="263"/>
      <c r="AD236" s="263"/>
      <c r="AE236" s="263"/>
      <c r="AF236" s="263"/>
      <c r="AG236" s="263"/>
      <c r="AH236" s="263"/>
      <c r="AI236" s="263"/>
      <c r="AJ236" s="263"/>
      <c r="AK236" s="263"/>
      <c r="AL236" s="45"/>
      <c r="AM236" s="45"/>
      <c r="AN236" s="45"/>
      <c r="AO236" s="45"/>
      <c r="AP236" s="45"/>
      <c r="AQ236" s="45"/>
      <c r="AR236" s="45"/>
      <c r="AS236" s="45"/>
      <c r="AT236" s="45"/>
      <c r="AU236" s="45"/>
    </row>
    <row r="237" ht="15.75" customHeight="1">
      <c r="A237" s="263"/>
      <c r="B237" s="26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3"/>
      <c r="AA237" s="263"/>
      <c r="AB237" s="263"/>
      <c r="AC237" s="263"/>
      <c r="AD237" s="263"/>
      <c r="AE237" s="263"/>
      <c r="AF237" s="263"/>
      <c r="AG237" s="263"/>
      <c r="AH237" s="263"/>
      <c r="AI237" s="263"/>
      <c r="AJ237" s="263"/>
      <c r="AK237" s="263"/>
      <c r="AL237" s="45"/>
      <c r="AM237" s="45"/>
      <c r="AN237" s="45"/>
      <c r="AO237" s="45"/>
      <c r="AP237" s="45"/>
      <c r="AQ237" s="45"/>
      <c r="AR237" s="45"/>
      <c r="AS237" s="45"/>
      <c r="AT237" s="45"/>
      <c r="AU237" s="45"/>
    </row>
    <row r="238" ht="15.75" customHeight="1">
      <c r="A238" s="263"/>
      <c r="B238" s="26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c r="AA238" s="263"/>
      <c r="AB238" s="263"/>
      <c r="AC238" s="263"/>
      <c r="AD238" s="263"/>
      <c r="AE238" s="263"/>
      <c r="AF238" s="263"/>
      <c r="AG238" s="263"/>
      <c r="AH238" s="263"/>
      <c r="AI238" s="263"/>
      <c r="AJ238" s="263"/>
      <c r="AK238" s="263"/>
      <c r="AL238" s="45"/>
      <c r="AM238" s="45"/>
      <c r="AN238" s="45"/>
      <c r="AO238" s="45"/>
      <c r="AP238" s="45"/>
      <c r="AQ238" s="45"/>
      <c r="AR238" s="45"/>
      <c r="AS238" s="45"/>
      <c r="AT238" s="45"/>
      <c r="AU238" s="45"/>
    </row>
    <row r="239" ht="15.75" customHeight="1">
      <c r="A239" s="263"/>
      <c r="B239" s="26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c r="AA239" s="263"/>
      <c r="AB239" s="263"/>
      <c r="AC239" s="263"/>
      <c r="AD239" s="263"/>
      <c r="AE239" s="263"/>
      <c r="AF239" s="263"/>
      <c r="AG239" s="263"/>
      <c r="AH239" s="263"/>
      <c r="AI239" s="263"/>
      <c r="AJ239" s="263"/>
      <c r="AK239" s="263"/>
      <c r="AL239" s="45"/>
      <c r="AM239" s="45"/>
      <c r="AN239" s="45"/>
      <c r="AO239" s="45"/>
      <c r="AP239" s="45"/>
      <c r="AQ239" s="45"/>
      <c r="AR239" s="45"/>
      <c r="AS239" s="45"/>
      <c r="AT239" s="45"/>
      <c r="AU239" s="45"/>
    </row>
    <row r="240" ht="15.75" customHeight="1">
      <c r="A240" s="263"/>
      <c r="B240" s="26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3"/>
      <c r="AA240" s="263"/>
      <c r="AB240" s="263"/>
      <c r="AC240" s="263"/>
      <c r="AD240" s="263"/>
      <c r="AE240" s="263"/>
      <c r="AF240" s="263"/>
      <c r="AG240" s="263"/>
      <c r="AH240" s="263"/>
      <c r="AI240" s="263"/>
      <c r="AJ240" s="263"/>
      <c r="AK240" s="263"/>
      <c r="AL240" s="45"/>
      <c r="AM240" s="45"/>
      <c r="AN240" s="45"/>
      <c r="AO240" s="45"/>
      <c r="AP240" s="45"/>
      <c r="AQ240" s="45"/>
      <c r="AR240" s="45"/>
      <c r="AS240" s="45"/>
      <c r="AT240" s="45"/>
      <c r="AU240" s="45"/>
    </row>
    <row r="241" ht="15.75" customHeight="1">
      <c r="A241" s="263"/>
      <c r="B241" s="26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c r="AA241" s="263"/>
      <c r="AB241" s="263"/>
      <c r="AC241" s="263"/>
      <c r="AD241" s="263"/>
      <c r="AE241" s="263"/>
      <c r="AF241" s="263"/>
      <c r="AG241" s="263"/>
      <c r="AH241" s="263"/>
      <c r="AI241" s="263"/>
      <c r="AJ241" s="263"/>
      <c r="AK241" s="263"/>
      <c r="AL241" s="45"/>
      <c r="AM241" s="45"/>
      <c r="AN241" s="45"/>
      <c r="AO241" s="45"/>
      <c r="AP241" s="45"/>
      <c r="AQ241" s="45"/>
      <c r="AR241" s="45"/>
      <c r="AS241" s="45"/>
      <c r="AT241" s="45"/>
      <c r="AU241" s="45"/>
    </row>
    <row r="242" ht="15.75" customHeight="1">
      <c r="A242" s="263"/>
      <c r="B242" s="26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c r="AA242" s="263"/>
      <c r="AB242" s="263"/>
      <c r="AC242" s="263"/>
      <c r="AD242" s="263"/>
      <c r="AE242" s="263"/>
      <c r="AF242" s="263"/>
      <c r="AG242" s="263"/>
      <c r="AH242" s="263"/>
      <c r="AI242" s="263"/>
      <c r="AJ242" s="263"/>
      <c r="AK242" s="263"/>
      <c r="AL242" s="45"/>
      <c r="AM242" s="45"/>
      <c r="AN242" s="45"/>
      <c r="AO242" s="45"/>
      <c r="AP242" s="45"/>
      <c r="AQ242" s="45"/>
      <c r="AR242" s="45"/>
      <c r="AS242" s="45"/>
      <c r="AT242" s="45"/>
      <c r="AU242" s="45"/>
    </row>
    <row r="243" ht="15.75" customHeight="1">
      <c r="A243" s="263"/>
      <c r="B243" s="26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c r="AA243" s="263"/>
      <c r="AB243" s="263"/>
      <c r="AC243" s="263"/>
      <c r="AD243" s="263"/>
      <c r="AE243" s="263"/>
      <c r="AF243" s="263"/>
      <c r="AG243" s="263"/>
      <c r="AH243" s="263"/>
      <c r="AI243" s="263"/>
      <c r="AJ243" s="263"/>
      <c r="AK243" s="263"/>
      <c r="AL243" s="45"/>
      <c r="AM243" s="45"/>
      <c r="AN243" s="45"/>
      <c r="AO243" s="45"/>
      <c r="AP243" s="45"/>
      <c r="AQ243" s="45"/>
      <c r="AR243" s="45"/>
      <c r="AS243" s="45"/>
      <c r="AT243" s="45"/>
      <c r="AU243" s="45"/>
    </row>
    <row r="244" ht="15.75" customHeight="1">
      <c r="A244" s="263"/>
      <c r="B244" s="26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3"/>
      <c r="AA244" s="263"/>
      <c r="AB244" s="263"/>
      <c r="AC244" s="263"/>
      <c r="AD244" s="263"/>
      <c r="AE244" s="263"/>
      <c r="AF244" s="263"/>
      <c r="AG244" s="263"/>
      <c r="AH244" s="263"/>
      <c r="AI244" s="263"/>
      <c r="AJ244" s="263"/>
      <c r="AK244" s="263"/>
      <c r="AL244" s="45"/>
      <c r="AM244" s="45"/>
      <c r="AN244" s="45"/>
      <c r="AO244" s="45"/>
      <c r="AP244" s="45"/>
      <c r="AQ244" s="45"/>
      <c r="AR244" s="45"/>
      <c r="AS244" s="45"/>
      <c r="AT244" s="45"/>
      <c r="AU244" s="45"/>
    </row>
    <row r="245" ht="15.75" customHeight="1">
      <c r="A245" s="263"/>
      <c r="B245" s="26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3"/>
      <c r="AA245" s="263"/>
      <c r="AB245" s="263"/>
      <c r="AC245" s="263"/>
      <c r="AD245" s="263"/>
      <c r="AE245" s="263"/>
      <c r="AF245" s="263"/>
      <c r="AG245" s="263"/>
      <c r="AH245" s="263"/>
      <c r="AI245" s="263"/>
      <c r="AJ245" s="263"/>
      <c r="AK245" s="263"/>
      <c r="AL245" s="45"/>
      <c r="AM245" s="45"/>
      <c r="AN245" s="45"/>
      <c r="AO245" s="45"/>
      <c r="AP245" s="45"/>
      <c r="AQ245" s="45"/>
      <c r="AR245" s="45"/>
      <c r="AS245" s="45"/>
      <c r="AT245" s="45"/>
      <c r="AU245" s="45"/>
    </row>
    <row r="246" ht="15.75" customHeight="1">
      <c r="A246" s="263"/>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c r="AA246" s="263"/>
      <c r="AB246" s="263"/>
      <c r="AC246" s="263"/>
      <c r="AD246" s="263"/>
      <c r="AE246" s="263"/>
      <c r="AF246" s="263"/>
      <c r="AG246" s="263"/>
      <c r="AH246" s="263"/>
      <c r="AI246" s="263"/>
      <c r="AJ246" s="263"/>
      <c r="AK246" s="263"/>
      <c r="AL246" s="45"/>
      <c r="AM246" s="45"/>
      <c r="AN246" s="45"/>
      <c r="AO246" s="45"/>
      <c r="AP246" s="45"/>
      <c r="AQ246" s="45"/>
      <c r="AR246" s="45"/>
      <c r="AS246" s="45"/>
      <c r="AT246" s="45"/>
      <c r="AU246" s="45"/>
    </row>
    <row r="247" ht="15.75" customHeight="1">
      <c r="A247" s="263"/>
      <c r="B247" s="26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3"/>
      <c r="AA247" s="263"/>
      <c r="AB247" s="263"/>
      <c r="AC247" s="263"/>
      <c r="AD247" s="263"/>
      <c r="AE247" s="263"/>
      <c r="AF247" s="263"/>
      <c r="AG247" s="263"/>
      <c r="AH247" s="263"/>
      <c r="AI247" s="263"/>
      <c r="AJ247" s="263"/>
      <c r="AK247" s="263"/>
      <c r="AL247" s="45"/>
      <c r="AM247" s="45"/>
      <c r="AN247" s="45"/>
      <c r="AO247" s="45"/>
      <c r="AP247" s="45"/>
      <c r="AQ247" s="45"/>
      <c r="AR247" s="45"/>
      <c r="AS247" s="45"/>
      <c r="AT247" s="45"/>
      <c r="AU247" s="45"/>
    </row>
    <row r="248" ht="15.75" customHeight="1">
      <c r="A248" s="263"/>
      <c r="B248" s="26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3"/>
      <c r="AA248" s="263"/>
      <c r="AB248" s="263"/>
      <c r="AC248" s="263"/>
      <c r="AD248" s="263"/>
      <c r="AE248" s="263"/>
      <c r="AF248" s="263"/>
      <c r="AG248" s="263"/>
      <c r="AH248" s="263"/>
      <c r="AI248" s="263"/>
      <c r="AJ248" s="263"/>
      <c r="AK248" s="263"/>
      <c r="AL248" s="45"/>
      <c r="AM248" s="45"/>
      <c r="AN248" s="45"/>
      <c r="AO248" s="45"/>
      <c r="AP248" s="45"/>
      <c r="AQ248" s="45"/>
      <c r="AR248" s="45"/>
      <c r="AS248" s="45"/>
      <c r="AT248" s="45"/>
      <c r="AU248" s="45"/>
    </row>
    <row r="249" ht="15.75" customHeight="1">
      <c r="A249" s="263"/>
      <c r="B249" s="26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3"/>
      <c r="AA249" s="263"/>
      <c r="AB249" s="263"/>
      <c r="AC249" s="263"/>
      <c r="AD249" s="263"/>
      <c r="AE249" s="263"/>
      <c r="AF249" s="263"/>
      <c r="AG249" s="263"/>
      <c r="AH249" s="263"/>
      <c r="AI249" s="263"/>
      <c r="AJ249" s="263"/>
      <c r="AK249" s="263"/>
      <c r="AL249" s="45"/>
      <c r="AM249" s="45"/>
      <c r="AN249" s="45"/>
      <c r="AO249" s="45"/>
      <c r="AP249" s="45"/>
      <c r="AQ249" s="45"/>
      <c r="AR249" s="45"/>
      <c r="AS249" s="45"/>
      <c r="AT249" s="45"/>
      <c r="AU249" s="45"/>
    </row>
    <row r="250" ht="15.75" customHeight="1">
      <c r="A250" s="263"/>
      <c r="B250" s="26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3"/>
      <c r="AA250" s="263"/>
      <c r="AB250" s="263"/>
      <c r="AC250" s="263"/>
      <c r="AD250" s="263"/>
      <c r="AE250" s="263"/>
      <c r="AF250" s="263"/>
      <c r="AG250" s="263"/>
      <c r="AH250" s="263"/>
      <c r="AI250" s="263"/>
      <c r="AJ250" s="263"/>
      <c r="AK250" s="263"/>
      <c r="AL250" s="45"/>
      <c r="AM250" s="45"/>
      <c r="AN250" s="45"/>
      <c r="AO250" s="45"/>
      <c r="AP250" s="45"/>
      <c r="AQ250" s="45"/>
      <c r="AR250" s="45"/>
      <c r="AS250" s="45"/>
      <c r="AT250" s="45"/>
      <c r="AU250" s="45"/>
    </row>
    <row r="251" ht="15.75" customHeight="1">
      <c r="A251" s="263"/>
      <c r="B251" s="26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3"/>
      <c r="AA251" s="263"/>
      <c r="AB251" s="263"/>
      <c r="AC251" s="263"/>
      <c r="AD251" s="263"/>
      <c r="AE251" s="263"/>
      <c r="AF251" s="263"/>
      <c r="AG251" s="263"/>
      <c r="AH251" s="263"/>
      <c r="AI251" s="263"/>
      <c r="AJ251" s="263"/>
      <c r="AK251" s="263"/>
      <c r="AL251" s="45"/>
      <c r="AM251" s="45"/>
      <c r="AN251" s="45"/>
      <c r="AO251" s="45"/>
      <c r="AP251" s="45"/>
      <c r="AQ251" s="45"/>
      <c r="AR251" s="45"/>
      <c r="AS251" s="45"/>
      <c r="AT251" s="45"/>
      <c r="AU251" s="45"/>
    </row>
    <row r="252" ht="15.75" customHeight="1">
      <c r="A252" s="263"/>
      <c r="B252" s="26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3"/>
      <c r="AA252" s="263"/>
      <c r="AB252" s="263"/>
      <c r="AC252" s="263"/>
      <c r="AD252" s="263"/>
      <c r="AE252" s="263"/>
      <c r="AF252" s="263"/>
      <c r="AG252" s="263"/>
      <c r="AH252" s="263"/>
      <c r="AI252" s="263"/>
      <c r="AJ252" s="263"/>
      <c r="AK252" s="263"/>
      <c r="AL252" s="45"/>
      <c r="AM252" s="45"/>
      <c r="AN252" s="45"/>
      <c r="AO252" s="45"/>
      <c r="AP252" s="45"/>
      <c r="AQ252" s="45"/>
      <c r="AR252" s="45"/>
      <c r="AS252" s="45"/>
      <c r="AT252" s="45"/>
      <c r="AU252" s="45"/>
    </row>
    <row r="253" ht="15.75" customHeight="1">
      <c r="A253" s="263"/>
      <c r="B253" s="26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3"/>
      <c r="AA253" s="263"/>
      <c r="AB253" s="263"/>
      <c r="AC253" s="263"/>
      <c r="AD253" s="263"/>
      <c r="AE253" s="263"/>
      <c r="AF253" s="263"/>
      <c r="AG253" s="263"/>
      <c r="AH253" s="263"/>
      <c r="AI253" s="263"/>
      <c r="AJ253" s="263"/>
      <c r="AK253" s="263"/>
      <c r="AL253" s="45"/>
      <c r="AM253" s="45"/>
      <c r="AN253" s="45"/>
      <c r="AO253" s="45"/>
      <c r="AP253" s="45"/>
      <c r="AQ253" s="45"/>
      <c r="AR253" s="45"/>
      <c r="AS253" s="45"/>
      <c r="AT253" s="45"/>
      <c r="AU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c r="AT287" s="45"/>
      <c r="AU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c r="AT288" s="45"/>
      <c r="AU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c r="AT289" s="45"/>
      <c r="AU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c r="AS290" s="45"/>
      <c r="AT290" s="45"/>
      <c r="AU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c r="AT291" s="45"/>
      <c r="AU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c r="AS292" s="45"/>
      <c r="AT292" s="45"/>
      <c r="AU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c r="AS293" s="45"/>
      <c r="AT293" s="45"/>
      <c r="AU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c r="AS294" s="45"/>
      <c r="AT294" s="45"/>
      <c r="AU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c r="AT295" s="45"/>
      <c r="AU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5"/>
      <c r="AT297" s="45"/>
      <c r="AU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c r="AS298" s="45"/>
      <c r="AT298" s="45"/>
      <c r="AU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45"/>
      <c r="AT300" s="45"/>
      <c r="AU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c r="AS301" s="45"/>
      <c r="AT301" s="45"/>
      <c r="AU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c r="AS302" s="45"/>
      <c r="AT302" s="45"/>
      <c r="AU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c r="AS303" s="45"/>
      <c r="AT303" s="45"/>
      <c r="AU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c r="AT306" s="45"/>
      <c r="AU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c r="AT307" s="45"/>
      <c r="AU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c r="AT308" s="45"/>
      <c r="AU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c r="AT309" s="45"/>
      <c r="AU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c r="AT320" s="45"/>
      <c r="AU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c r="AT323" s="45"/>
      <c r="AU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c r="AT324" s="45"/>
      <c r="AU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c r="AT325" s="45"/>
      <c r="AU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c r="AT326" s="45"/>
      <c r="AU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c r="AT327" s="45"/>
      <c r="AU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c r="AT328" s="45"/>
      <c r="AU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c r="AT331" s="45"/>
      <c r="AU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c r="AT332" s="45"/>
      <c r="AU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c r="AT333" s="45"/>
      <c r="AU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c r="AT334" s="45"/>
      <c r="AU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c r="AT336" s="45"/>
      <c r="AU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c r="AT337" s="45"/>
      <c r="AU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c r="AT340" s="45"/>
      <c r="AU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c r="AT342" s="45"/>
      <c r="AU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c r="AT343" s="45"/>
      <c r="AU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c r="AT344" s="45"/>
      <c r="AU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c r="AT345" s="45"/>
      <c r="AU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c r="AT348" s="45"/>
      <c r="AU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c r="AT349" s="45"/>
      <c r="AU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c r="AT350" s="45"/>
      <c r="AU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c r="AT351" s="45"/>
      <c r="AU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c r="AT352" s="45"/>
      <c r="AU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c r="AT355" s="45"/>
      <c r="AU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c r="AT356" s="45"/>
      <c r="AU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c r="AT357" s="45"/>
      <c r="AU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c r="AT362" s="45"/>
      <c r="AU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c r="AT364" s="45"/>
      <c r="AU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c r="AT365" s="45"/>
      <c r="AU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c r="AT367" s="45"/>
      <c r="AU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c r="AT369" s="45"/>
      <c r="AU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c r="AT370" s="45"/>
      <c r="AU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c r="AT371" s="45"/>
      <c r="AU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c r="AR372" s="45"/>
      <c r="AS372" s="45"/>
      <c r="AT372" s="45"/>
      <c r="AU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c r="AR373" s="45"/>
      <c r="AS373" s="45"/>
      <c r="AT373" s="45"/>
      <c r="AU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c r="AR374" s="45"/>
      <c r="AS374" s="45"/>
      <c r="AT374" s="45"/>
      <c r="AU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c r="AR375" s="45"/>
      <c r="AS375" s="45"/>
      <c r="AT375" s="45"/>
      <c r="AU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c r="AR376" s="45"/>
      <c r="AS376" s="45"/>
      <c r="AT376" s="45"/>
      <c r="AU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c r="AS377" s="45"/>
      <c r="AT377" s="45"/>
      <c r="AU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c r="AS378" s="45"/>
      <c r="AT378" s="45"/>
      <c r="AU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c r="AS379" s="45"/>
      <c r="AT379" s="45"/>
      <c r="AU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c r="AS380" s="45"/>
      <c r="AT380" s="45"/>
      <c r="AU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c r="AS381" s="45"/>
      <c r="AT381" s="45"/>
      <c r="AU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5"/>
      <c r="AT382" s="45"/>
      <c r="AU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c r="AS383" s="45"/>
      <c r="AT383" s="45"/>
      <c r="AU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c r="AS384" s="45"/>
      <c r="AT384" s="45"/>
      <c r="AU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c r="AS385" s="45"/>
      <c r="AT385" s="45"/>
      <c r="AU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c r="AS386" s="45"/>
      <c r="AT386" s="45"/>
      <c r="AU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c r="AT387" s="45"/>
      <c r="AU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c r="AS389" s="45"/>
      <c r="AT389" s="45"/>
      <c r="AU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c r="AS390" s="45"/>
      <c r="AT390" s="45"/>
      <c r="AU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c r="AT392" s="45"/>
      <c r="AU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c r="AS393" s="45"/>
      <c r="AT393" s="45"/>
      <c r="AU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c r="AT394" s="45"/>
      <c r="AU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c r="AS396" s="45"/>
      <c r="AT396" s="45"/>
      <c r="AU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c r="AS397" s="45"/>
      <c r="AT397" s="45"/>
      <c r="AU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c r="AT398" s="45"/>
      <c r="AU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c r="AS399" s="45"/>
      <c r="AT399" s="45"/>
      <c r="AU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c r="AS400" s="45"/>
      <c r="AT400" s="45"/>
      <c r="AU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c r="AT401" s="45"/>
      <c r="AU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c r="AT402" s="45"/>
      <c r="AU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c r="AT403" s="45"/>
      <c r="AU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c r="AT405" s="45"/>
      <c r="AU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c r="AT406" s="45"/>
      <c r="AU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c r="AS407" s="45"/>
      <c r="AT407" s="45"/>
      <c r="AU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c r="AS408" s="45"/>
      <c r="AT408" s="45"/>
      <c r="AU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c r="AS412" s="45"/>
      <c r="AT412" s="45"/>
      <c r="AU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c r="AT413" s="45"/>
      <c r="AU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c r="AT420" s="45"/>
      <c r="AU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c r="AS422" s="45"/>
      <c r="AT422" s="45"/>
      <c r="AU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5"/>
      <c r="AT426" s="45"/>
      <c r="AU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c r="AT430" s="45"/>
      <c r="AU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c r="AS431" s="45"/>
      <c r="AT431" s="45"/>
      <c r="AU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c r="AS434" s="45"/>
      <c r="AT434" s="45"/>
      <c r="AU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c r="AS435" s="45"/>
      <c r="AT435" s="45"/>
      <c r="AU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c r="AS436" s="45"/>
      <c r="AT436" s="45"/>
      <c r="AU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c r="AS438" s="45"/>
      <c r="AT438" s="45"/>
      <c r="AU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c r="AS440" s="45"/>
      <c r="AT440" s="45"/>
      <c r="AU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c r="AS443" s="45"/>
      <c r="AT443" s="45"/>
      <c r="AU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c r="AT444" s="45"/>
      <c r="AU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c r="AS445" s="45"/>
      <c r="AT445" s="45"/>
      <c r="AU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c r="AS449" s="45"/>
      <c r="AT449" s="45"/>
      <c r="AU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c r="AS451" s="45"/>
      <c r="AT451" s="45"/>
      <c r="AU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c r="AS454" s="45"/>
      <c r="AT454" s="45"/>
      <c r="AU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c r="AT455" s="45"/>
      <c r="AU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c r="AS456" s="45"/>
      <c r="AT456" s="45"/>
      <c r="AU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c r="AS457" s="45"/>
      <c r="AT457" s="45"/>
      <c r="AU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c r="AS458" s="45"/>
      <c r="AT458" s="45"/>
      <c r="AU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c r="AS459" s="45"/>
      <c r="AT459" s="45"/>
      <c r="AU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c r="AS461" s="45"/>
      <c r="AT461" s="45"/>
      <c r="AU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c r="AS462" s="45"/>
      <c r="AT462" s="45"/>
      <c r="AU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c r="AS463" s="45"/>
      <c r="AT463" s="45"/>
      <c r="AU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c r="AS464" s="45"/>
      <c r="AT464" s="45"/>
      <c r="AU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c r="AS465" s="45"/>
      <c r="AT465" s="45"/>
      <c r="AU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c r="AS466" s="45"/>
      <c r="AT466" s="45"/>
      <c r="AU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c r="AS467" s="45"/>
      <c r="AT467" s="45"/>
      <c r="AU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c r="AS468" s="45"/>
      <c r="AT468" s="45"/>
      <c r="AU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c r="AS469" s="45"/>
      <c r="AT469" s="45"/>
      <c r="AU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c r="AS470" s="45"/>
      <c r="AT470" s="45"/>
      <c r="AU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c r="AS471" s="45"/>
      <c r="AT471" s="45"/>
      <c r="AU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c r="AS472" s="45"/>
      <c r="AT472" s="45"/>
      <c r="AU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c r="AS473" s="45"/>
      <c r="AT473" s="45"/>
      <c r="AU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c r="AS474" s="45"/>
      <c r="AT474" s="45"/>
      <c r="AU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c r="AS475" s="45"/>
      <c r="AT475" s="45"/>
      <c r="AU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c r="AS476" s="45"/>
      <c r="AT476" s="45"/>
      <c r="AU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c r="AS477" s="45"/>
      <c r="AT477" s="45"/>
      <c r="AU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c r="AS478" s="45"/>
      <c r="AT478" s="45"/>
      <c r="AU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c r="AS479" s="45"/>
      <c r="AT479" s="45"/>
      <c r="AU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c r="AS480" s="45"/>
      <c r="AT480" s="45"/>
      <c r="AU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c r="AS481" s="45"/>
      <c r="AT481" s="45"/>
      <c r="AU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c r="AS482" s="45"/>
      <c r="AT482" s="45"/>
      <c r="AU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c r="AS483" s="45"/>
      <c r="AT483" s="45"/>
      <c r="AU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c r="AS484" s="45"/>
      <c r="AT484" s="45"/>
      <c r="AU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c r="AS485" s="45"/>
      <c r="AT485" s="45"/>
      <c r="AU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c r="AS486" s="45"/>
      <c r="AT486" s="45"/>
      <c r="AU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c r="AS487" s="45"/>
      <c r="AT487" s="45"/>
      <c r="AU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c r="AS488" s="45"/>
      <c r="AT488" s="45"/>
      <c r="AU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c r="AS489" s="45"/>
      <c r="AT489" s="45"/>
      <c r="AU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c r="AS490" s="45"/>
      <c r="AT490" s="45"/>
      <c r="AU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c r="AS491" s="45"/>
      <c r="AT491" s="45"/>
      <c r="AU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c r="AS492" s="45"/>
      <c r="AT492" s="45"/>
      <c r="AU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c r="AS493" s="45"/>
      <c r="AT493" s="45"/>
      <c r="AU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c r="AS494" s="45"/>
      <c r="AT494" s="45"/>
      <c r="AU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c r="AS495" s="45"/>
      <c r="AT495" s="45"/>
      <c r="AU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c r="AS496" s="45"/>
      <c r="AT496" s="45"/>
      <c r="AU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c r="AS497" s="45"/>
      <c r="AT497" s="45"/>
      <c r="AU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c r="AS498" s="45"/>
      <c r="AT498" s="45"/>
      <c r="AU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c r="AS499" s="45"/>
      <c r="AT499" s="45"/>
      <c r="AU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c r="AS500" s="45"/>
      <c r="AT500" s="45"/>
      <c r="AU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c r="AS501" s="45"/>
      <c r="AT501" s="45"/>
      <c r="AU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c r="AS502" s="45"/>
      <c r="AT502" s="45"/>
      <c r="AU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c r="AS503" s="45"/>
      <c r="AT503" s="45"/>
      <c r="AU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c r="AS504" s="45"/>
      <c r="AT504" s="45"/>
      <c r="AU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c r="AS505" s="45"/>
      <c r="AT505" s="45"/>
      <c r="AU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c r="AS506" s="45"/>
      <c r="AT506" s="45"/>
      <c r="AU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c r="AS507" s="45"/>
      <c r="AT507" s="45"/>
      <c r="AU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c r="AS508" s="45"/>
      <c r="AT508" s="45"/>
      <c r="AU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c r="AS509" s="45"/>
      <c r="AT509" s="45"/>
      <c r="AU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c r="AS510" s="45"/>
      <c r="AT510" s="45"/>
      <c r="AU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c r="AS511" s="45"/>
      <c r="AT511" s="45"/>
      <c r="AU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c r="AS512" s="45"/>
      <c r="AT512" s="45"/>
      <c r="AU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c r="AS513" s="45"/>
      <c r="AT513" s="45"/>
      <c r="AU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c r="AS514" s="45"/>
      <c r="AT514" s="45"/>
      <c r="AU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c r="AS515" s="45"/>
      <c r="AT515" s="45"/>
      <c r="AU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c r="AS516" s="45"/>
      <c r="AT516" s="45"/>
      <c r="AU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c r="AS517" s="45"/>
      <c r="AT517" s="45"/>
      <c r="AU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c r="AS518" s="45"/>
      <c r="AT518" s="45"/>
      <c r="AU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c r="AS519" s="45"/>
      <c r="AT519" s="45"/>
      <c r="AU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c r="AS520" s="45"/>
      <c r="AT520" s="45"/>
      <c r="AU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c r="AS521" s="45"/>
      <c r="AT521" s="45"/>
      <c r="AU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c r="AS522" s="45"/>
      <c r="AT522" s="45"/>
      <c r="AU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c r="AS523" s="45"/>
      <c r="AT523" s="45"/>
      <c r="AU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c r="AT524" s="45"/>
      <c r="AU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c r="AT525" s="45"/>
      <c r="AU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c r="AS526" s="45"/>
      <c r="AT526" s="45"/>
      <c r="AU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c r="AS527" s="45"/>
      <c r="AT527" s="45"/>
      <c r="AU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c r="AS528" s="45"/>
      <c r="AT528" s="45"/>
      <c r="AU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c r="AS529" s="45"/>
      <c r="AT529" s="45"/>
      <c r="AU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c r="AS530" s="45"/>
      <c r="AT530" s="45"/>
      <c r="AU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c r="AS531" s="45"/>
      <c r="AT531" s="45"/>
      <c r="AU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c r="AS532" s="45"/>
      <c r="AT532" s="45"/>
      <c r="AU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c r="AS533" s="45"/>
      <c r="AT533" s="45"/>
      <c r="AU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c r="AS534" s="45"/>
      <c r="AT534" s="45"/>
      <c r="AU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c r="AS535" s="45"/>
      <c r="AT535" s="45"/>
      <c r="AU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c r="AS536" s="45"/>
      <c r="AT536" s="45"/>
      <c r="AU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c r="AS537" s="45"/>
      <c r="AT537" s="45"/>
      <c r="AU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c r="AS538" s="45"/>
      <c r="AT538" s="45"/>
      <c r="AU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c r="AS539" s="45"/>
      <c r="AT539" s="45"/>
      <c r="AU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c r="AS540" s="45"/>
      <c r="AT540" s="45"/>
      <c r="AU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c r="AS541" s="45"/>
      <c r="AT541" s="45"/>
      <c r="AU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c r="AS542" s="45"/>
      <c r="AT542" s="45"/>
      <c r="AU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c r="AS543" s="45"/>
      <c r="AT543" s="45"/>
      <c r="AU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c r="AS544" s="45"/>
      <c r="AT544" s="45"/>
      <c r="AU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c r="AS545" s="45"/>
      <c r="AT545" s="45"/>
      <c r="AU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c r="AS546" s="45"/>
      <c r="AT546" s="45"/>
      <c r="AU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c r="AS547" s="45"/>
      <c r="AT547" s="45"/>
      <c r="AU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c r="AS548" s="45"/>
      <c r="AT548" s="45"/>
      <c r="AU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c r="AS549" s="45"/>
      <c r="AT549" s="45"/>
      <c r="AU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c r="AT550" s="45"/>
      <c r="AU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c r="AS551" s="45"/>
      <c r="AT551" s="45"/>
      <c r="AU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c r="AS552" s="45"/>
      <c r="AT552" s="45"/>
      <c r="AU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c r="AS553" s="45"/>
      <c r="AT553" s="45"/>
      <c r="AU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c r="AS554" s="45"/>
      <c r="AT554" s="45"/>
      <c r="AU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c r="AS555" s="45"/>
      <c r="AT555" s="45"/>
      <c r="AU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c r="AS556" s="45"/>
      <c r="AT556" s="45"/>
      <c r="AU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c r="AS557" s="45"/>
      <c r="AT557" s="45"/>
      <c r="AU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c r="AS558" s="45"/>
      <c r="AT558" s="45"/>
      <c r="AU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c r="AS559" s="45"/>
      <c r="AT559" s="45"/>
      <c r="AU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c r="AS560" s="45"/>
      <c r="AT560" s="45"/>
      <c r="AU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c r="AS561" s="45"/>
      <c r="AT561" s="45"/>
      <c r="AU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c r="AS562" s="45"/>
      <c r="AT562" s="45"/>
      <c r="AU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c r="AS563" s="45"/>
      <c r="AT563" s="45"/>
      <c r="AU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c r="AS564" s="45"/>
      <c r="AT564" s="45"/>
      <c r="AU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c r="AS565" s="45"/>
      <c r="AT565" s="45"/>
      <c r="AU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45"/>
      <c r="AS566" s="45"/>
      <c r="AT566" s="45"/>
      <c r="AU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c r="AS567" s="45"/>
      <c r="AT567" s="45"/>
      <c r="AU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45"/>
      <c r="AS568" s="45"/>
      <c r="AT568" s="45"/>
      <c r="AU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45"/>
      <c r="AS569" s="45"/>
      <c r="AT569" s="45"/>
      <c r="AU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45"/>
      <c r="AS570" s="45"/>
      <c r="AT570" s="45"/>
      <c r="AU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45"/>
      <c r="AS571" s="45"/>
      <c r="AT571" s="45"/>
      <c r="AU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45"/>
      <c r="AS572" s="45"/>
      <c r="AT572" s="45"/>
      <c r="AU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45"/>
      <c r="AS573" s="45"/>
      <c r="AT573" s="45"/>
      <c r="AU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45"/>
      <c r="AS574" s="45"/>
      <c r="AT574" s="45"/>
      <c r="AU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c r="AT575" s="45"/>
      <c r="AU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45"/>
      <c r="AS576" s="45"/>
      <c r="AT576" s="45"/>
      <c r="AU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45"/>
      <c r="AS577" s="45"/>
      <c r="AT577" s="45"/>
      <c r="AU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45"/>
      <c r="AS578" s="45"/>
      <c r="AT578" s="45"/>
      <c r="AU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c r="AS579" s="45"/>
      <c r="AT579" s="45"/>
      <c r="AU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c r="AS580" s="45"/>
      <c r="AT580" s="45"/>
      <c r="AU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45"/>
      <c r="AS581" s="45"/>
      <c r="AT581" s="45"/>
      <c r="AU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45"/>
      <c r="AS582" s="45"/>
      <c r="AT582" s="45"/>
      <c r="AU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45"/>
      <c r="AS583" s="45"/>
      <c r="AT583" s="45"/>
      <c r="AU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45"/>
      <c r="AS584" s="45"/>
      <c r="AT584" s="45"/>
      <c r="AU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45"/>
      <c r="AS585" s="45"/>
      <c r="AT585" s="45"/>
      <c r="AU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45"/>
      <c r="AS586" s="45"/>
      <c r="AT586" s="45"/>
      <c r="AU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45"/>
      <c r="AS587" s="45"/>
      <c r="AT587" s="45"/>
      <c r="AU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45"/>
      <c r="AS588" s="45"/>
      <c r="AT588" s="45"/>
      <c r="AU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45"/>
      <c r="AS589" s="45"/>
      <c r="AT589" s="45"/>
      <c r="AU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45"/>
      <c r="AS590" s="45"/>
      <c r="AT590" s="45"/>
      <c r="AU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45"/>
      <c r="AS591" s="45"/>
      <c r="AT591" s="45"/>
      <c r="AU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45"/>
      <c r="AS592" s="45"/>
      <c r="AT592" s="45"/>
      <c r="AU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45"/>
      <c r="AS593" s="45"/>
      <c r="AT593" s="45"/>
      <c r="AU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45"/>
      <c r="AS594" s="45"/>
      <c r="AT594" s="45"/>
      <c r="AU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45"/>
      <c r="AS595" s="45"/>
      <c r="AT595" s="45"/>
      <c r="AU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45"/>
      <c r="AS596" s="45"/>
      <c r="AT596" s="45"/>
      <c r="AU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45"/>
      <c r="AS597" s="45"/>
      <c r="AT597" s="45"/>
      <c r="AU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45"/>
      <c r="AS598" s="45"/>
      <c r="AT598" s="45"/>
      <c r="AU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45"/>
      <c r="AS599" s="45"/>
      <c r="AT599" s="45"/>
      <c r="AU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45"/>
      <c r="AS600" s="45"/>
      <c r="AT600" s="45"/>
      <c r="AU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45"/>
      <c r="AS601" s="45"/>
      <c r="AT601" s="45"/>
      <c r="AU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45"/>
      <c r="AS602" s="45"/>
      <c r="AT602" s="45"/>
      <c r="AU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c r="AS603" s="45"/>
      <c r="AT603" s="45"/>
      <c r="AU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45"/>
      <c r="AS604" s="45"/>
      <c r="AT604" s="45"/>
      <c r="AU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45"/>
      <c r="AS605" s="45"/>
      <c r="AT605" s="45"/>
      <c r="AU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45"/>
      <c r="AS606" s="45"/>
      <c r="AT606" s="45"/>
      <c r="AU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45"/>
      <c r="AS607" s="45"/>
      <c r="AT607" s="45"/>
      <c r="AU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45"/>
      <c r="AS608" s="45"/>
      <c r="AT608" s="45"/>
      <c r="AU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45"/>
      <c r="AS609" s="45"/>
      <c r="AT609" s="45"/>
      <c r="AU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45"/>
      <c r="AS610" s="45"/>
      <c r="AT610" s="45"/>
      <c r="AU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45"/>
      <c r="AS611" s="45"/>
      <c r="AT611" s="45"/>
      <c r="AU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45"/>
      <c r="AS612" s="45"/>
      <c r="AT612" s="45"/>
      <c r="AU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45"/>
      <c r="AS613" s="45"/>
      <c r="AT613" s="45"/>
      <c r="AU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45"/>
      <c r="AS614" s="45"/>
      <c r="AT614" s="45"/>
      <c r="AU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45"/>
      <c r="AS615" s="45"/>
      <c r="AT615" s="45"/>
      <c r="AU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45"/>
      <c r="AS616" s="45"/>
      <c r="AT616" s="45"/>
      <c r="AU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45"/>
      <c r="AS617" s="45"/>
      <c r="AT617" s="45"/>
      <c r="AU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45"/>
      <c r="AS618" s="45"/>
      <c r="AT618" s="45"/>
      <c r="AU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45"/>
      <c r="AS619" s="45"/>
      <c r="AT619" s="45"/>
      <c r="AU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45"/>
      <c r="AS620" s="45"/>
      <c r="AT620" s="45"/>
      <c r="AU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c r="AS621" s="45"/>
      <c r="AT621" s="45"/>
      <c r="AU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45"/>
      <c r="AS622" s="45"/>
      <c r="AT622" s="45"/>
      <c r="AU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c r="AR623" s="45"/>
      <c r="AS623" s="45"/>
      <c r="AT623" s="45"/>
      <c r="AU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c r="AR624" s="45"/>
      <c r="AS624" s="45"/>
      <c r="AT624" s="45"/>
      <c r="AU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c r="AR625" s="45"/>
      <c r="AS625" s="45"/>
      <c r="AT625" s="45"/>
      <c r="AU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c r="AR626" s="45"/>
      <c r="AS626" s="45"/>
      <c r="AT626" s="45"/>
      <c r="AU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c r="AR627" s="45"/>
      <c r="AS627" s="45"/>
      <c r="AT627" s="45"/>
      <c r="AU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c r="AR628" s="45"/>
      <c r="AS628" s="45"/>
      <c r="AT628" s="45"/>
      <c r="AU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c r="AS629" s="45"/>
      <c r="AT629" s="45"/>
      <c r="AU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c r="AR630" s="45"/>
      <c r="AS630" s="45"/>
      <c r="AT630" s="45"/>
      <c r="AU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c r="AR631" s="45"/>
      <c r="AS631" s="45"/>
      <c r="AT631" s="45"/>
      <c r="AU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c r="AR632" s="45"/>
      <c r="AS632" s="45"/>
      <c r="AT632" s="45"/>
      <c r="AU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c r="AR633" s="45"/>
      <c r="AS633" s="45"/>
      <c r="AT633" s="45"/>
      <c r="AU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c r="AR634" s="45"/>
      <c r="AS634" s="45"/>
      <c r="AT634" s="45"/>
      <c r="AU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c r="AR635" s="45"/>
      <c r="AS635" s="45"/>
      <c r="AT635" s="45"/>
      <c r="AU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c r="AR636" s="45"/>
      <c r="AS636" s="45"/>
      <c r="AT636" s="45"/>
      <c r="AU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c r="AR637" s="45"/>
      <c r="AS637" s="45"/>
      <c r="AT637" s="45"/>
      <c r="AU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c r="AR638" s="45"/>
      <c r="AS638" s="45"/>
      <c r="AT638" s="45"/>
      <c r="AU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c r="AR639" s="45"/>
      <c r="AS639" s="45"/>
      <c r="AT639" s="45"/>
      <c r="AU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c r="AR640" s="45"/>
      <c r="AS640" s="45"/>
      <c r="AT640" s="45"/>
      <c r="AU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c r="AR641" s="45"/>
      <c r="AS641" s="45"/>
      <c r="AT641" s="45"/>
      <c r="AU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c r="AR642" s="45"/>
      <c r="AS642" s="45"/>
      <c r="AT642" s="45"/>
      <c r="AU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c r="AR643" s="45"/>
      <c r="AS643" s="45"/>
      <c r="AT643" s="45"/>
      <c r="AU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c r="AR644" s="45"/>
      <c r="AS644" s="45"/>
      <c r="AT644" s="45"/>
      <c r="AU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c r="AR645" s="45"/>
      <c r="AS645" s="45"/>
      <c r="AT645" s="45"/>
      <c r="AU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c r="AR646" s="45"/>
      <c r="AS646" s="45"/>
      <c r="AT646" s="45"/>
      <c r="AU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c r="AR647" s="45"/>
      <c r="AS647" s="45"/>
      <c r="AT647" s="45"/>
      <c r="AU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c r="AR648" s="45"/>
      <c r="AS648" s="45"/>
      <c r="AT648" s="45"/>
      <c r="AU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c r="AR649" s="45"/>
      <c r="AS649" s="45"/>
      <c r="AT649" s="45"/>
      <c r="AU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c r="AR650" s="45"/>
      <c r="AS650" s="45"/>
      <c r="AT650" s="45"/>
      <c r="AU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c r="AR651" s="45"/>
      <c r="AS651" s="45"/>
      <c r="AT651" s="45"/>
      <c r="AU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c r="AR652" s="45"/>
      <c r="AS652" s="45"/>
      <c r="AT652" s="45"/>
      <c r="AU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c r="AR653" s="45"/>
      <c r="AS653" s="45"/>
      <c r="AT653" s="45"/>
      <c r="AU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c r="AR654" s="45"/>
      <c r="AS654" s="45"/>
      <c r="AT654" s="45"/>
      <c r="AU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c r="AR655" s="45"/>
      <c r="AS655" s="45"/>
      <c r="AT655" s="45"/>
      <c r="AU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c r="AR656" s="45"/>
      <c r="AS656" s="45"/>
      <c r="AT656" s="45"/>
      <c r="AU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45"/>
      <c r="AS657" s="45"/>
      <c r="AT657" s="45"/>
      <c r="AU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45"/>
      <c r="AS658" s="45"/>
      <c r="AT658" s="45"/>
      <c r="AU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45"/>
      <c r="AS659" s="45"/>
      <c r="AT659" s="45"/>
      <c r="AU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c r="AR660" s="45"/>
      <c r="AS660" s="45"/>
      <c r="AT660" s="45"/>
      <c r="AU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c r="AR661" s="45"/>
      <c r="AS661" s="45"/>
      <c r="AT661" s="45"/>
      <c r="AU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c r="AR662" s="45"/>
      <c r="AS662" s="45"/>
      <c r="AT662" s="45"/>
      <c r="AU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c r="AR663" s="45"/>
      <c r="AS663" s="45"/>
      <c r="AT663" s="45"/>
      <c r="AU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c r="AR664" s="45"/>
      <c r="AS664" s="45"/>
      <c r="AT664" s="45"/>
      <c r="AU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c r="AR665" s="45"/>
      <c r="AS665" s="45"/>
      <c r="AT665" s="45"/>
      <c r="AU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c r="AR666" s="45"/>
      <c r="AS666" s="45"/>
      <c r="AT666" s="45"/>
      <c r="AU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c r="AR667" s="45"/>
      <c r="AS667" s="45"/>
      <c r="AT667" s="45"/>
      <c r="AU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c r="AR668" s="45"/>
      <c r="AS668" s="45"/>
      <c r="AT668" s="45"/>
      <c r="AU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c r="AR669" s="45"/>
      <c r="AS669" s="45"/>
      <c r="AT669" s="45"/>
      <c r="AU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c r="AR670" s="45"/>
      <c r="AS670" s="45"/>
      <c r="AT670" s="45"/>
      <c r="AU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c r="AR671" s="45"/>
      <c r="AS671" s="45"/>
      <c r="AT671" s="45"/>
      <c r="AU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c r="AR672" s="45"/>
      <c r="AS672" s="45"/>
      <c r="AT672" s="45"/>
      <c r="AU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c r="AR673" s="45"/>
      <c r="AS673" s="45"/>
      <c r="AT673" s="45"/>
      <c r="AU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c r="AR674" s="45"/>
      <c r="AS674" s="45"/>
      <c r="AT674" s="45"/>
      <c r="AU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c r="AR675" s="45"/>
      <c r="AS675" s="45"/>
      <c r="AT675" s="45"/>
      <c r="AU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c r="AR676" s="45"/>
      <c r="AS676" s="45"/>
      <c r="AT676" s="45"/>
      <c r="AU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c r="AR677" s="45"/>
      <c r="AS677" s="45"/>
      <c r="AT677" s="45"/>
      <c r="AU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c r="AR678" s="45"/>
      <c r="AS678" s="45"/>
      <c r="AT678" s="45"/>
      <c r="AU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c r="AR679" s="45"/>
      <c r="AS679" s="45"/>
      <c r="AT679" s="45"/>
      <c r="AU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c r="AR680" s="45"/>
      <c r="AS680" s="45"/>
      <c r="AT680" s="45"/>
      <c r="AU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c r="AR681" s="45"/>
      <c r="AS681" s="45"/>
      <c r="AT681" s="45"/>
      <c r="AU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c r="AR682" s="45"/>
      <c r="AS682" s="45"/>
      <c r="AT682" s="45"/>
      <c r="AU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c r="AR683" s="45"/>
      <c r="AS683" s="45"/>
      <c r="AT683" s="45"/>
      <c r="AU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c r="AR684" s="45"/>
      <c r="AS684" s="45"/>
      <c r="AT684" s="45"/>
      <c r="AU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c r="AR685" s="45"/>
      <c r="AS685" s="45"/>
      <c r="AT685" s="45"/>
      <c r="AU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c r="AR686" s="45"/>
      <c r="AS686" s="45"/>
      <c r="AT686" s="45"/>
      <c r="AU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c r="AR687" s="45"/>
      <c r="AS687" s="45"/>
      <c r="AT687" s="45"/>
      <c r="AU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c r="AR688" s="45"/>
      <c r="AS688" s="45"/>
      <c r="AT688" s="45"/>
      <c r="AU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c r="AR689" s="45"/>
      <c r="AS689" s="45"/>
      <c r="AT689" s="45"/>
      <c r="AU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c r="AR690" s="45"/>
      <c r="AS690" s="45"/>
      <c r="AT690" s="45"/>
      <c r="AU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45"/>
      <c r="AS691" s="45"/>
      <c r="AT691" s="45"/>
      <c r="AU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c r="AR692" s="45"/>
      <c r="AS692" s="45"/>
      <c r="AT692" s="45"/>
      <c r="AU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c r="AR693" s="45"/>
      <c r="AS693" s="45"/>
      <c r="AT693" s="45"/>
      <c r="AU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45"/>
      <c r="AS694" s="45"/>
      <c r="AT694" s="45"/>
      <c r="AU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c r="AR695" s="45"/>
      <c r="AS695" s="45"/>
      <c r="AT695" s="45"/>
      <c r="AU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c r="AR696" s="45"/>
      <c r="AS696" s="45"/>
      <c r="AT696" s="45"/>
      <c r="AU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c r="AR697" s="45"/>
      <c r="AS697" s="45"/>
      <c r="AT697" s="45"/>
      <c r="AU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c r="AR698" s="45"/>
      <c r="AS698" s="45"/>
      <c r="AT698" s="45"/>
      <c r="AU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c r="AR699" s="45"/>
      <c r="AS699" s="45"/>
      <c r="AT699" s="45"/>
      <c r="AU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c r="AR700" s="45"/>
      <c r="AS700" s="45"/>
      <c r="AT700" s="45"/>
      <c r="AU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c r="AR701" s="45"/>
      <c r="AS701" s="45"/>
      <c r="AT701" s="45"/>
      <c r="AU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c r="AS702" s="45"/>
      <c r="AT702" s="45"/>
      <c r="AU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c r="AR703" s="45"/>
      <c r="AS703" s="45"/>
      <c r="AT703" s="45"/>
      <c r="AU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c r="AR704" s="45"/>
      <c r="AS704" s="45"/>
      <c r="AT704" s="45"/>
      <c r="AU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c r="AR705" s="45"/>
      <c r="AS705" s="45"/>
      <c r="AT705" s="45"/>
      <c r="AU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c r="AR706" s="45"/>
      <c r="AS706" s="45"/>
      <c r="AT706" s="45"/>
      <c r="AU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c r="AR707" s="45"/>
      <c r="AS707" s="45"/>
      <c r="AT707" s="45"/>
      <c r="AU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c r="AR708" s="45"/>
      <c r="AS708" s="45"/>
      <c r="AT708" s="45"/>
      <c r="AU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c r="AR709" s="45"/>
      <c r="AS709" s="45"/>
      <c r="AT709" s="45"/>
      <c r="AU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c r="AR710" s="45"/>
      <c r="AS710" s="45"/>
      <c r="AT710" s="45"/>
      <c r="AU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c r="AR711" s="45"/>
      <c r="AS711" s="45"/>
      <c r="AT711" s="45"/>
      <c r="AU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c r="AR712" s="45"/>
      <c r="AS712" s="45"/>
      <c r="AT712" s="45"/>
      <c r="AU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c r="AR713" s="45"/>
      <c r="AS713" s="45"/>
      <c r="AT713" s="45"/>
      <c r="AU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c r="AR714" s="45"/>
      <c r="AS714" s="45"/>
      <c r="AT714" s="45"/>
      <c r="AU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c r="AR715" s="45"/>
      <c r="AS715" s="45"/>
      <c r="AT715" s="45"/>
      <c r="AU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c r="AR716" s="45"/>
      <c r="AS716" s="45"/>
      <c r="AT716" s="45"/>
      <c r="AU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c r="AR717" s="45"/>
      <c r="AS717" s="45"/>
      <c r="AT717" s="45"/>
      <c r="AU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c r="AR718" s="45"/>
      <c r="AS718" s="45"/>
      <c r="AT718" s="45"/>
      <c r="AU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c r="AR719" s="45"/>
      <c r="AS719" s="45"/>
      <c r="AT719" s="45"/>
      <c r="AU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c r="AR720" s="45"/>
      <c r="AS720" s="45"/>
      <c r="AT720" s="45"/>
      <c r="AU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c r="AR721" s="45"/>
      <c r="AS721" s="45"/>
      <c r="AT721" s="45"/>
      <c r="AU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45"/>
      <c r="AS722" s="45"/>
      <c r="AT722" s="45"/>
      <c r="AU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c r="AR723" s="45"/>
      <c r="AS723" s="45"/>
      <c r="AT723" s="45"/>
      <c r="AU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c r="AR724" s="45"/>
      <c r="AS724" s="45"/>
      <c r="AT724" s="45"/>
      <c r="AU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45"/>
      <c r="AS725" s="45"/>
      <c r="AT725" s="45"/>
      <c r="AU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c r="AR726" s="45"/>
      <c r="AS726" s="45"/>
      <c r="AT726" s="45"/>
      <c r="AU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c r="AR727" s="45"/>
      <c r="AS727" s="45"/>
      <c r="AT727" s="45"/>
      <c r="AU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c r="AR728" s="45"/>
      <c r="AS728" s="45"/>
      <c r="AT728" s="45"/>
      <c r="AU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c r="AR729" s="45"/>
      <c r="AS729" s="45"/>
      <c r="AT729" s="45"/>
      <c r="AU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c r="AR730" s="45"/>
      <c r="AS730" s="45"/>
      <c r="AT730" s="45"/>
      <c r="AU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c r="AR731" s="45"/>
      <c r="AS731" s="45"/>
      <c r="AT731" s="45"/>
      <c r="AU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45"/>
      <c r="AS732" s="45"/>
      <c r="AT732" s="45"/>
      <c r="AU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c r="AS733" s="45"/>
      <c r="AT733" s="45"/>
      <c r="AU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c r="AR734" s="45"/>
      <c r="AS734" s="45"/>
      <c r="AT734" s="45"/>
      <c r="AU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45"/>
      <c r="AS735" s="45"/>
      <c r="AT735" s="45"/>
      <c r="AU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c r="AS736" s="45"/>
      <c r="AT736" s="45"/>
      <c r="AU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c r="AS737" s="45"/>
      <c r="AT737" s="45"/>
      <c r="AU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c r="AS738" s="45"/>
      <c r="AT738" s="45"/>
      <c r="AU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c r="AS739" s="45"/>
      <c r="AT739" s="45"/>
      <c r="AU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c r="AS740" s="45"/>
      <c r="AT740" s="45"/>
      <c r="AU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c r="AS741" s="45"/>
      <c r="AT741" s="45"/>
      <c r="AU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c r="AS742" s="45"/>
      <c r="AT742" s="45"/>
      <c r="AU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c r="AS743" s="45"/>
      <c r="AT743" s="45"/>
      <c r="AU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c r="AT744" s="45"/>
      <c r="AU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c r="AR745" s="45"/>
      <c r="AS745" s="45"/>
      <c r="AT745" s="45"/>
      <c r="AU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c r="AR746" s="45"/>
      <c r="AS746" s="45"/>
      <c r="AT746" s="45"/>
      <c r="AU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c r="AR747" s="45"/>
      <c r="AS747" s="45"/>
      <c r="AT747" s="45"/>
      <c r="AU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c r="AR748" s="45"/>
      <c r="AS748" s="45"/>
      <c r="AT748" s="45"/>
      <c r="AU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c r="AR749" s="45"/>
      <c r="AS749" s="45"/>
      <c r="AT749" s="45"/>
      <c r="AU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c r="AR750" s="45"/>
      <c r="AS750" s="45"/>
      <c r="AT750" s="45"/>
      <c r="AU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c r="AS751" s="45"/>
      <c r="AT751" s="45"/>
      <c r="AU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c r="AT752" s="45"/>
      <c r="AU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c r="AR753" s="45"/>
      <c r="AS753" s="45"/>
      <c r="AT753" s="45"/>
      <c r="AU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c r="AR754" s="45"/>
      <c r="AS754" s="45"/>
      <c r="AT754" s="45"/>
      <c r="AU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c r="AR755" s="45"/>
      <c r="AS755" s="45"/>
      <c r="AT755" s="45"/>
      <c r="AU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c r="AR756" s="45"/>
      <c r="AS756" s="45"/>
      <c r="AT756" s="45"/>
      <c r="AU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c r="AR757" s="45"/>
      <c r="AS757" s="45"/>
      <c r="AT757" s="45"/>
      <c r="AU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c r="AR758" s="45"/>
      <c r="AS758" s="45"/>
      <c r="AT758" s="45"/>
      <c r="AU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c r="AR759" s="45"/>
      <c r="AS759" s="45"/>
      <c r="AT759" s="45"/>
      <c r="AU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c r="AR760" s="45"/>
      <c r="AS760" s="45"/>
      <c r="AT760" s="45"/>
      <c r="AU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c r="AR761" s="45"/>
      <c r="AS761" s="45"/>
      <c r="AT761" s="45"/>
      <c r="AU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c r="AR762" s="45"/>
      <c r="AS762" s="45"/>
      <c r="AT762" s="45"/>
      <c r="AU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c r="AR763" s="45"/>
      <c r="AS763" s="45"/>
      <c r="AT763" s="45"/>
      <c r="AU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c r="AR764" s="45"/>
      <c r="AS764" s="45"/>
      <c r="AT764" s="45"/>
      <c r="AU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c r="AR765" s="45"/>
      <c r="AS765" s="45"/>
      <c r="AT765" s="45"/>
      <c r="AU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c r="AR766" s="45"/>
      <c r="AS766" s="45"/>
      <c r="AT766" s="45"/>
      <c r="AU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c r="AR767" s="45"/>
      <c r="AS767" s="45"/>
      <c r="AT767" s="45"/>
      <c r="AU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c r="AR768" s="45"/>
      <c r="AS768" s="45"/>
      <c r="AT768" s="45"/>
      <c r="AU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c r="AS769" s="45"/>
      <c r="AT769" s="45"/>
      <c r="AU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c r="AR770" s="45"/>
      <c r="AS770" s="45"/>
      <c r="AT770" s="45"/>
      <c r="AU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c r="AR771" s="45"/>
      <c r="AS771" s="45"/>
      <c r="AT771" s="45"/>
      <c r="AU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c r="AS772" s="45"/>
      <c r="AT772" s="45"/>
      <c r="AU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c r="AS773" s="45"/>
      <c r="AT773" s="45"/>
      <c r="AU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c r="AR774" s="45"/>
      <c r="AS774" s="45"/>
      <c r="AT774" s="45"/>
      <c r="AU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c r="AS775" s="45"/>
      <c r="AT775" s="45"/>
      <c r="AU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c r="AS776" s="45"/>
      <c r="AT776" s="45"/>
      <c r="AU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c r="AR778" s="45"/>
      <c r="AS778" s="45"/>
      <c r="AT778" s="45"/>
      <c r="AU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c r="AR779" s="45"/>
      <c r="AS779" s="45"/>
      <c r="AT779" s="45"/>
      <c r="AU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c r="AS780" s="45"/>
      <c r="AT780" s="45"/>
      <c r="AU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c r="AS781" s="45"/>
      <c r="AT781" s="45"/>
      <c r="AU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c r="AS782" s="45"/>
      <c r="AT782" s="45"/>
      <c r="AU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c r="AS783" s="45"/>
      <c r="AT783" s="45"/>
      <c r="AU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c r="AS784" s="45"/>
      <c r="AT784" s="45"/>
      <c r="AU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c r="AR785" s="45"/>
      <c r="AS785" s="45"/>
      <c r="AT785" s="45"/>
      <c r="AU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c r="AR786" s="45"/>
      <c r="AS786" s="45"/>
      <c r="AT786" s="45"/>
      <c r="AU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c r="AS787" s="45"/>
      <c r="AT787" s="45"/>
      <c r="AU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c r="AS788" s="45"/>
      <c r="AT788" s="45"/>
      <c r="AU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c r="AS789" s="45"/>
      <c r="AT789" s="45"/>
      <c r="AU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c r="AS790" s="45"/>
      <c r="AT790" s="45"/>
      <c r="AU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c r="AS791" s="45"/>
      <c r="AT791" s="45"/>
      <c r="AU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c r="AR792" s="45"/>
      <c r="AS792" s="45"/>
      <c r="AT792" s="45"/>
      <c r="AU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c r="AR793" s="45"/>
      <c r="AS793" s="45"/>
      <c r="AT793" s="45"/>
      <c r="AU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c r="AR794" s="45"/>
      <c r="AS794" s="45"/>
      <c r="AT794" s="45"/>
      <c r="AU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c r="AS795" s="45"/>
      <c r="AT795" s="45"/>
      <c r="AU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c r="AS796" s="45"/>
      <c r="AT796" s="45"/>
      <c r="AU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c r="AS797" s="45"/>
      <c r="AT797" s="45"/>
      <c r="AU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c r="AS798" s="45"/>
      <c r="AT798" s="45"/>
      <c r="AU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c r="AS799" s="45"/>
      <c r="AT799" s="45"/>
      <c r="AU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c r="AR800" s="45"/>
      <c r="AS800" s="45"/>
      <c r="AT800" s="45"/>
      <c r="AU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c r="AR801" s="45"/>
      <c r="AS801" s="45"/>
      <c r="AT801" s="45"/>
      <c r="AU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c r="AR802" s="45"/>
      <c r="AS802" s="45"/>
      <c r="AT802" s="45"/>
      <c r="AU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c r="AR803" s="45"/>
      <c r="AS803" s="45"/>
      <c r="AT803" s="45"/>
      <c r="AU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c r="AR804" s="45"/>
      <c r="AS804" s="45"/>
      <c r="AT804" s="45"/>
      <c r="AU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c r="AR805" s="45"/>
      <c r="AS805" s="45"/>
      <c r="AT805" s="45"/>
      <c r="AU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c r="AS806" s="45"/>
      <c r="AT806" s="45"/>
      <c r="AU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c r="AS807" s="45"/>
      <c r="AT807" s="45"/>
      <c r="AU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c r="AS808" s="45"/>
      <c r="AT808" s="45"/>
      <c r="AU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c r="AS809" s="45"/>
      <c r="AT809" s="45"/>
      <c r="AU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c r="AS810" s="45"/>
      <c r="AT810" s="45"/>
      <c r="AU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c r="AS811" s="45"/>
      <c r="AT811" s="45"/>
      <c r="AU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c r="AS812" s="45"/>
      <c r="AT812" s="45"/>
      <c r="AU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c r="AS813" s="45"/>
      <c r="AT813" s="45"/>
      <c r="AU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c r="AS814" s="45"/>
      <c r="AT814" s="45"/>
      <c r="AU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c r="AS815" s="45"/>
      <c r="AT815" s="45"/>
      <c r="AU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c r="AS816" s="45"/>
      <c r="AT816" s="45"/>
      <c r="AU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c r="AS817" s="45"/>
      <c r="AT817" s="45"/>
      <c r="AU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c r="AR818" s="45"/>
      <c r="AS818" s="45"/>
      <c r="AT818" s="45"/>
      <c r="AU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c r="AS819" s="45"/>
      <c r="AT819" s="45"/>
      <c r="AU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c r="AS820" s="45"/>
      <c r="AT820" s="45"/>
      <c r="AU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c r="AS821" s="45"/>
      <c r="AT821" s="45"/>
      <c r="AU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c r="AS822" s="45"/>
      <c r="AT822" s="45"/>
      <c r="AU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c r="AS823" s="45"/>
      <c r="AT823" s="45"/>
      <c r="AU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c r="AR824" s="45"/>
      <c r="AS824" s="45"/>
      <c r="AT824" s="45"/>
      <c r="AU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c r="AS825" s="45"/>
      <c r="AT825" s="45"/>
      <c r="AU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c r="AS826" s="45"/>
      <c r="AT826" s="45"/>
      <c r="AU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c r="AT827" s="45"/>
      <c r="AU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c r="AJ828" s="45"/>
      <c r="AK828" s="45"/>
      <c r="AL828" s="45"/>
      <c r="AM828" s="45"/>
      <c r="AN828" s="45"/>
      <c r="AO828" s="45"/>
      <c r="AP828" s="45"/>
      <c r="AQ828" s="45"/>
      <c r="AR828" s="45"/>
      <c r="AS828" s="45"/>
      <c r="AT828" s="45"/>
      <c r="AU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c r="AP829" s="45"/>
      <c r="AQ829" s="45"/>
      <c r="AR829" s="45"/>
      <c r="AS829" s="45"/>
      <c r="AT829" s="45"/>
      <c r="AU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c r="AP830" s="45"/>
      <c r="AQ830" s="45"/>
      <c r="AR830" s="45"/>
      <c r="AS830" s="45"/>
      <c r="AT830" s="45"/>
      <c r="AU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c r="AP831" s="45"/>
      <c r="AQ831" s="45"/>
      <c r="AR831" s="45"/>
      <c r="AS831" s="45"/>
      <c r="AT831" s="45"/>
      <c r="AU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c r="AJ832" s="45"/>
      <c r="AK832" s="45"/>
      <c r="AL832" s="45"/>
      <c r="AM832" s="45"/>
      <c r="AN832" s="45"/>
      <c r="AO832" s="45"/>
      <c r="AP832" s="45"/>
      <c r="AQ832" s="45"/>
      <c r="AR832" s="45"/>
      <c r="AS832" s="45"/>
      <c r="AT832" s="45"/>
      <c r="AU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c r="AP833" s="45"/>
      <c r="AQ833" s="45"/>
      <c r="AR833" s="45"/>
      <c r="AS833" s="45"/>
      <c r="AT833" s="45"/>
      <c r="AU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c r="AP834" s="45"/>
      <c r="AQ834" s="45"/>
      <c r="AR834" s="45"/>
      <c r="AS834" s="45"/>
      <c r="AT834" s="45"/>
      <c r="AU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c r="AP835" s="45"/>
      <c r="AQ835" s="45"/>
      <c r="AR835" s="45"/>
      <c r="AS835" s="45"/>
      <c r="AT835" s="45"/>
      <c r="AU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c r="AJ836" s="45"/>
      <c r="AK836" s="45"/>
      <c r="AL836" s="45"/>
      <c r="AM836" s="45"/>
      <c r="AN836" s="45"/>
      <c r="AO836" s="45"/>
      <c r="AP836" s="45"/>
      <c r="AQ836" s="45"/>
      <c r="AR836" s="45"/>
      <c r="AS836" s="45"/>
      <c r="AT836" s="45"/>
      <c r="AU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c r="AP837" s="45"/>
      <c r="AQ837" s="45"/>
      <c r="AR837" s="45"/>
      <c r="AS837" s="45"/>
      <c r="AT837" s="45"/>
      <c r="AU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c r="AP838" s="45"/>
      <c r="AQ838" s="45"/>
      <c r="AR838" s="45"/>
      <c r="AS838" s="45"/>
      <c r="AT838" s="45"/>
      <c r="AU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c r="AP839" s="45"/>
      <c r="AQ839" s="45"/>
      <c r="AR839" s="45"/>
      <c r="AS839" s="45"/>
      <c r="AT839" s="45"/>
      <c r="AU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c r="AP840" s="45"/>
      <c r="AQ840" s="45"/>
      <c r="AR840" s="45"/>
      <c r="AS840" s="45"/>
      <c r="AT840" s="45"/>
      <c r="AU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c r="AS841" s="45"/>
      <c r="AT841" s="45"/>
      <c r="AU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c r="AR842" s="45"/>
      <c r="AS842" s="45"/>
      <c r="AT842" s="45"/>
      <c r="AU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c r="AR843" s="45"/>
      <c r="AS843" s="45"/>
      <c r="AT843" s="45"/>
      <c r="AU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c r="AP844" s="45"/>
      <c r="AQ844" s="45"/>
      <c r="AR844" s="45"/>
      <c r="AS844" s="45"/>
      <c r="AT844" s="45"/>
      <c r="AU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c r="AR845" s="45"/>
      <c r="AS845" s="45"/>
      <c r="AT845" s="45"/>
      <c r="AU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c r="AR846" s="45"/>
      <c r="AS846" s="45"/>
      <c r="AT846" s="45"/>
      <c r="AU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c r="AR847" s="45"/>
      <c r="AS847" s="45"/>
      <c r="AT847" s="45"/>
      <c r="AU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c r="AR848" s="45"/>
      <c r="AS848" s="45"/>
      <c r="AT848" s="45"/>
      <c r="AU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c r="AT849" s="45"/>
      <c r="AU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c r="AP850" s="45"/>
      <c r="AQ850" s="45"/>
      <c r="AR850" s="45"/>
      <c r="AS850" s="45"/>
      <c r="AT850" s="45"/>
      <c r="AU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c r="AR851" s="45"/>
      <c r="AS851" s="45"/>
      <c r="AT851" s="45"/>
      <c r="AU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c r="AR852" s="45"/>
      <c r="AS852" s="45"/>
      <c r="AT852" s="45"/>
      <c r="AU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c r="AR853" s="45"/>
      <c r="AS853" s="45"/>
      <c r="AT853" s="45"/>
      <c r="AU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c r="AR854" s="45"/>
      <c r="AS854" s="45"/>
      <c r="AT854" s="45"/>
      <c r="AU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c r="AR855" s="45"/>
      <c r="AS855" s="45"/>
      <c r="AT855" s="45"/>
      <c r="AU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c r="AP856" s="45"/>
      <c r="AQ856" s="45"/>
      <c r="AR856" s="45"/>
      <c r="AS856" s="45"/>
      <c r="AT856" s="45"/>
      <c r="AU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c r="AR857" s="45"/>
      <c r="AS857" s="45"/>
      <c r="AT857" s="45"/>
      <c r="AU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c r="AR858" s="45"/>
      <c r="AS858" s="45"/>
      <c r="AT858" s="45"/>
      <c r="AU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c r="AR859" s="45"/>
      <c r="AS859" s="45"/>
      <c r="AT859" s="45"/>
      <c r="AU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c r="AR860" s="45"/>
      <c r="AS860" s="45"/>
      <c r="AT860" s="45"/>
      <c r="AU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c r="AP861" s="45"/>
      <c r="AQ861" s="45"/>
      <c r="AR861" s="45"/>
      <c r="AS861" s="45"/>
      <c r="AT861" s="45"/>
      <c r="AU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c r="AP862" s="45"/>
      <c r="AQ862" s="45"/>
      <c r="AR862" s="45"/>
      <c r="AS862" s="45"/>
      <c r="AT862" s="45"/>
      <c r="AU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c r="AP863" s="45"/>
      <c r="AQ863" s="45"/>
      <c r="AR863" s="45"/>
      <c r="AS863" s="45"/>
      <c r="AT863" s="45"/>
      <c r="AU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c r="AP864" s="45"/>
      <c r="AQ864" s="45"/>
      <c r="AR864" s="45"/>
      <c r="AS864" s="45"/>
      <c r="AT864" s="45"/>
      <c r="AU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c r="AP865" s="45"/>
      <c r="AQ865" s="45"/>
      <c r="AR865" s="45"/>
      <c r="AS865" s="45"/>
      <c r="AT865" s="45"/>
      <c r="AU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c r="AP866" s="45"/>
      <c r="AQ866" s="45"/>
      <c r="AR866" s="45"/>
      <c r="AS866" s="45"/>
      <c r="AT866" s="45"/>
      <c r="AU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c r="AP867" s="45"/>
      <c r="AQ867" s="45"/>
      <c r="AR867" s="45"/>
      <c r="AS867" s="45"/>
      <c r="AT867" s="45"/>
      <c r="AU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c r="AP868" s="45"/>
      <c r="AQ868" s="45"/>
      <c r="AR868" s="45"/>
      <c r="AS868" s="45"/>
      <c r="AT868" s="45"/>
      <c r="AU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c r="AP869" s="45"/>
      <c r="AQ869" s="45"/>
      <c r="AR869" s="45"/>
      <c r="AS869" s="45"/>
      <c r="AT869" s="45"/>
      <c r="AU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c r="AP870" s="45"/>
      <c r="AQ870" s="45"/>
      <c r="AR870" s="45"/>
      <c r="AS870" s="45"/>
      <c r="AT870" s="45"/>
      <c r="AU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c r="AP871" s="45"/>
      <c r="AQ871" s="45"/>
      <c r="AR871" s="45"/>
      <c r="AS871" s="45"/>
      <c r="AT871" s="45"/>
      <c r="AU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c r="AP872" s="45"/>
      <c r="AQ872" s="45"/>
      <c r="AR872" s="45"/>
      <c r="AS872" s="45"/>
      <c r="AT872" s="45"/>
      <c r="AU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c r="AP873" s="45"/>
      <c r="AQ873" s="45"/>
      <c r="AR873" s="45"/>
      <c r="AS873" s="45"/>
      <c r="AT873" s="45"/>
      <c r="AU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c r="AP874" s="45"/>
      <c r="AQ874" s="45"/>
      <c r="AR874" s="45"/>
      <c r="AS874" s="45"/>
      <c r="AT874" s="45"/>
      <c r="AU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c r="AP875" s="45"/>
      <c r="AQ875" s="45"/>
      <c r="AR875" s="45"/>
      <c r="AS875" s="45"/>
      <c r="AT875" s="45"/>
      <c r="AU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c r="AP876" s="45"/>
      <c r="AQ876" s="45"/>
      <c r="AR876" s="45"/>
      <c r="AS876" s="45"/>
      <c r="AT876" s="45"/>
      <c r="AU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c r="AP877" s="45"/>
      <c r="AQ877" s="45"/>
      <c r="AR877" s="45"/>
      <c r="AS877" s="45"/>
      <c r="AT877" s="45"/>
      <c r="AU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c r="AP878" s="45"/>
      <c r="AQ878" s="45"/>
      <c r="AR878" s="45"/>
      <c r="AS878" s="45"/>
      <c r="AT878" s="45"/>
      <c r="AU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c r="AP879" s="45"/>
      <c r="AQ879" s="45"/>
      <c r="AR879" s="45"/>
      <c r="AS879" s="45"/>
      <c r="AT879" s="45"/>
      <c r="AU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c r="AP880" s="45"/>
      <c r="AQ880" s="45"/>
      <c r="AR880" s="45"/>
      <c r="AS880" s="45"/>
      <c r="AT880" s="45"/>
      <c r="AU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c r="AP881" s="45"/>
      <c r="AQ881" s="45"/>
      <c r="AR881" s="45"/>
      <c r="AS881" s="45"/>
      <c r="AT881" s="45"/>
      <c r="AU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c r="AP882" s="45"/>
      <c r="AQ882" s="45"/>
      <c r="AR882" s="45"/>
      <c r="AS882" s="45"/>
      <c r="AT882" s="45"/>
      <c r="AU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c r="AP883" s="45"/>
      <c r="AQ883" s="45"/>
      <c r="AR883" s="45"/>
      <c r="AS883" s="45"/>
      <c r="AT883" s="45"/>
      <c r="AU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c r="AP884" s="45"/>
      <c r="AQ884" s="45"/>
      <c r="AR884" s="45"/>
      <c r="AS884" s="45"/>
      <c r="AT884" s="45"/>
      <c r="AU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c r="AP885" s="45"/>
      <c r="AQ885" s="45"/>
      <c r="AR885" s="45"/>
      <c r="AS885" s="45"/>
      <c r="AT885" s="45"/>
      <c r="AU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c r="AP886" s="45"/>
      <c r="AQ886" s="45"/>
      <c r="AR886" s="45"/>
      <c r="AS886" s="45"/>
      <c r="AT886" s="45"/>
      <c r="AU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c r="AP887" s="45"/>
      <c r="AQ887" s="45"/>
      <c r="AR887" s="45"/>
      <c r="AS887" s="45"/>
      <c r="AT887" s="45"/>
      <c r="AU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c r="AP888" s="45"/>
      <c r="AQ888" s="45"/>
      <c r="AR888" s="45"/>
      <c r="AS888" s="45"/>
      <c r="AT888" s="45"/>
      <c r="AU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c r="AP889" s="45"/>
      <c r="AQ889" s="45"/>
      <c r="AR889" s="45"/>
      <c r="AS889" s="45"/>
      <c r="AT889" s="45"/>
      <c r="AU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c r="AP890" s="45"/>
      <c r="AQ890" s="45"/>
      <c r="AR890" s="45"/>
      <c r="AS890" s="45"/>
      <c r="AT890" s="45"/>
      <c r="AU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c r="AP891" s="45"/>
      <c r="AQ891" s="45"/>
      <c r="AR891" s="45"/>
      <c r="AS891" s="45"/>
      <c r="AT891" s="45"/>
      <c r="AU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c r="AP892" s="45"/>
      <c r="AQ892" s="45"/>
      <c r="AR892" s="45"/>
      <c r="AS892" s="45"/>
      <c r="AT892" s="45"/>
      <c r="AU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c r="AP893" s="45"/>
      <c r="AQ893" s="45"/>
      <c r="AR893" s="45"/>
      <c r="AS893" s="45"/>
      <c r="AT893" s="45"/>
      <c r="AU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c r="AP894" s="45"/>
      <c r="AQ894" s="45"/>
      <c r="AR894" s="45"/>
      <c r="AS894" s="45"/>
      <c r="AT894" s="45"/>
      <c r="AU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c r="AP895" s="45"/>
      <c r="AQ895" s="45"/>
      <c r="AR895" s="45"/>
      <c r="AS895" s="45"/>
      <c r="AT895" s="45"/>
      <c r="AU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c r="AP896" s="45"/>
      <c r="AQ896" s="45"/>
      <c r="AR896" s="45"/>
      <c r="AS896" s="45"/>
      <c r="AT896" s="45"/>
      <c r="AU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c r="AP897" s="45"/>
      <c r="AQ897" s="45"/>
      <c r="AR897" s="45"/>
      <c r="AS897" s="45"/>
      <c r="AT897" s="45"/>
      <c r="AU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c r="AP898" s="45"/>
      <c r="AQ898" s="45"/>
      <c r="AR898" s="45"/>
      <c r="AS898" s="45"/>
      <c r="AT898" s="45"/>
      <c r="AU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c r="AP899" s="45"/>
      <c r="AQ899" s="45"/>
      <c r="AR899" s="45"/>
      <c r="AS899" s="45"/>
      <c r="AT899" s="45"/>
      <c r="AU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c r="AP900" s="45"/>
      <c r="AQ900" s="45"/>
      <c r="AR900" s="45"/>
      <c r="AS900" s="45"/>
      <c r="AT900" s="45"/>
      <c r="AU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c r="AP901" s="45"/>
      <c r="AQ901" s="45"/>
      <c r="AR901" s="45"/>
      <c r="AS901" s="45"/>
      <c r="AT901" s="45"/>
      <c r="AU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c r="AP902" s="45"/>
      <c r="AQ902" s="45"/>
      <c r="AR902" s="45"/>
      <c r="AS902" s="45"/>
      <c r="AT902" s="45"/>
      <c r="AU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c r="AP903" s="45"/>
      <c r="AQ903" s="45"/>
      <c r="AR903" s="45"/>
      <c r="AS903" s="45"/>
      <c r="AT903" s="45"/>
      <c r="AU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c r="AP904" s="45"/>
      <c r="AQ904" s="45"/>
      <c r="AR904" s="45"/>
      <c r="AS904" s="45"/>
      <c r="AT904" s="45"/>
      <c r="AU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c r="AP905" s="45"/>
      <c r="AQ905" s="45"/>
      <c r="AR905" s="45"/>
      <c r="AS905" s="45"/>
      <c r="AT905" s="45"/>
      <c r="AU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c r="AP906" s="45"/>
      <c r="AQ906" s="45"/>
      <c r="AR906" s="45"/>
      <c r="AS906" s="45"/>
      <c r="AT906" s="45"/>
      <c r="AU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c r="AP907" s="45"/>
      <c r="AQ907" s="45"/>
      <c r="AR907" s="45"/>
      <c r="AS907" s="45"/>
      <c r="AT907" s="45"/>
      <c r="AU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c r="AP908" s="45"/>
      <c r="AQ908" s="45"/>
      <c r="AR908" s="45"/>
      <c r="AS908" s="45"/>
      <c r="AT908" s="45"/>
      <c r="AU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c r="AP909" s="45"/>
      <c r="AQ909" s="45"/>
      <c r="AR909" s="45"/>
      <c r="AS909" s="45"/>
      <c r="AT909" s="45"/>
      <c r="AU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c r="AP910" s="45"/>
      <c r="AQ910" s="45"/>
      <c r="AR910" s="45"/>
      <c r="AS910" s="45"/>
      <c r="AT910" s="45"/>
      <c r="AU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c r="AP911" s="45"/>
      <c r="AQ911" s="45"/>
      <c r="AR911" s="45"/>
      <c r="AS911" s="45"/>
      <c r="AT911" s="45"/>
      <c r="AU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c r="AP912" s="45"/>
      <c r="AQ912" s="45"/>
      <c r="AR912" s="45"/>
      <c r="AS912" s="45"/>
      <c r="AT912" s="45"/>
      <c r="AU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c r="AP913" s="45"/>
      <c r="AQ913" s="45"/>
      <c r="AR913" s="45"/>
      <c r="AS913" s="45"/>
      <c r="AT913" s="45"/>
      <c r="AU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c r="AP914" s="45"/>
      <c r="AQ914" s="45"/>
      <c r="AR914" s="45"/>
      <c r="AS914" s="45"/>
      <c r="AT914" s="45"/>
      <c r="AU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c r="AP915" s="45"/>
      <c r="AQ915" s="45"/>
      <c r="AR915" s="45"/>
      <c r="AS915" s="45"/>
      <c r="AT915" s="45"/>
      <c r="AU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c r="AP916" s="45"/>
      <c r="AQ916" s="45"/>
      <c r="AR916" s="45"/>
      <c r="AS916" s="45"/>
      <c r="AT916" s="45"/>
      <c r="AU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c r="AP917" s="45"/>
      <c r="AQ917" s="45"/>
      <c r="AR917" s="45"/>
      <c r="AS917" s="45"/>
      <c r="AT917" s="45"/>
      <c r="AU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c r="AP918" s="45"/>
      <c r="AQ918" s="45"/>
      <c r="AR918" s="45"/>
      <c r="AS918" s="45"/>
      <c r="AT918" s="45"/>
      <c r="AU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c r="AP919" s="45"/>
      <c r="AQ919" s="45"/>
      <c r="AR919" s="45"/>
      <c r="AS919" s="45"/>
      <c r="AT919" s="45"/>
      <c r="AU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c r="AJ920" s="45"/>
      <c r="AK920" s="45"/>
      <c r="AL920" s="45"/>
      <c r="AM920" s="45"/>
      <c r="AN920" s="45"/>
      <c r="AO920" s="45"/>
      <c r="AP920" s="45"/>
      <c r="AQ920" s="45"/>
      <c r="AR920" s="45"/>
      <c r="AS920" s="45"/>
      <c r="AT920" s="45"/>
      <c r="AU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c r="AJ921" s="45"/>
      <c r="AK921" s="45"/>
      <c r="AL921" s="45"/>
      <c r="AM921" s="45"/>
      <c r="AN921" s="45"/>
      <c r="AO921" s="45"/>
      <c r="AP921" s="45"/>
      <c r="AQ921" s="45"/>
      <c r="AR921" s="45"/>
      <c r="AS921" s="45"/>
      <c r="AT921" s="45"/>
      <c r="AU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c r="AJ922" s="45"/>
      <c r="AK922" s="45"/>
      <c r="AL922" s="45"/>
      <c r="AM922" s="45"/>
      <c r="AN922" s="45"/>
      <c r="AO922" s="45"/>
      <c r="AP922" s="45"/>
      <c r="AQ922" s="45"/>
      <c r="AR922" s="45"/>
      <c r="AS922" s="45"/>
      <c r="AT922" s="45"/>
      <c r="AU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c r="AJ923" s="45"/>
      <c r="AK923" s="45"/>
      <c r="AL923" s="45"/>
      <c r="AM923" s="45"/>
      <c r="AN923" s="45"/>
      <c r="AO923" s="45"/>
      <c r="AP923" s="45"/>
      <c r="AQ923" s="45"/>
      <c r="AR923" s="45"/>
      <c r="AS923" s="45"/>
      <c r="AT923" s="45"/>
      <c r="AU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c r="AJ924" s="45"/>
      <c r="AK924" s="45"/>
      <c r="AL924" s="45"/>
      <c r="AM924" s="45"/>
      <c r="AN924" s="45"/>
      <c r="AO924" s="45"/>
      <c r="AP924" s="45"/>
      <c r="AQ924" s="45"/>
      <c r="AR924" s="45"/>
      <c r="AS924" s="45"/>
      <c r="AT924" s="45"/>
      <c r="AU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c r="AJ925" s="45"/>
      <c r="AK925" s="45"/>
      <c r="AL925" s="45"/>
      <c r="AM925" s="45"/>
      <c r="AN925" s="45"/>
      <c r="AO925" s="45"/>
      <c r="AP925" s="45"/>
      <c r="AQ925" s="45"/>
      <c r="AR925" s="45"/>
      <c r="AS925" s="45"/>
      <c r="AT925" s="45"/>
      <c r="AU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c r="AJ926" s="45"/>
      <c r="AK926" s="45"/>
      <c r="AL926" s="45"/>
      <c r="AM926" s="45"/>
      <c r="AN926" s="45"/>
      <c r="AO926" s="45"/>
      <c r="AP926" s="45"/>
      <c r="AQ926" s="45"/>
      <c r="AR926" s="45"/>
      <c r="AS926" s="45"/>
      <c r="AT926" s="45"/>
      <c r="AU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c r="AJ927" s="45"/>
      <c r="AK927" s="45"/>
      <c r="AL927" s="45"/>
      <c r="AM927" s="45"/>
      <c r="AN927" s="45"/>
      <c r="AO927" s="45"/>
      <c r="AP927" s="45"/>
      <c r="AQ927" s="45"/>
      <c r="AR927" s="45"/>
      <c r="AS927" s="45"/>
      <c r="AT927" s="45"/>
      <c r="AU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c r="AJ928" s="45"/>
      <c r="AK928" s="45"/>
      <c r="AL928" s="45"/>
      <c r="AM928" s="45"/>
      <c r="AN928" s="45"/>
      <c r="AO928" s="45"/>
      <c r="AP928" s="45"/>
      <c r="AQ928" s="45"/>
      <c r="AR928" s="45"/>
      <c r="AS928" s="45"/>
      <c r="AT928" s="45"/>
      <c r="AU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c r="AJ929" s="45"/>
      <c r="AK929" s="45"/>
      <c r="AL929" s="45"/>
      <c r="AM929" s="45"/>
      <c r="AN929" s="45"/>
      <c r="AO929" s="45"/>
      <c r="AP929" s="45"/>
      <c r="AQ929" s="45"/>
      <c r="AR929" s="45"/>
      <c r="AS929" s="45"/>
      <c r="AT929" s="45"/>
      <c r="AU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c r="AJ930" s="45"/>
      <c r="AK930" s="45"/>
      <c r="AL930" s="45"/>
      <c r="AM930" s="45"/>
      <c r="AN930" s="45"/>
      <c r="AO930" s="45"/>
      <c r="AP930" s="45"/>
      <c r="AQ930" s="45"/>
      <c r="AR930" s="45"/>
      <c r="AS930" s="45"/>
      <c r="AT930" s="45"/>
      <c r="AU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c r="AJ931" s="45"/>
      <c r="AK931" s="45"/>
      <c r="AL931" s="45"/>
      <c r="AM931" s="45"/>
      <c r="AN931" s="45"/>
      <c r="AO931" s="45"/>
      <c r="AP931" s="45"/>
      <c r="AQ931" s="45"/>
      <c r="AR931" s="45"/>
      <c r="AS931" s="45"/>
      <c r="AT931" s="45"/>
      <c r="AU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c r="AJ932" s="45"/>
      <c r="AK932" s="45"/>
      <c r="AL932" s="45"/>
      <c r="AM932" s="45"/>
      <c r="AN932" s="45"/>
      <c r="AO932" s="45"/>
      <c r="AP932" s="45"/>
      <c r="AQ932" s="45"/>
      <c r="AR932" s="45"/>
      <c r="AS932" s="45"/>
      <c r="AT932" s="45"/>
      <c r="AU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c r="AJ933" s="45"/>
      <c r="AK933" s="45"/>
      <c r="AL933" s="45"/>
      <c r="AM933" s="45"/>
      <c r="AN933" s="45"/>
      <c r="AO933" s="45"/>
      <c r="AP933" s="45"/>
      <c r="AQ933" s="45"/>
      <c r="AR933" s="45"/>
      <c r="AS933" s="45"/>
      <c r="AT933" s="45"/>
      <c r="AU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c r="AJ934" s="45"/>
      <c r="AK934" s="45"/>
      <c r="AL934" s="45"/>
      <c r="AM934" s="45"/>
      <c r="AN934" s="45"/>
      <c r="AO934" s="45"/>
      <c r="AP934" s="45"/>
      <c r="AQ934" s="45"/>
      <c r="AR934" s="45"/>
      <c r="AS934" s="45"/>
      <c r="AT934" s="45"/>
      <c r="AU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c r="AJ935" s="45"/>
      <c r="AK935" s="45"/>
      <c r="AL935" s="45"/>
      <c r="AM935" s="45"/>
      <c r="AN935" s="45"/>
      <c r="AO935" s="45"/>
      <c r="AP935" s="45"/>
      <c r="AQ935" s="45"/>
      <c r="AR935" s="45"/>
      <c r="AS935" s="45"/>
      <c r="AT935" s="45"/>
      <c r="AU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c r="AJ936" s="45"/>
      <c r="AK936" s="45"/>
      <c r="AL936" s="45"/>
      <c r="AM936" s="45"/>
      <c r="AN936" s="45"/>
      <c r="AO936" s="45"/>
      <c r="AP936" s="45"/>
      <c r="AQ936" s="45"/>
      <c r="AR936" s="45"/>
      <c r="AS936" s="45"/>
      <c r="AT936" s="45"/>
      <c r="AU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c r="AJ937" s="45"/>
      <c r="AK937" s="45"/>
      <c r="AL937" s="45"/>
      <c r="AM937" s="45"/>
      <c r="AN937" s="45"/>
      <c r="AO937" s="45"/>
      <c r="AP937" s="45"/>
      <c r="AQ937" s="45"/>
      <c r="AR937" s="45"/>
      <c r="AS937" s="45"/>
      <c r="AT937" s="45"/>
      <c r="AU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c r="AJ938" s="45"/>
      <c r="AK938" s="45"/>
      <c r="AL938" s="45"/>
      <c r="AM938" s="45"/>
      <c r="AN938" s="45"/>
      <c r="AO938" s="45"/>
      <c r="AP938" s="45"/>
      <c r="AQ938" s="45"/>
      <c r="AR938" s="45"/>
      <c r="AS938" s="45"/>
      <c r="AT938" s="45"/>
      <c r="AU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c r="AJ939" s="45"/>
      <c r="AK939" s="45"/>
      <c r="AL939" s="45"/>
      <c r="AM939" s="45"/>
      <c r="AN939" s="45"/>
      <c r="AO939" s="45"/>
      <c r="AP939" s="45"/>
      <c r="AQ939" s="45"/>
      <c r="AR939" s="45"/>
      <c r="AS939" s="45"/>
      <c r="AT939" s="45"/>
      <c r="AU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c r="AJ940" s="45"/>
      <c r="AK940" s="45"/>
      <c r="AL940" s="45"/>
      <c r="AM940" s="45"/>
      <c r="AN940" s="45"/>
      <c r="AO940" s="45"/>
      <c r="AP940" s="45"/>
      <c r="AQ940" s="45"/>
      <c r="AR940" s="45"/>
      <c r="AS940" s="45"/>
      <c r="AT940" s="45"/>
      <c r="AU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c r="AJ941" s="45"/>
      <c r="AK941" s="45"/>
      <c r="AL941" s="45"/>
      <c r="AM941" s="45"/>
      <c r="AN941" s="45"/>
      <c r="AO941" s="45"/>
      <c r="AP941" s="45"/>
      <c r="AQ941" s="45"/>
      <c r="AR941" s="45"/>
      <c r="AS941" s="45"/>
      <c r="AT941" s="45"/>
      <c r="AU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c r="AJ942" s="45"/>
      <c r="AK942" s="45"/>
      <c r="AL942" s="45"/>
      <c r="AM942" s="45"/>
      <c r="AN942" s="45"/>
      <c r="AO942" s="45"/>
      <c r="AP942" s="45"/>
      <c r="AQ942" s="45"/>
      <c r="AR942" s="45"/>
      <c r="AS942" s="45"/>
      <c r="AT942" s="45"/>
      <c r="AU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c r="AJ943" s="45"/>
      <c r="AK943" s="45"/>
      <c r="AL943" s="45"/>
      <c r="AM943" s="45"/>
      <c r="AN943" s="45"/>
      <c r="AO943" s="45"/>
      <c r="AP943" s="45"/>
      <c r="AQ943" s="45"/>
      <c r="AR943" s="45"/>
      <c r="AS943" s="45"/>
      <c r="AT943" s="45"/>
      <c r="AU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c r="AJ944" s="45"/>
      <c r="AK944" s="45"/>
      <c r="AL944" s="45"/>
      <c r="AM944" s="45"/>
      <c r="AN944" s="45"/>
      <c r="AO944" s="45"/>
      <c r="AP944" s="45"/>
      <c r="AQ944" s="45"/>
      <c r="AR944" s="45"/>
      <c r="AS944" s="45"/>
      <c r="AT944" s="45"/>
      <c r="AU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c r="AJ945" s="45"/>
      <c r="AK945" s="45"/>
      <c r="AL945" s="45"/>
      <c r="AM945" s="45"/>
      <c r="AN945" s="45"/>
      <c r="AO945" s="45"/>
      <c r="AP945" s="45"/>
      <c r="AQ945" s="45"/>
      <c r="AR945" s="45"/>
      <c r="AS945" s="45"/>
      <c r="AT945" s="45"/>
      <c r="AU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c r="AJ946" s="45"/>
      <c r="AK946" s="45"/>
      <c r="AL946" s="45"/>
      <c r="AM946" s="45"/>
      <c r="AN946" s="45"/>
      <c r="AO946" s="45"/>
      <c r="AP946" s="45"/>
      <c r="AQ946" s="45"/>
      <c r="AR946" s="45"/>
      <c r="AS946" s="45"/>
      <c r="AT946" s="45"/>
      <c r="AU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c r="AJ947" s="45"/>
      <c r="AK947" s="45"/>
      <c r="AL947" s="45"/>
      <c r="AM947" s="45"/>
      <c r="AN947" s="45"/>
      <c r="AO947" s="45"/>
      <c r="AP947" s="45"/>
      <c r="AQ947" s="45"/>
      <c r="AR947" s="45"/>
      <c r="AS947" s="45"/>
      <c r="AT947" s="45"/>
      <c r="AU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c r="AJ948" s="45"/>
      <c r="AK948" s="45"/>
      <c r="AL948" s="45"/>
      <c r="AM948" s="45"/>
      <c r="AN948" s="45"/>
      <c r="AO948" s="45"/>
      <c r="AP948" s="45"/>
      <c r="AQ948" s="45"/>
      <c r="AR948" s="45"/>
      <c r="AS948" s="45"/>
      <c r="AT948" s="45"/>
      <c r="AU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c r="AJ949" s="45"/>
      <c r="AK949" s="45"/>
      <c r="AL949" s="45"/>
      <c r="AM949" s="45"/>
      <c r="AN949" s="45"/>
      <c r="AO949" s="45"/>
      <c r="AP949" s="45"/>
      <c r="AQ949" s="45"/>
      <c r="AR949" s="45"/>
      <c r="AS949" s="45"/>
      <c r="AT949" s="45"/>
      <c r="AU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c r="AJ950" s="45"/>
      <c r="AK950" s="45"/>
      <c r="AL950" s="45"/>
      <c r="AM950" s="45"/>
      <c r="AN950" s="45"/>
      <c r="AO950" s="45"/>
      <c r="AP950" s="45"/>
      <c r="AQ950" s="45"/>
      <c r="AR950" s="45"/>
      <c r="AS950" s="45"/>
      <c r="AT950" s="45"/>
      <c r="AU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c r="AJ951" s="45"/>
      <c r="AK951" s="45"/>
      <c r="AL951" s="45"/>
      <c r="AM951" s="45"/>
      <c r="AN951" s="45"/>
      <c r="AO951" s="45"/>
      <c r="AP951" s="45"/>
      <c r="AQ951" s="45"/>
      <c r="AR951" s="45"/>
      <c r="AS951" s="45"/>
      <c r="AT951" s="45"/>
      <c r="AU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c r="AJ952" s="45"/>
      <c r="AK952" s="45"/>
      <c r="AL952" s="45"/>
      <c r="AM952" s="45"/>
      <c r="AN952" s="45"/>
      <c r="AO952" s="45"/>
      <c r="AP952" s="45"/>
      <c r="AQ952" s="45"/>
      <c r="AR952" s="45"/>
      <c r="AS952" s="45"/>
      <c r="AT952" s="45"/>
      <c r="AU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c r="AJ953" s="45"/>
      <c r="AK953" s="45"/>
      <c r="AL953" s="45"/>
      <c r="AM953" s="45"/>
      <c r="AN953" s="45"/>
      <c r="AO953" s="45"/>
      <c r="AP953" s="45"/>
      <c r="AQ953" s="45"/>
      <c r="AR953" s="45"/>
      <c r="AS953" s="45"/>
      <c r="AT953" s="45"/>
      <c r="AU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c r="AJ954" s="45"/>
      <c r="AK954" s="45"/>
      <c r="AL954" s="45"/>
      <c r="AM954" s="45"/>
      <c r="AN954" s="45"/>
      <c r="AO954" s="45"/>
      <c r="AP954" s="45"/>
      <c r="AQ954" s="45"/>
      <c r="AR954" s="45"/>
      <c r="AS954" s="45"/>
      <c r="AT954" s="45"/>
      <c r="AU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c r="AJ955" s="45"/>
      <c r="AK955" s="45"/>
      <c r="AL955" s="45"/>
      <c r="AM955" s="45"/>
      <c r="AN955" s="45"/>
      <c r="AO955" s="45"/>
      <c r="AP955" s="45"/>
      <c r="AQ955" s="45"/>
      <c r="AR955" s="45"/>
      <c r="AS955" s="45"/>
      <c r="AT955" s="45"/>
      <c r="AU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c r="AJ956" s="45"/>
      <c r="AK956" s="45"/>
      <c r="AL956" s="45"/>
      <c r="AM956" s="45"/>
      <c r="AN956" s="45"/>
      <c r="AO956" s="45"/>
      <c r="AP956" s="45"/>
      <c r="AQ956" s="45"/>
      <c r="AR956" s="45"/>
      <c r="AS956" s="45"/>
      <c r="AT956" s="45"/>
      <c r="AU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c r="AJ957" s="45"/>
      <c r="AK957" s="45"/>
      <c r="AL957" s="45"/>
      <c r="AM957" s="45"/>
      <c r="AN957" s="45"/>
      <c r="AO957" s="45"/>
      <c r="AP957" s="45"/>
      <c r="AQ957" s="45"/>
      <c r="AR957" s="45"/>
      <c r="AS957" s="45"/>
      <c r="AT957" s="45"/>
      <c r="AU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c r="AJ958" s="45"/>
      <c r="AK958" s="45"/>
      <c r="AL958" s="45"/>
      <c r="AM958" s="45"/>
      <c r="AN958" s="45"/>
      <c r="AO958" s="45"/>
      <c r="AP958" s="45"/>
      <c r="AQ958" s="45"/>
      <c r="AR958" s="45"/>
      <c r="AS958" s="45"/>
      <c r="AT958" s="45"/>
      <c r="AU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c r="AJ959" s="45"/>
      <c r="AK959" s="45"/>
      <c r="AL959" s="45"/>
      <c r="AM959" s="45"/>
      <c r="AN959" s="45"/>
      <c r="AO959" s="45"/>
      <c r="AP959" s="45"/>
      <c r="AQ959" s="45"/>
      <c r="AR959" s="45"/>
      <c r="AS959" s="45"/>
      <c r="AT959" s="45"/>
      <c r="AU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c r="AJ960" s="45"/>
      <c r="AK960" s="45"/>
      <c r="AL960" s="45"/>
      <c r="AM960" s="45"/>
      <c r="AN960" s="45"/>
      <c r="AO960" s="45"/>
      <c r="AP960" s="45"/>
      <c r="AQ960" s="45"/>
      <c r="AR960" s="45"/>
      <c r="AS960" s="45"/>
      <c r="AT960" s="45"/>
      <c r="AU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c r="AJ961" s="45"/>
      <c r="AK961" s="45"/>
      <c r="AL961" s="45"/>
      <c r="AM961" s="45"/>
      <c r="AN961" s="45"/>
      <c r="AO961" s="45"/>
      <c r="AP961" s="45"/>
      <c r="AQ961" s="45"/>
      <c r="AR961" s="45"/>
      <c r="AS961" s="45"/>
      <c r="AT961" s="45"/>
      <c r="AU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c r="AJ962" s="45"/>
      <c r="AK962" s="45"/>
      <c r="AL962" s="45"/>
      <c r="AM962" s="45"/>
      <c r="AN962" s="45"/>
      <c r="AO962" s="45"/>
      <c r="AP962" s="45"/>
      <c r="AQ962" s="45"/>
      <c r="AR962" s="45"/>
      <c r="AS962" s="45"/>
      <c r="AT962" s="45"/>
      <c r="AU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c r="AJ963" s="45"/>
      <c r="AK963" s="45"/>
      <c r="AL963" s="45"/>
      <c r="AM963" s="45"/>
      <c r="AN963" s="45"/>
      <c r="AO963" s="45"/>
      <c r="AP963" s="45"/>
      <c r="AQ963" s="45"/>
      <c r="AR963" s="45"/>
      <c r="AS963" s="45"/>
      <c r="AT963" s="45"/>
      <c r="AU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c r="AJ964" s="45"/>
      <c r="AK964" s="45"/>
      <c r="AL964" s="45"/>
      <c r="AM964" s="45"/>
      <c r="AN964" s="45"/>
      <c r="AO964" s="45"/>
      <c r="AP964" s="45"/>
      <c r="AQ964" s="45"/>
      <c r="AR964" s="45"/>
      <c r="AS964" s="45"/>
      <c r="AT964" s="45"/>
      <c r="AU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c r="AJ965" s="45"/>
      <c r="AK965" s="45"/>
      <c r="AL965" s="45"/>
      <c r="AM965" s="45"/>
      <c r="AN965" s="45"/>
      <c r="AO965" s="45"/>
      <c r="AP965" s="45"/>
      <c r="AQ965" s="45"/>
      <c r="AR965" s="45"/>
      <c r="AS965" s="45"/>
      <c r="AT965" s="45"/>
      <c r="AU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c r="AJ966" s="45"/>
      <c r="AK966" s="45"/>
      <c r="AL966" s="45"/>
      <c r="AM966" s="45"/>
      <c r="AN966" s="45"/>
      <c r="AO966" s="45"/>
      <c r="AP966" s="45"/>
      <c r="AQ966" s="45"/>
      <c r="AR966" s="45"/>
      <c r="AS966" s="45"/>
      <c r="AT966" s="45"/>
      <c r="AU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c r="AJ967" s="45"/>
      <c r="AK967" s="45"/>
      <c r="AL967" s="45"/>
      <c r="AM967" s="45"/>
      <c r="AN967" s="45"/>
      <c r="AO967" s="45"/>
      <c r="AP967" s="45"/>
      <c r="AQ967" s="45"/>
      <c r="AR967" s="45"/>
      <c r="AS967" s="45"/>
      <c r="AT967" s="45"/>
      <c r="AU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c r="AJ968" s="45"/>
      <c r="AK968" s="45"/>
      <c r="AL968" s="45"/>
      <c r="AM968" s="45"/>
      <c r="AN968" s="45"/>
      <c r="AO968" s="45"/>
      <c r="AP968" s="45"/>
      <c r="AQ968" s="45"/>
      <c r="AR968" s="45"/>
      <c r="AS968" s="45"/>
      <c r="AT968" s="45"/>
      <c r="AU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c r="AJ969" s="45"/>
      <c r="AK969" s="45"/>
      <c r="AL969" s="45"/>
      <c r="AM969" s="45"/>
      <c r="AN969" s="45"/>
      <c r="AO969" s="45"/>
      <c r="AP969" s="45"/>
      <c r="AQ969" s="45"/>
      <c r="AR969" s="45"/>
      <c r="AS969" s="45"/>
      <c r="AT969" s="45"/>
      <c r="AU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c r="AJ970" s="45"/>
      <c r="AK970" s="45"/>
      <c r="AL970" s="45"/>
      <c r="AM970" s="45"/>
      <c r="AN970" s="45"/>
      <c r="AO970" s="45"/>
      <c r="AP970" s="45"/>
      <c r="AQ970" s="45"/>
      <c r="AR970" s="45"/>
      <c r="AS970" s="45"/>
      <c r="AT970" s="45"/>
      <c r="AU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c r="AJ971" s="45"/>
      <c r="AK971" s="45"/>
      <c r="AL971" s="45"/>
      <c r="AM971" s="45"/>
      <c r="AN971" s="45"/>
      <c r="AO971" s="45"/>
      <c r="AP971" s="45"/>
      <c r="AQ971" s="45"/>
      <c r="AR971" s="45"/>
      <c r="AS971" s="45"/>
      <c r="AT971" s="45"/>
      <c r="AU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c r="AJ972" s="45"/>
      <c r="AK972" s="45"/>
      <c r="AL972" s="45"/>
      <c r="AM972" s="45"/>
      <c r="AN972" s="45"/>
      <c r="AO972" s="45"/>
      <c r="AP972" s="45"/>
      <c r="AQ972" s="45"/>
      <c r="AR972" s="45"/>
      <c r="AS972" s="45"/>
      <c r="AT972" s="45"/>
      <c r="AU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c r="AJ973" s="45"/>
      <c r="AK973" s="45"/>
      <c r="AL973" s="45"/>
      <c r="AM973" s="45"/>
      <c r="AN973" s="45"/>
      <c r="AO973" s="45"/>
      <c r="AP973" s="45"/>
      <c r="AQ973" s="45"/>
      <c r="AR973" s="45"/>
      <c r="AS973" s="45"/>
      <c r="AT973" s="45"/>
      <c r="AU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c r="AJ974" s="45"/>
      <c r="AK974" s="45"/>
      <c r="AL974" s="45"/>
      <c r="AM974" s="45"/>
      <c r="AN974" s="45"/>
      <c r="AO974" s="45"/>
      <c r="AP974" s="45"/>
      <c r="AQ974" s="45"/>
      <c r="AR974" s="45"/>
      <c r="AS974" s="45"/>
      <c r="AT974" s="45"/>
      <c r="AU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c r="AJ975" s="45"/>
      <c r="AK975" s="45"/>
      <c r="AL975" s="45"/>
      <c r="AM975" s="45"/>
      <c r="AN975" s="45"/>
      <c r="AO975" s="45"/>
      <c r="AP975" s="45"/>
      <c r="AQ975" s="45"/>
      <c r="AR975" s="45"/>
      <c r="AS975" s="45"/>
      <c r="AT975" s="45"/>
      <c r="AU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c r="AJ976" s="45"/>
      <c r="AK976" s="45"/>
      <c r="AL976" s="45"/>
      <c r="AM976" s="45"/>
      <c r="AN976" s="45"/>
      <c r="AO976" s="45"/>
      <c r="AP976" s="45"/>
      <c r="AQ976" s="45"/>
      <c r="AR976" s="45"/>
      <c r="AS976" s="45"/>
      <c r="AT976" s="45"/>
      <c r="AU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c r="AJ977" s="45"/>
      <c r="AK977" s="45"/>
      <c r="AL977" s="45"/>
      <c r="AM977" s="45"/>
      <c r="AN977" s="45"/>
      <c r="AO977" s="45"/>
      <c r="AP977" s="45"/>
      <c r="AQ977" s="45"/>
      <c r="AR977" s="45"/>
      <c r="AS977" s="45"/>
      <c r="AT977" s="45"/>
      <c r="AU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c r="AJ978" s="45"/>
      <c r="AK978" s="45"/>
      <c r="AL978" s="45"/>
      <c r="AM978" s="45"/>
      <c r="AN978" s="45"/>
      <c r="AO978" s="45"/>
      <c r="AP978" s="45"/>
      <c r="AQ978" s="45"/>
      <c r="AR978" s="45"/>
      <c r="AS978" s="45"/>
      <c r="AT978" s="45"/>
      <c r="AU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c r="AJ979" s="45"/>
      <c r="AK979" s="45"/>
      <c r="AL979" s="45"/>
      <c r="AM979" s="45"/>
      <c r="AN979" s="45"/>
      <c r="AO979" s="45"/>
      <c r="AP979" s="45"/>
      <c r="AQ979" s="45"/>
      <c r="AR979" s="45"/>
      <c r="AS979" s="45"/>
      <c r="AT979" s="45"/>
      <c r="AU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c r="AJ980" s="45"/>
      <c r="AK980" s="45"/>
      <c r="AL980" s="45"/>
      <c r="AM980" s="45"/>
      <c r="AN980" s="45"/>
      <c r="AO980" s="45"/>
      <c r="AP980" s="45"/>
      <c r="AQ980" s="45"/>
      <c r="AR980" s="45"/>
      <c r="AS980" s="45"/>
      <c r="AT980" s="45"/>
      <c r="AU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c r="AJ981" s="45"/>
      <c r="AK981" s="45"/>
      <c r="AL981" s="45"/>
      <c r="AM981" s="45"/>
      <c r="AN981" s="45"/>
      <c r="AO981" s="45"/>
      <c r="AP981" s="45"/>
      <c r="AQ981" s="45"/>
      <c r="AR981" s="45"/>
      <c r="AS981" s="45"/>
      <c r="AT981" s="45"/>
      <c r="AU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c r="AJ982" s="45"/>
      <c r="AK982" s="45"/>
      <c r="AL982" s="45"/>
      <c r="AM982" s="45"/>
      <c r="AN982" s="45"/>
      <c r="AO982" s="45"/>
      <c r="AP982" s="45"/>
      <c r="AQ982" s="45"/>
      <c r="AR982" s="45"/>
      <c r="AS982" s="45"/>
      <c r="AT982" s="45"/>
      <c r="AU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c r="AJ983" s="45"/>
      <c r="AK983" s="45"/>
      <c r="AL983" s="45"/>
      <c r="AM983" s="45"/>
      <c r="AN983" s="45"/>
      <c r="AO983" s="45"/>
      <c r="AP983" s="45"/>
      <c r="AQ983" s="45"/>
      <c r="AR983" s="45"/>
      <c r="AS983" s="45"/>
      <c r="AT983" s="45"/>
      <c r="AU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c r="AJ984" s="45"/>
      <c r="AK984" s="45"/>
      <c r="AL984" s="45"/>
      <c r="AM984" s="45"/>
      <c r="AN984" s="45"/>
      <c r="AO984" s="45"/>
      <c r="AP984" s="45"/>
      <c r="AQ984" s="45"/>
      <c r="AR984" s="45"/>
      <c r="AS984" s="45"/>
      <c r="AT984" s="45"/>
      <c r="AU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c r="AJ985" s="45"/>
      <c r="AK985" s="45"/>
      <c r="AL985" s="45"/>
      <c r="AM985" s="45"/>
      <c r="AN985" s="45"/>
      <c r="AO985" s="45"/>
      <c r="AP985" s="45"/>
      <c r="AQ985" s="45"/>
      <c r="AR985" s="45"/>
      <c r="AS985" s="45"/>
      <c r="AT985" s="45"/>
      <c r="AU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c r="AJ986" s="45"/>
      <c r="AK986" s="45"/>
      <c r="AL986" s="45"/>
      <c r="AM986" s="45"/>
      <c r="AN986" s="45"/>
      <c r="AO986" s="45"/>
      <c r="AP986" s="45"/>
      <c r="AQ986" s="45"/>
      <c r="AR986" s="45"/>
      <c r="AS986" s="45"/>
      <c r="AT986" s="45"/>
      <c r="AU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c r="AJ987" s="45"/>
      <c r="AK987" s="45"/>
      <c r="AL987" s="45"/>
      <c r="AM987" s="45"/>
      <c r="AN987" s="45"/>
      <c r="AO987" s="45"/>
      <c r="AP987" s="45"/>
      <c r="AQ987" s="45"/>
      <c r="AR987" s="45"/>
      <c r="AS987" s="45"/>
      <c r="AT987" s="45"/>
      <c r="AU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c r="AJ988" s="45"/>
      <c r="AK988" s="45"/>
      <c r="AL988" s="45"/>
      <c r="AM988" s="45"/>
      <c r="AN988" s="45"/>
      <c r="AO988" s="45"/>
      <c r="AP988" s="45"/>
      <c r="AQ988" s="45"/>
      <c r="AR988" s="45"/>
      <c r="AS988" s="45"/>
      <c r="AT988" s="45"/>
      <c r="AU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c r="AJ989" s="45"/>
      <c r="AK989" s="45"/>
      <c r="AL989" s="45"/>
      <c r="AM989" s="45"/>
      <c r="AN989" s="45"/>
      <c r="AO989" s="45"/>
      <c r="AP989" s="45"/>
      <c r="AQ989" s="45"/>
      <c r="AR989" s="45"/>
      <c r="AS989" s="45"/>
      <c r="AT989" s="45"/>
      <c r="AU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c r="AJ990" s="45"/>
      <c r="AK990" s="45"/>
      <c r="AL990" s="45"/>
      <c r="AM990" s="45"/>
      <c r="AN990" s="45"/>
      <c r="AO990" s="45"/>
      <c r="AP990" s="45"/>
      <c r="AQ990" s="45"/>
      <c r="AR990" s="45"/>
      <c r="AS990" s="45"/>
      <c r="AT990" s="45"/>
      <c r="AU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c r="AJ991" s="45"/>
      <c r="AK991" s="45"/>
      <c r="AL991" s="45"/>
      <c r="AM991" s="45"/>
      <c r="AN991" s="45"/>
      <c r="AO991" s="45"/>
      <c r="AP991" s="45"/>
      <c r="AQ991" s="45"/>
      <c r="AR991" s="45"/>
      <c r="AS991" s="45"/>
      <c r="AT991" s="45"/>
      <c r="AU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c r="AJ992" s="45"/>
      <c r="AK992" s="45"/>
      <c r="AL992" s="45"/>
      <c r="AM992" s="45"/>
      <c r="AN992" s="45"/>
      <c r="AO992" s="45"/>
      <c r="AP992" s="45"/>
      <c r="AQ992" s="45"/>
      <c r="AR992" s="45"/>
      <c r="AS992" s="45"/>
      <c r="AT992" s="45"/>
      <c r="AU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c r="AJ993" s="45"/>
      <c r="AK993" s="45"/>
      <c r="AL993" s="45"/>
      <c r="AM993" s="45"/>
      <c r="AN993" s="45"/>
      <c r="AO993" s="45"/>
      <c r="AP993" s="45"/>
      <c r="AQ993" s="45"/>
      <c r="AR993" s="45"/>
      <c r="AS993" s="45"/>
      <c r="AT993" s="45"/>
      <c r="AU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c r="AJ994" s="45"/>
      <c r="AK994" s="45"/>
      <c r="AL994" s="45"/>
      <c r="AM994" s="45"/>
      <c r="AN994" s="45"/>
      <c r="AO994" s="45"/>
      <c r="AP994" s="45"/>
      <c r="AQ994" s="45"/>
      <c r="AR994" s="45"/>
      <c r="AS994" s="45"/>
      <c r="AT994" s="45"/>
      <c r="AU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c r="AJ995" s="45"/>
      <c r="AK995" s="45"/>
      <c r="AL995" s="45"/>
      <c r="AM995" s="45"/>
      <c r="AN995" s="45"/>
      <c r="AO995" s="45"/>
      <c r="AP995" s="45"/>
      <c r="AQ995" s="45"/>
      <c r="AR995" s="45"/>
      <c r="AS995" s="45"/>
      <c r="AT995" s="45"/>
      <c r="AU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c r="AJ996" s="45"/>
      <c r="AK996" s="45"/>
      <c r="AL996" s="45"/>
      <c r="AM996" s="45"/>
      <c r="AN996" s="45"/>
      <c r="AO996" s="45"/>
      <c r="AP996" s="45"/>
      <c r="AQ996" s="45"/>
      <c r="AR996" s="45"/>
      <c r="AS996" s="45"/>
      <c r="AT996" s="45"/>
      <c r="AU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c r="AJ997" s="45"/>
      <c r="AK997" s="45"/>
      <c r="AL997" s="45"/>
      <c r="AM997" s="45"/>
      <c r="AN997" s="45"/>
      <c r="AO997" s="45"/>
      <c r="AP997" s="45"/>
      <c r="AQ997" s="45"/>
      <c r="AR997" s="45"/>
      <c r="AS997" s="45"/>
      <c r="AT997" s="45"/>
      <c r="AU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c r="AJ998" s="45"/>
      <c r="AK998" s="45"/>
      <c r="AL998" s="45"/>
      <c r="AM998" s="45"/>
      <c r="AN998" s="45"/>
      <c r="AO998" s="45"/>
      <c r="AP998" s="45"/>
      <c r="AQ998" s="45"/>
      <c r="AR998" s="45"/>
      <c r="AS998" s="45"/>
      <c r="AT998" s="45"/>
      <c r="AU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c r="AJ999" s="45"/>
      <c r="AK999" s="45"/>
      <c r="AL999" s="45"/>
      <c r="AM999" s="45"/>
      <c r="AN999" s="45"/>
      <c r="AO999" s="45"/>
      <c r="AP999" s="45"/>
      <c r="AQ999" s="45"/>
      <c r="AR999" s="45"/>
      <c r="AS999" s="45"/>
      <c r="AT999" s="45"/>
      <c r="AU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c r="AJ1000" s="45"/>
      <c r="AK1000" s="45"/>
      <c r="AL1000" s="45"/>
      <c r="AM1000" s="45"/>
      <c r="AN1000" s="45"/>
      <c r="AO1000" s="45"/>
      <c r="AP1000" s="45"/>
      <c r="AQ1000" s="45"/>
      <c r="AR1000" s="45"/>
      <c r="AS1000" s="45"/>
      <c r="AT1000" s="45"/>
      <c r="AU1000" s="45"/>
    </row>
  </sheetData>
  <mergeCells count="24">
    <mergeCell ref="A1:AK1"/>
    <mergeCell ref="AJ4:AJ12"/>
    <mergeCell ref="AJ13:AJ28"/>
    <mergeCell ref="A32:E32"/>
    <mergeCell ref="A34:C34"/>
    <mergeCell ref="A35:C35"/>
    <mergeCell ref="A36:C36"/>
    <mergeCell ref="A37:C37"/>
    <mergeCell ref="A38:C38"/>
    <mergeCell ref="A39:C39"/>
    <mergeCell ref="A40:C40"/>
    <mergeCell ref="A41:C41"/>
    <mergeCell ref="A42:C42"/>
    <mergeCell ref="A43:C43"/>
    <mergeCell ref="A51:C51"/>
    <mergeCell ref="A52:C52"/>
    <mergeCell ref="A53:C53"/>
    <mergeCell ref="A44:C44"/>
    <mergeCell ref="A45:C45"/>
    <mergeCell ref="A46:C46"/>
    <mergeCell ref="A47:C47"/>
    <mergeCell ref="A48:C48"/>
    <mergeCell ref="A49:C49"/>
    <mergeCell ref="A50:C50"/>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7E63"/>
    <pageSetUpPr/>
  </sheetPr>
  <sheetViews>
    <sheetView workbookViewId="0"/>
  </sheetViews>
  <sheetFormatPr customHeight="1" defaultColWidth="14.43" defaultRowHeight="15.0"/>
  <cols>
    <col customWidth="1" min="1" max="2" width="3.0"/>
    <col customWidth="1" min="3" max="3" width="40.0"/>
    <col customWidth="1" min="4" max="4" width="50.0"/>
    <col customWidth="1" min="5" max="5" width="30.0"/>
    <col customWidth="1" min="6" max="6" width="3.0"/>
  </cols>
  <sheetData>
    <row r="1" ht="39.75" customHeight="1">
      <c r="A1" s="312" t="s">
        <v>411</v>
      </c>
      <c r="B1" s="52"/>
      <c r="C1" s="52"/>
      <c r="D1" s="52"/>
      <c r="E1" s="52"/>
      <c r="F1" s="30"/>
    </row>
    <row r="2" ht="21.75" customHeight="1">
      <c r="A2" s="313" t="s">
        <v>412</v>
      </c>
      <c r="B2" s="52"/>
      <c r="C2" s="52"/>
      <c r="D2" s="52"/>
      <c r="E2" s="52"/>
      <c r="F2" s="30"/>
    </row>
    <row r="3" ht="9.75" customHeight="1">
      <c r="A3" s="45"/>
      <c r="B3" s="45"/>
      <c r="C3" s="45"/>
      <c r="D3" s="45"/>
      <c r="E3" s="45"/>
      <c r="F3" s="45"/>
    </row>
    <row r="4" ht="31.5" customHeight="1">
      <c r="A4" s="314" t="s">
        <v>413</v>
      </c>
      <c r="B4" s="52"/>
      <c r="C4" s="52"/>
      <c r="D4" s="52"/>
      <c r="E4" s="52"/>
      <c r="F4" s="30"/>
    </row>
    <row r="5" ht="24.0" customHeight="1">
      <c r="A5" s="315"/>
      <c r="B5" s="315" t="s">
        <v>103</v>
      </c>
      <c r="C5" s="316" t="s">
        <v>414</v>
      </c>
      <c r="D5" s="52"/>
      <c r="E5" s="30"/>
      <c r="F5" s="315"/>
    </row>
    <row r="6" ht="36.0" customHeight="1">
      <c r="A6" s="317"/>
      <c r="B6" s="317"/>
      <c r="C6" s="318" t="s">
        <v>415</v>
      </c>
      <c r="D6" s="52"/>
      <c r="E6" s="30"/>
      <c r="F6" s="317"/>
    </row>
    <row r="7" ht="19.5" customHeight="1">
      <c r="A7" s="45"/>
      <c r="B7" s="45"/>
      <c r="C7" s="319" t="s">
        <v>416</v>
      </c>
      <c r="D7" s="320" t="s">
        <v>417</v>
      </c>
      <c r="F7" s="45"/>
    </row>
    <row r="8" ht="18.0" customHeight="1">
      <c r="A8" s="45"/>
      <c r="B8" s="45"/>
      <c r="C8" s="321" t="s">
        <v>418</v>
      </c>
      <c r="F8" s="45"/>
    </row>
    <row r="9" ht="6.0" customHeight="1">
      <c r="A9" s="45"/>
      <c r="B9" s="45"/>
      <c r="C9" s="45"/>
      <c r="D9" s="45"/>
      <c r="E9" s="45"/>
      <c r="F9" s="45"/>
    </row>
    <row r="10" ht="24.0" customHeight="1">
      <c r="A10" s="315"/>
      <c r="B10" s="315" t="s">
        <v>419</v>
      </c>
      <c r="C10" s="316" t="s">
        <v>420</v>
      </c>
      <c r="D10" s="52"/>
      <c r="E10" s="30"/>
      <c r="F10" s="315"/>
    </row>
    <row r="11" ht="36.0" customHeight="1">
      <c r="A11" s="317"/>
      <c r="B11" s="317"/>
      <c r="C11" s="318" t="s">
        <v>421</v>
      </c>
      <c r="D11" s="52"/>
      <c r="E11" s="30"/>
      <c r="F11" s="317"/>
    </row>
    <row r="12" ht="19.5" customHeight="1">
      <c r="A12" s="45"/>
      <c r="B12" s="45"/>
      <c r="C12" s="319" t="s">
        <v>416</v>
      </c>
      <c r="D12" s="320" t="s">
        <v>422</v>
      </c>
      <c r="F12" s="45"/>
    </row>
    <row r="13" ht="18.0" customHeight="1">
      <c r="A13" s="45"/>
      <c r="B13" s="45"/>
      <c r="C13" s="321" t="s">
        <v>423</v>
      </c>
      <c r="F13" s="45"/>
    </row>
    <row r="14" ht="6.0" customHeight="1">
      <c r="A14" s="45"/>
      <c r="B14" s="45"/>
      <c r="C14" s="45"/>
      <c r="D14" s="45"/>
      <c r="E14" s="45"/>
      <c r="F14" s="45"/>
    </row>
    <row r="15" ht="24.0" customHeight="1">
      <c r="A15" s="315"/>
      <c r="B15" s="315" t="s">
        <v>99</v>
      </c>
      <c r="C15" s="316" t="s">
        <v>424</v>
      </c>
      <c r="D15" s="52"/>
      <c r="E15" s="30"/>
      <c r="F15" s="315"/>
    </row>
    <row r="16" ht="53.25" customHeight="1">
      <c r="A16" s="317"/>
      <c r="B16" s="317"/>
      <c r="C16" s="318" t="s">
        <v>425</v>
      </c>
      <c r="D16" s="52"/>
      <c r="E16" s="30"/>
      <c r="F16" s="317"/>
    </row>
    <row r="17" ht="19.5" customHeight="1">
      <c r="A17" s="45"/>
      <c r="B17" s="45"/>
      <c r="C17" s="319" t="s">
        <v>416</v>
      </c>
      <c r="D17" s="320" t="s">
        <v>426</v>
      </c>
      <c r="F17" s="45"/>
    </row>
    <row r="18" ht="18.0" customHeight="1">
      <c r="A18" s="45"/>
      <c r="B18" s="45"/>
      <c r="C18" s="321" t="s">
        <v>427</v>
      </c>
      <c r="F18" s="45"/>
    </row>
    <row r="19" ht="6.0" customHeight="1">
      <c r="A19" s="45"/>
      <c r="B19" s="45"/>
      <c r="C19" s="45"/>
      <c r="D19" s="45"/>
      <c r="E19" s="45"/>
      <c r="F19" s="45"/>
    </row>
    <row r="20" ht="31.5" customHeight="1">
      <c r="A20" s="314" t="s">
        <v>428</v>
      </c>
      <c r="B20" s="52"/>
      <c r="C20" s="52"/>
      <c r="D20" s="52"/>
      <c r="E20" s="52"/>
      <c r="F20" s="30"/>
    </row>
    <row r="21" ht="24.0" customHeight="1">
      <c r="A21" s="322"/>
      <c r="B21" s="322" t="s">
        <v>429</v>
      </c>
      <c r="C21" s="323" t="s">
        <v>430</v>
      </c>
      <c r="D21" s="52"/>
      <c r="E21" s="30"/>
      <c r="F21" s="322"/>
    </row>
    <row r="22" ht="54.75" customHeight="1">
      <c r="A22" s="317"/>
      <c r="B22" s="317"/>
      <c r="C22" s="318" t="s">
        <v>431</v>
      </c>
      <c r="D22" s="52"/>
      <c r="E22" s="30"/>
      <c r="F22" s="317"/>
    </row>
    <row r="23" ht="19.5" customHeight="1">
      <c r="A23" s="45"/>
      <c r="B23" s="45"/>
      <c r="C23" s="319" t="s">
        <v>416</v>
      </c>
      <c r="D23" s="320" t="s">
        <v>432</v>
      </c>
      <c r="F23" s="45"/>
    </row>
    <row r="24" ht="18.0" customHeight="1">
      <c r="A24" s="45"/>
      <c r="B24" s="45"/>
      <c r="C24" s="321" t="s">
        <v>433</v>
      </c>
      <c r="F24" s="45"/>
    </row>
    <row r="25" ht="6.0" customHeight="1">
      <c r="A25" s="45"/>
      <c r="B25" s="45"/>
      <c r="C25" s="45"/>
      <c r="D25" s="45"/>
      <c r="E25" s="45"/>
      <c r="F25" s="45"/>
    </row>
    <row r="26" ht="24.0" customHeight="1">
      <c r="A26" s="322"/>
      <c r="B26" s="322" t="s">
        <v>434</v>
      </c>
      <c r="C26" s="323" t="s">
        <v>435</v>
      </c>
      <c r="D26" s="52"/>
      <c r="E26" s="30"/>
      <c r="F26" s="322"/>
    </row>
    <row r="27" ht="69.0" customHeight="1">
      <c r="A27" s="317"/>
      <c r="B27" s="317"/>
      <c r="C27" s="318" t="s">
        <v>436</v>
      </c>
      <c r="D27" s="52"/>
      <c r="E27" s="30"/>
      <c r="F27" s="317"/>
    </row>
    <row r="28" ht="19.5" customHeight="1">
      <c r="A28" s="45"/>
      <c r="B28" s="45"/>
      <c r="C28" s="319" t="s">
        <v>416</v>
      </c>
      <c r="D28" s="320" t="s">
        <v>437</v>
      </c>
      <c r="F28" s="45"/>
    </row>
    <row r="29" ht="18.0" customHeight="1">
      <c r="A29" s="45"/>
      <c r="B29" s="45"/>
      <c r="C29" s="321" t="s">
        <v>438</v>
      </c>
      <c r="F29" s="45"/>
    </row>
    <row r="30" ht="6.0" customHeight="1">
      <c r="A30" s="45"/>
      <c r="B30" s="45"/>
      <c r="C30" s="45"/>
      <c r="D30" s="45"/>
      <c r="E30" s="45"/>
      <c r="F30" s="45"/>
    </row>
    <row r="31" ht="24.0" customHeight="1">
      <c r="A31" s="322"/>
      <c r="B31" s="322" t="s">
        <v>439</v>
      </c>
      <c r="C31" s="323" t="s">
        <v>440</v>
      </c>
      <c r="D31" s="52"/>
      <c r="E31" s="30"/>
      <c r="F31" s="322"/>
    </row>
    <row r="32" ht="44.25" customHeight="1">
      <c r="A32" s="317"/>
      <c r="B32" s="317"/>
      <c r="C32" s="318" t="s">
        <v>441</v>
      </c>
      <c r="D32" s="52"/>
      <c r="E32" s="30"/>
      <c r="F32" s="317"/>
    </row>
    <row r="33" ht="19.5" customHeight="1">
      <c r="A33" s="45"/>
      <c r="B33" s="45"/>
      <c r="C33" s="319" t="s">
        <v>416</v>
      </c>
      <c r="D33" s="320" t="s">
        <v>442</v>
      </c>
      <c r="F33" s="45"/>
    </row>
    <row r="34" ht="18.0" customHeight="1">
      <c r="A34" s="45"/>
      <c r="B34" s="45"/>
      <c r="C34" s="321" t="s">
        <v>443</v>
      </c>
      <c r="F34" s="45"/>
    </row>
    <row r="35" ht="6.0" customHeight="1">
      <c r="A35" s="45"/>
      <c r="B35" s="45"/>
      <c r="C35" s="45"/>
      <c r="D35" s="45"/>
      <c r="E35" s="45"/>
      <c r="F35" s="45"/>
    </row>
    <row r="36" ht="24.0" customHeight="1">
      <c r="A36" s="322"/>
      <c r="B36" s="322" t="s">
        <v>444</v>
      </c>
      <c r="C36" s="323" t="s">
        <v>445</v>
      </c>
      <c r="D36" s="52"/>
      <c r="E36" s="30"/>
      <c r="F36" s="322"/>
    </row>
    <row r="37" ht="36.0" customHeight="1">
      <c r="A37" s="317"/>
      <c r="B37" s="317"/>
      <c r="C37" s="318" t="s">
        <v>446</v>
      </c>
      <c r="D37" s="52"/>
      <c r="E37" s="30"/>
      <c r="F37" s="317"/>
    </row>
    <row r="38" ht="19.5" customHeight="1">
      <c r="A38" s="45"/>
      <c r="B38" s="45"/>
      <c r="C38" s="319" t="s">
        <v>416</v>
      </c>
      <c r="D38" s="320" t="s">
        <v>447</v>
      </c>
      <c r="F38" s="45"/>
    </row>
    <row r="39" ht="18.0" customHeight="1">
      <c r="A39" s="45"/>
      <c r="B39" s="45"/>
      <c r="C39" s="321" t="s">
        <v>448</v>
      </c>
      <c r="F39" s="45"/>
    </row>
    <row r="40" ht="6.0" customHeight="1">
      <c r="A40" s="45"/>
      <c r="B40" s="45"/>
      <c r="C40" s="45"/>
      <c r="D40" s="45"/>
      <c r="E40" s="45"/>
      <c r="F40" s="45"/>
    </row>
    <row r="41" ht="31.5" customHeight="1">
      <c r="A41" s="314" t="s">
        <v>449</v>
      </c>
      <c r="B41" s="52"/>
      <c r="C41" s="52"/>
      <c r="D41" s="52"/>
      <c r="E41" s="52"/>
      <c r="F41" s="30"/>
    </row>
    <row r="42" ht="24.0" customHeight="1">
      <c r="A42" s="324"/>
      <c r="B42" s="324" t="s">
        <v>450</v>
      </c>
      <c r="C42" s="325" t="s">
        <v>451</v>
      </c>
      <c r="D42" s="52"/>
      <c r="E42" s="30"/>
      <c r="F42" s="324"/>
    </row>
    <row r="43" ht="67.5" customHeight="1">
      <c r="A43" s="317"/>
      <c r="B43" s="317"/>
      <c r="C43" s="318" t="s">
        <v>452</v>
      </c>
      <c r="D43" s="52"/>
      <c r="E43" s="30"/>
      <c r="F43" s="317"/>
    </row>
    <row r="44" ht="19.5" customHeight="1">
      <c r="A44" s="45"/>
      <c r="B44" s="45"/>
      <c r="C44" s="319" t="s">
        <v>416</v>
      </c>
      <c r="D44" s="320" t="s">
        <v>453</v>
      </c>
      <c r="F44" s="45"/>
    </row>
    <row r="45" ht="18.0" customHeight="1">
      <c r="A45" s="45"/>
      <c r="B45" s="45"/>
      <c r="C45" s="321" t="s">
        <v>454</v>
      </c>
      <c r="F45" s="45"/>
    </row>
    <row r="46" ht="6.0" customHeight="1">
      <c r="A46" s="45"/>
      <c r="B46" s="45"/>
      <c r="C46" s="45"/>
      <c r="D46" s="45"/>
      <c r="E46" s="45"/>
      <c r="F46" s="45"/>
    </row>
    <row r="47" ht="24.0" customHeight="1">
      <c r="A47" s="324"/>
      <c r="B47" s="324" t="s">
        <v>455</v>
      </c>
      <c r="C47" s="325" t="s">
        <v>456</v>
      </c>
      <c r="D47" s="52"/>
      <c r="E47" s="30"/>
      <c r="F47" s="324"/>
    </row>
    <row r="48" ht="36.0" customHeight="1">
      <c r="A48" s="317"/>
      <c r="B48" s="317"/>
      <c r="C48" s="318" t="s">
        <v>457</v>
      </c>
      <c r="D48" s="52"/>
      <c r="E48" s="30"/>
      <c r="F48" s="317"/>
    </row>
    <row r="49" ht="18.0" customHeight="1">
      <c r="A49" s="45"/>
      <c r="B49" s="45"/>
      <c r="C49" s="321" t="s">
        <v>458</v>
      </c>
      <c r="F49" s="45"/>
    </row>
    <row r="50" ht="6.0" customHeight="1">
      <c r="A50" s="45"/>
      <c r="B50" s="45"/>
      <c r="C50" s="45"/>
      <c r="D50" s="45"/>
      <c r="E50" s="45"/>
      <c r="F50" s="45"/>
    </row>
    <row r="51" ht="24.0" customHeight="1">
      <c r="A51" s="324"/>
      <c r="B51" s="324" t="s">
        <v>459</v>
      </c>
      <c r="C51" s="325" t="s">
        <v>460</v>
      </c>
      <c r="D51" s="52"/>
      <c r="E51" s="30"/>
      <c r="F51" s="324"/>
    </row>
    <row r="52" ht="117.75" customHeight="1">
      <c r="A52" s="317"/>
      <c r="B52" s="317"/>
      <c r="C52" s="318" t="s">
        <v>461</v>
      </c>
      <c r="D52" s="52"/>
      <c r="E52" s="30"/>
      <c r="F52" s="317"/>
    </row>
    <row r="53" ht="18.0" customHeight="1">
      <c r="A53" s="45"/>
      <c r="B53" s="45"/>
      <c r="C53" s="321" t="s">
        <v>462</v>
      </c>
      <c r="F53" s="45"/>
    </row>
    <row r="54" ht="6.0" customHeight="1">
      <c r="A54" s="45"/>
      <c r="B54" s="45"/>
      <c r="C54" s="45"/>
      <c r="D54" s="45"/>
      <c r="E54" s="45"/>
      <c r="F54" s="45"/>
    </row>
    <row r="55" ht="31.5" customHeight="1">
      <c r="A55" s="314" t="s">
        <v>463</v>
      </c>
      <c r="B55" s="52"/>
      <c r="C55" s="52"/>
      <c r="D55" s="52"/>
      <c r="E55" s="52"/>
      <c r="F55" s="30"/>
    </row>
    <row r="56" ht="24.0" customHeight="1">
      <c r="A56" s="326"/>
      <c r="B56" s="326" t="s">
        <v>101</v>
      </c>
      <c r="C56" s="327" t="s">
        <v>464</v>
      </c>
      <c r="D56" s="52"/>
      <c r="E56" s="30"/>
      <c r="F56" s="326"/>
    </row>
    <row r="57" ht="42.0" customHeight="1">
      <c r="A57" s="317"/>
      <c r="B57" s="317"/>
      <c r="C57" s="318" t="s">
        <v>465</v>
      </c>
      <c r="D57" s="52"/>
      <c r="E57" s="30"/>
      <c r="F57" s="317"/>
    </row>
    <row r="58" ht="19.5" customHeight="1">
      <c r="A58" s="45"/>
      <c r="B58" s="45"/>
      <c r="C58" s="319" t="s">
        <v>416</v>
      </c>
      <c r="D58" s="320" t="s">
        <v>466</v>
      </c>
      <c r="F58" s="45"/>
    </row>
    <row r="59" ht="18.0" customHeight="1">
      <c r="A59" s="45"/>
      <c r="B59" s="45"/>
      <c r="C59" s="321" t="s">
        <v>467</v>
      </c>
      <c r="F59" s="45"/>
    </row>
    <row r="60" ht="6.0" customHeight="1">
      <c r="A60" s="45"/>
      <c r="B60" s="45"/>
      <c r="C60" s="45"/>
      <c r="D60" s="45"/>
      <c r="E60" s="45"/>
      <c r="F60" s="45"/>
    </row>
    <row r="61" ht="24.0" customHeight="1">
      <c r="A61" s="326"/>
      <c r="B61" s="326" t="s">
        <v>468</v>
      </c>
      <c r="C61" s="327" t="s">
        <v>469</v>
      </c>
      <c r="D61" s="52"/>
      <c r="E61" s="30"/>
      <c r="F61" s="326"/>
    </row>
    <row r="62" ht="51.75" customHeight="1">
      <c r="A62" s="317"/>
      <c r="B62" s="317"/>
      <c r="C62" s="318" t="s">
        <v>470</v>
      </c>
      <c r="D62" s="52"/>
      <c r="E62" s="30"/>
      <c r="F62" s="317"/>
    </row>
    <row r="63" ht="19.5" customHeight="1">
      <c r="A63" s="45"/>
      <c r="B63" s="45"/>
      <c r="C63" s="319" t="s">
        <v>416</v>
      </c>
      <c r="D63" s="320" t="s">
        <v>471</v>
      </c>
      <c r="F63" s="45"/>
    </row>
    <row r="64" ht="18.0" customHeight="1">
      <c r="A64" s="45"/>
      <c r="B64" s="45"/>
      <c r="C64" s="321" t="s">
        <v>472</v>
      </c>
      <c r="F64" s="45"/>
    </row>
    <row r="65" ht="6.0" customHeight="1">
      <c r="A65" s="45"/>
      <c r="B65" s="45"/>
      <c r="C65" s="45"/>
      <c r="D65" s="45"/>
      <c r="E65" s="45"/>
      <c r="F65" s="45"/>
    </row>
    <row r="66" ht="31.5" customHeight="1">
      <c r="A66" s="314" t="s">
        <v>473</v>
      </c>
      <c r="B66" s="52"/>
      <c r="C66" s="52"/>
      <c r="D66" s="52"/>
      <c r="E66" s="52"/>
      <c r="F66" s="30"/>
    </row>
    <row r="67" ht="24.0" customHeight="1">
      <c r="A67" s="328"/>
      <c r="B67" s="328" t="s">
        <v>474</v>
      </c>
      <c r="C67" s="329" t="s">
        <v>475</v>
      </c>
      <c r="D67" s="52"/>
      <c r="E67" s="30"/>
      <c r="F67" s="328"/>
    </row>
    <row r="68" ht="84.0" customHeight="1">
      <c r="A68" s="317"/>
      <c r="B68" s="317"/>
      <c r="C68" s="318" t="s">
        <v>476</v>
      </c>
      <c r="D68" s="52"/>
      <c r="E68" s="30"/>
      <c r="F68" s="317"/>
    </row>
    <row r="69" ht="19.5" customHeight="1">
      <c r="A69" s="45"/>
      <c r="B69" s="45"/>
      <c r="C69" s="319" t="s">
        <v>416</v>
      </c>
      <c r="D69" s="320" t="s">
        <v>477</v>
      </c>
      <c r="F69" s="45"/>
    </row>
    <row r="70" ht="18.0" customHeight="1">
      <c r="A70" s="45"/>
      <c r="B70" s="45"/>
      <c r="C70" s="321" t="s">
        <v>478</v>
      </c>
      <c r="F70" s="45"/>
    </row>
    <row r="71" ht="6.0" customHeight="1">
      <c r="A71" s="45"/>
      <c r="B71" s="45"/>
      <c r="C71" s="45"/>
      <c r="D71" s="45"/>
      <c r="E71" s="45"/>
      <c r="F71" s="45"/>
    </row>
    <row r="72" ht="24.0" customHeight="1">
      <c r="A72" s="328"/>
      <c r="B72" s="328" t="s">
        <v>479</v>
      </c>
      <c r="C72" s="329" t="s">
        <v>480</v>
      </c>
      <c r="D72" s="52"/>
      <c r="E72" s="30"/>
      <c r="F72" s="328"/>
    </row>
    <row r="73" ht="54.0" customHeight="1">
      <c r="A73" s="317"/>
      <c r="B73" s="317"/>
      <c r="C73" s="318" t="s">
        <v>481</v>
      </c>
      <c r="D73" s="52"/>
      <c r="E73" s="30"/>
      <c r="F73" s="317"/>
    </row>
    <row r="74" ht="19.5" customHeight="1">
      <c r="A74" s="45"/>
      <c r="B74" s="45"/>
      <c r="C74" s="319" t="s">
        <v>416</v>
      </c>
      <c r="D74" s="320" t="s">
        <v>482</v>
      </c>
      <c r="F74" s="45"/>
    </row>
    <row r="75" ht="18.0" customHeight="1">
      <c r="A75" s="45"/>
      <c r="B75" s="45"/>
      <c r="C75" s="321" t="s">
        <v>483</v>
      </c>
      <c r="F75" s="45"/>
    </row>
    <row r="76" ht="6.0" customHeight="1">
      <c r="A76" s="45"/>
      <c r="B76" s="45"/>
      <c r="C76" s="45"/>
      <c r="D76" s="45"/>
      <c r="E76" s="45"/>
      <c r="F76" s="45"/>
    </row>
    <row r="77" ht="24.0" customHeight="1">
      <c r="A77" s="328"/>
      <c r="B77" s="328" t="s">
        <v>484</v>
      </c>
      <c r="C77" s="329" t="s">
        <v>485</v>
      </c>
      <c r="D77" s="52"/>
      <c r="E77" s="30"/>
      <c r="F77" s="328"/>
    </row>
    <row r="78" ht="53.25" customHeight="1">
      <c r="A78" s="317"/>
      <c r="B78" s="317"/>
      <c r="C78" s="318" t="s">
        <v>486</v>
      </c>
      <c r="D78" s="52"/>
      <c r="E78" s="30"/>
      <c r="F78" s="317"/>
    </row>
    <row r="79" ht="19.5" customHeight="1">
      <c r="A79" s="45"/>
      <c r="B79" s="45"/>
      <c r="C79" s="319" t="s">
        <v>416</v>
      </c>
      <c r="D79" s="320" t="s">
        <v>487</v>
      </c>
      <c r="F79" s="45"/>
    </row>
    <row r="80" ht="18.0" customHeight="1">
      <c r="A80" s="45"/>
      <c r="B80" s="45"/>
      <c r="C80" s="321" t="s">
        <v>488</v>
      </c>
      <c r="F80" s="45"/>
    </row>
    <row r="81" ht="6.0" customHeight="1">
      <c r="A81" s="45"/>
      <c r="B81" s="45"/>
      <c r="C81" s="45"/>
      <c r="D81" s="45"/>
      <c r="E81" s="45"/>
      <c r="F81" s="45"/>
    </row>
    <row r="82" ht="24.0" customHeight="1">
      <c r="A82" s="328"/>
      <c r="B82" s="328" t="s">
        <v>489</v>
      </c>
      <c r="C82" s="329" t="s">
        <v>490</v>
      </c>
      <c r="D82" s="52"/>
      <c r="E82" s="30"/>
      <c r="F82" s="328"/>
    </row>
    <row r="83" ht="140.25" customHeight="1">
      <c r="A83" s="317"/>
      <c r="B83" s="317"/>
      <c r="C83" s="318" t="s">
        <v>491</v>
      </c>
      <c r="D83" s="52"/>
      <c r="E83" s="30"/>
      <c r="F83" s="317"/>
    </row>
    <row r="84" ht="18.0" customHeight="1">
      <c r="A84" s="45"/>
      <c r="B84" s="45"/>
      <c r="C84" s="321" t="s">
        <v>492</v>
      </c>
      <c r="F84" s="45"/>
    </row>
    <row r="85" ht="6.0" customHeight="1">
      <c r="A85" s="45"/>
      <c r="B85" s="45"/>
      <c r="C85" s="45"/>
      <c r="D85" s="45"/>
      <c r="E85" s="45"/>
      <c r="F85" s="45"/>
    </row>
    <row r="86" ht="31.5" customHeight="1">
      <c r="A86" s="314" t="s">
        <v>493</v>
      </c>
      <c r="B86" s="52"/>
      <c r="C86" s="52"/>
      <c r="D86" s="52"/>
      <c r="E86" s="52"/>
      <c r="F86" s="30"/>
    </row>
    <row r="87" ht="24.0" customHeight="1">
      <c r="A87" s="330"/>
      <c r="B87" s="315" t="s">
        <v>103</v>
      </c>
      <c r="C87" s="316" t="s">
        <v>494</v>
      </c>
      <c r="D87" s="52"/>
      <c r="E87" s="30"/>
      <c r="F87" s="330"/>
    </row>
    <row r="88" ht="72.0" customHeight="1">
      <c r="A88" s="331"/>
      <c r="B88" s="331"/>
      <c r="C88" s="332" t="s">
        <v>495</v>
      </c>
      <c r="D88" s="52"/>
      <c r="E88" s="30"/>
      <c r="F88" s="331"/>
    </row>
    <row r="89" ht="19.5" customHeight="1">
      <c r="A89" s="331"/>
      <c r="B89" s="331"/>
      <c r="C89" s="319" t="s">
        <v>416</v>
      </c>
      <c r="D89" s="320" t="s">
        <v>496</v>
      </c>
      <c r="F89" s="331"/>
    </row>
    <row r="90" ht="18.0" customHeight="1">
      <c r="A90" s="331"/>
      <c r="B90" s="331"/>
      <c r="C90" s="333" t="s">
        <v>497</v>
      </c>
      <c r="F90" s="331"/>
    </row>
    <row r="91" ht="15.75" customHeight="1">
      <c r="A91" s="331"/>
      <c r="B91" s="331"/>
      <c r="C91" s="331"/>
      <c r="D91" s="331"/>
      <c r="E91" s="331"/>
      <c r="F91" s="331"/>
    </row>
    <row r="92" ht="31.5" customHeight="1">
      <c r="A92" s="314" t="s">
        <v>498</v>
      </c>
      <c r="B92" s="52"/>
      <c r="C92" s="52"/>
      <c r="D92" s="52"/>
      <c r="E92" s="52"/>
      <c r="F92" s="30"/>
    </row>
    <row r="93" ht="24.0" customHeight="1">
      <c r="A93" s="330"/>
      <c r="B93" s="315" t="s">
        <v>489</v>
      </c>
      <c r="C93" s="316" t="s">
        <v>499</v>
      </c>
      <c r="D93" s="52"/>
      <c r="E93" s="30"/>
      <c r="F93" s="330"/>
    </row>
    <row r="94" ht="90.0" customHeight="1">
      <c r="A94" s="331"/>
      <c r="B94" s="331"/>
      <c r="C94" s="318" t="s">
        <v>500</v>
      </c>
      <c r="D94" s="52"/>
      <c r="E94" s="30"/>
      <c r="F94" s="331"/>
    </row>
    <row r="95" ht="19.5" customHeight="1">
      <c r="A95" s="331"/>
      <c r="B95" s="331"/>
      <c r="C95" s="319" t="s">
        <v>416</v>
      </c>
      <c r="D95" s="320" t="s">
        <v>501</v>
      </c>
      <c r="F95" s="331"/>
    </row>
    <row r="96" ht="18.0" customHeight="1">
      <c r="A96" s="331"/>
      <c r="B96" s="331"/>
      <c r="C96" s="321" t="s">
        <v>502</v>
      </c>
      <c r="F96" s="331"/>
    </row>
    <row r="97" ht="15.75" customHeight="1">
      <c r="A97" s="331"/>
      <c r="B97" s="331"/>
      <c r="C97" s="331"/>
      <c r="D97" s="331"/>
      <c r="E97" s="331"/>
      <c r="F97" s="331"/>
    </row>
    <row r="98" ht="24.0" customHeight="1">
      <c r="A98" s="330"/>
      <c r="B98" s="315" t="s">
        <v>503</v>
      </c>
      <c r="C98" s="316" t="s">
        <v>504</v>
      </c>
      <c r="D98" s="52"/>
      <c r="E98" s="30"/>
      <c r="F98" s="330"/>
    </row>
    <row r="99" ht="60.0" customHeight="1">
      <c r="A99" s="331"/>
      <c r="B99" s="331"/>
      <c r="C99" s="318" t="s">
        <v>505</v>
      </c>
      <c r="D99" s="52"/>
      <c r="E99" s="30"/>
      <c r="F99" s="331"/>
    </row>
    <row r="100" ht="19.5" customHeight="1">
      <c r="A100" s="331"/>
      <c r="B100" s="331"/>
      <c r="C100" s="319" t="s">
        <v>416</v>
      </c>
      <c r="D100" s="320" t="s">
        <v>506</v>
      </c>
      <c r="F100" s="331"/>
    </row>
    <row r="101" ht="18.0" customHeight="1">
      <c r="A101" s="331"/>
      <c r="B101" s="331"/>
      <c r="C101" s="321" t="s">
        <v>507</v>
      </c>
      <c r="F101" s="331"/>
    </row>
    <row r="102" ht="15.75" customHeight="1">
      <c r="A102" s="331"/>
      <c r="B102" s="331"/>
      <c r="C102" s="331"/>
      <c r="D102" s="331"/>
      <c r="E102" s="331"/>
      <c r="F102" s="331"/>
    </row>
    <row r="103" ht="36.0" customHeight="1">
      <c r="A103" s="334" t="s">
        <v>508</v>
      </c>
      <c r="B103" s="52"/>
      <c r="C103" s="52"/>
      <c r="D103" s="52"/>
      <c r="E103" s="52"/>
      <c r="F103" s="30"/>
    </row>
    <row r="104" ht="15.75" customHeight="1">
      <c r="A104" s="331"/>
      <c r="B104" s="331"/>
      <c r="C104" s="331"/>
      <c r="D104" s="331"/>
      <c r="E104" s="331"/>
      <c r="F104" s="331"/>
    </row>
    <row r="105" ht="15.75" customHeight="1">
      <c r="A105" s="335"/>
    </row>
    <row r="106" ht="15.75" customHeight="1">
      <c r="A106" s="336" t="s">
        <v>509</v>
      </c>
    </row>
    <row r="107" ht="15.75" customHeight="1">
      <c r="A107" s="331"/>
      <c r="B107" s="331"/>
      <c r="C107" s="331"/>
      <c r="D107" s="331"/>
      <c r="E107" s="331"/>
      <c r="F107" s="331"/>
    </row>
    <row r="108" ht="15.75" customHeight="1">
      <c r="A108" s="331"/>
      <c r="B108" s="331"/>
      <c r="C108" s="331"/>
      <c r="D108" s="331"/>
      <c r="E108" s="331"/>
      <c r="F108" s="331"/>
    </row>
    <row r="109" ht="15.75" customHeight="1">
      <c r="A109" s="331"/>
      <c r="B109" s="331"/>
      <c r="C109" s="331"/>
      <c r="D109" s="331"/>
      <c r="E109" s="331"/>
      <c r="F109" s="331"/>
    </row>
    <row r="110" ht="15.75" customHeight="1">
      <c r="A110" s="331"/>
      <c r="B110" s="331"/>
      <c r="C110" s="331"/>
      <c r="D110" s="331"/>
      <c r="E110" s="331"/>
      <c r="F110" s="331"/>
    </row>
    <row r="111" ht="15.75" customHeight="1">
      <c r="A111" s="331"/>
      <c r="B111" s="331"/>
      <c r="C111" s="331"/>
      <c r="D111" s="331"/>
      <c r="E111" s="331"/>
      <c r="F111" s="331"/>
    </row>
    <row r="112" ht="15.75" customHeight="1">
      <c r="A112" s="331"/>
      <c r="B112" s="331"/>
      <c r="C112" s="331"/>
      <c r="D112" s="331"/>
      <c r="E112" s="331"/>
      <c r="F112" s="331"/>
    </row>
    <row r="113" ht="15.75" customHeight="1">
      <c r="A113" s="331"/>
      <c r="B113" s="331"/>
      <c r="C113" s="331"/>
      <c r="D113" s="331"/>
      <c r="E113" s="331"/>
      <c r="F113" s="331"/>
    </row>
    <row r="114" ht="15.75" customHeight="1">
      <c r="A114" s="331"/>
      <c r="B114" s="331"/>
      <c r="C114" s="331"/>
      <c r="D114" s="331"/>
      <c r="E114" s="331"/>
      <c r="F114" s="331"/>
    </row>
    <row r="115" ht="15.75" customHeight="1">
      <c r="A115" s="331"/>
      <c r="B115" s="331"/>
      <c r="C115" s="331"/>
      <c r="D115" s="331"/>
      <c r="E115" s="331"/>
      <c r="F115" s="331"/>
    </row>
    <row r="116" ht="15.75" customHeight="1">
      <c r="A116" s="331"/>
      <c r="B116" s="331"/>
      <c r="C116" s="331"/>
      <c r="D116" s="331"/>
      <c r="E116" s="331"/>
      <c r="F116" s="331"/>
    </row>
    <row r="117" ht="15.75" customHeight="1">
      <c r="A117" s="331"/>
      <c r="B117" s="331"/>
      <c r="C117" s="331"/>
      <c r="D117" s="331"/>
      <c r="E117" s="331"/>
      <c r="F117" s="331"/>
    </row>
    <row r="118" ht="15.75" customHeight="1">
      <c r="A118" s="331"/>
      <c r="B118" s="331"/>
      <c r="C118" s="331"/>
      <c r="D118" s="331"/>
      <c r="E118" s="331"/>
      <c r="F118" s="331"/>
    </row>
    <row r="119" ht="15.75" customHeight="1">
      <c r="A119" s="331"/>
      <c r="B119" s="331"/>
      <c r="C119" s="331"/>
      <c r="D119" s="331"/>
      <c r="E119" s="331"/>
      <c r="F119" s="331"/>
    </row>
    <row r="120" ht="15.75" customHeight="1">
      <c r="A120" s="331"/>
      <c r="B120" s="331"/>
      <c r="C120" s="331"/>
      <c r="D120" s="331"/>
      <c r="E120" s="331"/>
      <c r="F120" s="331"/>
    </row>
    <row r="121" ht="15.75" customHeight="1">
      <c r="A121" s="45"/>
      <c r="B121" s="45"/>
      <c r="C121" s="45"/>
      <c r="D121" s="45"/>
      <c r="E121" s="45"/>
      <c r="F121" s="45"/>
    </row>
    <row r="122" ht="15.75" customHeight="1">
      <c r="A122" s="45"/>
      <c r="B122" s="45"/>
      <c r="C122" s="45"/>
      <c r="D122" s="45"/>
      <c r="E122" s="45"/>
      <c r="F122" s="45"/>
    </row>
    <row r="123" ht="15.75" customHeight="1">
      <c r="A123" s="45"/>
      <c r="B123" s="45"/>
      <c r="C123" s="45"/>
      <c r="D123" s="45"/>
      <c r="E123" s="45"/>
      <c r="F123" s="45"/>
    </row>
    <row r="124" ht="15.75" customHeight="1">
      <c r="A124" s="45"/>
      <c r="B124" s="45"/>
      <c r="C124" s="45"/>
      <c r="D124" s="45"/>
      <c r="E124" s="45"/>
      <c r="F124" s="45"/>
    </row>
    <row r="125" ht="15.75" customHeight="1">
      <c r="A125" s="45"/>
      <c r="B125" s="45"/>
      <c r="C125" s="45"/>
      <c r="D125" s="45"/>
      <c r="E125" s="45"/>
      <c r="F125" s="45"/>
    </row>
    <row r="126" ht="15.75" customHeight="1">
      <c r="A126" s="45"/>
      <c r="B126" s="45"/>
      <c r="C126" s="45"/>
      <c r="D126" s="45"/>
      <c r="E126" s="45"/>
      <c r="F126" s="45"/>
    </row>
    <row r="127" ht="15.75" customHeight="1">
      <c r="A127" s="45"/>
      <c r="B127" s="45"/>
      <c r="C127" s="45"/>
      <c r="D127" s="45"/>
      <c r="E127" s="45"/>
      <c r="F127" s="45"/>
    </row>
    <row r="128" ht="15.75" customHeight="1">
      <c r="A128" s="45"/>
      <c r="B128" s="45"/>
      <c r="C128" s="45"/>
      <c r="D128" s="45"/>
      <c r="E128" s="45"/>
      <c r="F128" s="45"/>
    </row>
    <row r="129" ht="15.75" customHeight="1">
      <c r="A129" s="45"/>
      <c r="B129" s="45"/>
      <c r="C129" s="45"/>
      <c r="D129" s="45"/>
      <c r="E129" s="45"/>
      <c r="F129" s="45"/>
    </row>
    <row r="130" ht="15.75" customHeight="1">
      <c r="A130" s="45"/>
      <c r="B130" s="45"/>
      <c r="C130" s="45"/>
      <c r="D130" s="45"/>
      <c r="E130" s="45"/>
      <c r="F130" s="45"/>
    </row>
    <row r="131" ht="15.75" customHeight="1">
      <c r="A131" s="45"/>
      <c r="B131" s="45"/>
      <c r="C131" s="45"/>
      <c r="D131" s="45"/>
      <c r="E131" s="45"/>
      <c r="F131" s="45"/>
    </row>
    <row r="132" ht="15.75" customHeight="1">
      <c r="A132" s="45"/>
      <c r="B132" s="45"/>
      <c r="C132" s="45"/>
      <c r="D132" s="45"/>
      <c r="E132" s="45"/>
      <c r="F132" s="45"/>
    </row>
    <row r="133" ht="15.75" customHeight="1">
      <c r="A133" s="45"/>
      <c r="B133" s="45"/>
      <c r="C133" s="45"/>
      <c r="D133" s="45"/>
      <c r="E133" s="45"/>
      <c r="F133" s="45"/>
    </row>
    <row r="134" ht="15.75" customHeight="1">
      <c r="A134" s="45"/>
      <c r="B134" s="45"/>
      <c r="C134" s="45"/>
      <c r="D134" s="45"/>
      <c r="E134" s="45"/>
      <c r="F134" s="45"/>
    </row>
    <row r="135" ht="15.75" customHeight="1">
      <c r="A135" s="45"/>
      <c r="B135" s="45"/>
      <c r="C135" s="45"/>
      <c r="D135" s="45"/>
      <c r="E135" s="45"/>
      <c r="F135" s="45"/>
    </row>
    <row r="136" ht="15.75" customHeight="1">
      <c r="A136" s="45"/>
      <c r="B136" s="45"/>
      <c r="C136" s="45"/>
      <c r="D136" s="45"/>
      <c r="E136" s="45"/>
      <c r="F136" s="45"/>
    </row>
    <row r="137" ht="15.75" customHeight="1">
      <c r="A137" s="45"/>
      <c r="B137" s="45"/>
      <c r="C137" s="45"/>
      <c r="D137" s="45"/>
      <c r="E137" s="45"/>
      <c r="F137" s="45"/>
    </row>
    <row r="138" ht="15.75" customHeight="1">
      <c r="A138" s="45"/>
      <c r="B138" s="45"/>
      <c r="C138" s="45"/>
      <c r="D138" s="45"/>
      <c r="E138" s="45"/>
      <c r="F138" s="45"/>
    </row>
    <row r="139" ht="15.75" customHeight="1">
      <c r="A139" s="45"/>
      <c r="B139" s="45"/>
      <c r="C139" s="45"/>
      <c r="D139" s="45"/>
      <c r="E139" s="45"/>
      <c r="F139" s="45"/>
    </row>
    <row r="140" ht="15.75" customHeight="1">
      <c r="A140" s="45"/>
      <c r="B140" s="45"/>
      <c r="C140" s="45"/>
      <c r="D140" s="45"/>
      <c r="E140" s="45"/>
      <c r="F140" s="45"/>
    </row>
    <row r="141" ht="15.75" customHeight="1">
      <c r="A141" s="45"/>
      <c r="B141" s="45"/>
      <c r="C141" s="45"/>
      <c r="D141" s="45"/>
      <c r="E141" s="45"/>
      <c r="F141" s="45"/>
    </row>
    <row r="142" ht="15.75" customHeight="1">
      <c r="A142" s="45"/>
      <c r="B142" s="45"/>
      <c r="C142" s="45"/>
      <c r="D142" s="45"/>
      <c r="E142" s="45"/>
      <c r="F142" s="45"/>
    </row>
    <row r="143" ht="15.75" customHeight="1">
      <c r="A143" s="45"/>
      <c r="B143" s="45"/>
      <c r="C143" s="45"/>
      <c r="D143" s="45"/>
      <c r="E143" s="45"/>
      <c r="F143" s="45"/>
    </row>
    <row r="144" ht="15.75" customHeight="1">
      <c r="A144" s="45"/>
      <c r="B144" s="45"/>
      <c r="C144" s="45"/>
      <c r="D144" s="45"/>
      <c r="E144" s="45"/>
      <c r="F144" s="45"/>
    </row>
    <row r="145" ht="15.75" customHeight="1">
      <c r="A145" s="45"/>
      <c r="B145" s="45"/>
      <c r="C145" s="45"/>
      <c r="D145" s="45"/>
      <c r="E145" s="45"/>
      <c r="F145" s="45"/>
    </row>
    <row r="146" ht="15.75" customHeight="1">
      <c r="A146" s="45"/>
      <c r="B146" s="45"/>
      <c r="C146" s="45"/>
      <c r="D146" s="45"/>
      <c r="E146" s="45"/>
      <c r="F146" s="45"/>
    </row>
    <row r="147" ht="15.75" customHeight="1">
      <c r="A147" s="45"/>
      <c r="B147" s="45"/>
      <c r="C147" s="45"/>
      <c r="D147" s="45"/>
      <c r="E147" s="45"/>
      <c r="F147" s="45"/>
    </row>
    <row r="148" ht="15.75" customHeight="1">
      <c r="A148" s="45"/>
      <c r="B148" s="45"/>
      <c r="C148" s="45"/>
      <c r="D148" s="45"/>
      <c r="E148" s="45"/>
      <c r="F148" s="45"/>
    </row>
    <row r="149" ht="15.75" customHeight="1">
      <c r="A149" s="45"/>
      <c r="B149" s="45"/>
      <c r="C149" s="45"/>
      <c r="D149" s="45"/>
      <c r="E149" s="45"/>
      <c r="F149" s="45"/>
    </row>
    <row r="150" ht="15.75" customHeight="1">
      <c r="A150" s="45"/>
      <c r="B150" s="45"/>
      <c r="C150" s="45"/>
      <c r="D150" s="45"/>
      <c r="E150" s="45"/>
      <c r="F150" s="45"/>
    </row>
    <row r="151" ht="15.75" customHeight="1">
      <c r="A151" s="45"/>
      <c r="B151" s="45"/>
      <c r="C151" s="45"/>
      <c r="D151" s="45"/>
      <c r="E151" s="45"/>
      <c r="F151" s="45"/>
    </row>
    <row r="152" ht="15.75" customHeight="1">
      <c r="A152" s="45"/>
      <c r="B152" s="45"/>
      <c r="C152" s="45"/>
      <c r="D152" s="45"/>
      <c r="E152" s="45"/>
      <c r="F152" s="45"/>
    </row>
    <row r="153" ht="15.75" customHeight="1">
      <c r="A153" s="45"/>
      <c r="B153" s="45"/>
      <c r="C153" s="45"/>
      <c r="D153" s="45"/>
      <c r="E153" s="45"/>
      <c r="F153" s="45"/>
    </row>
    <row r="154" ht="15.75" customHeight="1">
      <c r="A154" s="45"/>
      <c r="B154" s="45"/>
      <c r="C154" s="45"/>
      <c r="D154" s="45"/>
      <c r="E154" s="45"/>
      <c r="F154" s="45"/>
    </row>
    <row r="155" ht="15.75" customHeight="1">
      <c r="A155" s="45"/>
      <c r="B155" s="45"/>
      <c r="C155" s="45"/>
      <c r="D155" s="45"/>
      <c r="E155" s="45"/>
      <c r="F155" s="45"/>
    </row>
    <row r="156" ht="15.75" customHeight="1">
      <c r="A156" s="45"/>
      <c r="B156" s="45"/>
      <c r="C156" s="45"/>
      <c r="D156" s="45"/>
      <c r="E156" s="45"/>
      <c r="F156" s="45"/>
    </row>
    <row r="157" ht="15.75" customHeight="1">
      <c r="A157" s="45"/>
      <c r="B157" s="45"/>
      <c r="C157" s="45"/>
      <c r="D157" s="45"/>
      <c r="E157" s="45"/>
      <c r="F157" s="45"/>
    </row>
    <row r="158" ht="15.75" customHeight="1">
      <c r="A158" s="45"/>
      <c r="B158" s="45"/>
      <c r="C158" s="45"/>
      <c r="D158" s="45"/>
      <c r="E158" s="45"/>
      <c r="F158" s="45"/>
    </row>
    <row r="159" ht="15.75" customHeight="1">
      <c r="A159" s="45"/>
      <c r="B159" s="45"/>
      <c r="C159" s="45"/>
      <c r="D159" s="45"/>
      <c r="E159" s="45"/>
      <c r="F159" s="45"/>
    </row>
    <row r="160" ht="15.75" customHeight="1">
      <c r="A160" s="45"/>
      <c r="B160" s="45"/>
      <c r="C160" s="45"/>
      <c r="D160" s="45"/>
      <c r="E160" s="45"/>
      <c r="F160" s="45"/>
    </row>
    <row r="161" ht="15.75" customHeight="1">
      <c r="A161" s="45"/>
      <c r="B161" s="45"/>
      <c r="C161" s="45"/>
      <c r="D161" s="45"/>
      <c r="E161" s="45"/>
      <c r="F161" s="45"/>
    </row>
    <row r="162" ht="15.75" customHeight="1">
      <c r="A162" s="45"/>
      <c r="B162" s="45"/>
      <c r="C162" s="45"/>
      <c r="D162" s="45"/>
      <c r="E162" s="45"/>
      <c r="F162" s="45"/>
    </row>
    <row r="163" ht="15.75" customHeight="1">
      <c r="A163" s="45"/>
      <c r="B163" s="45"/>
      <c r="C163" s="45"/>
      <c r="D163" s="45"/>
      <c r="E163" s="45"/>
      <c r="F163" s="45"/>
    </row>
    <row r="164" ht="15.75" customHeight="1">
      <c r="A164" s="45"/>
      <c r="B164" s="45"/>
      <c r="C164" s="45"/>
      <c r="D164" s="45"/>
      <c r="E164" s="45"/>
      <c r="F164" s="45"/>
    </row>
    <row r="165" ht="15.75" customHeight="1">
      <c r="A165" s="45"/>
      <c r="B165" s="45"/>
      <c r="C165" s="45"/>
      <c r="D165" s="45"/>
      <c r="E165" s="45"/>
      <c r="F165" s="45"/>
    </row>
    <row r="166" ht="15.75" customHeight="1">
      <c r="A166" s="45"/>
      <c r="B166" s="45"/>
      <c r="C166" s="45"/>
      <c r="D166" s="45"/>
      <c r="E166" s="45"/>
      <c r="F166" s="45"/>
    </row>
    <row r="167" ht="15.75" customHeight="1">
      <c r="A167" s="45"/>
      <c r="B167" s="45"/>
      <c r="C167" s="45"/>
      <c r="D167" s="45"/>
      <c r="E167" s="45"/>
      <c r="F167" s="45"/>
    </row>
    <row r="168" ht="15.75" customHeight="1">
      <c r="A168" s="45"/>
      <c r="B168" s="45"/>
      <c r="C168" s="45"/>
      <c r="D168" s="45"/>
      <c r="E168" s="45"/>
      <c r="F168" s="45"/>
    </row>
    <row r="169" ht="15.75" customHeight="1">
      <c r="A169" s="45"/>
      <c r="B169" s="45"/>
      <c r="C169" s="45"/>
      <c r="D169" s="45"/>
      <c r="E169" s="45"/>
      <c r="F169" s="45"/>
    </row>
    <row r="170" ht="15.75" customHeight="1">
      <c r="A170" s="45"/>
      <c r="B170" s="45"/>
      <c r="C170" s="45"/>
      <c r="D170" s="45"/>
      <c r="E170" s="45"/>
      <c r="F170" s="45"/>
    </row>
    <row r="171" ht="15.75" customHeight="1">
      <c r="A171" s="45"/>
      <c r="B171" s="45"/>
      <c r="C171" s="45"/>
      <c r="D171" s="45"/>
      <c r="E171" s="45"/>
      <c r="F171" s="45"/>
    </row>
    <row r="172" ht="15.75" customHeight="1">
      <c r="A172" s="45"/>
      <c r="B172" s="45"/>
      <c r="C172" s="45"/>
      <c r="D172" s="45"/>
      <c r="E172" s="45"/>
      <c r="F172" s="45"/>
    </row>
    <row r="173" ht="15.75" customHeight="1">
      <c r="A173" s="45"/>
      <c r="B173" s="45"/>
      <c r="C173" s="45"/>
      <c r="D173" s="45"/>
      <c r="E173" s="45"/>
      <c r="F173" s="45"/>
    </row>
    <row r="174" ht="15.75" customHeight="1">
      <c r="A174" s="45"/>
      <c r="B174" s="45"/>
      <c r="C174" s="45"/>
      <c r="D174" s="45"/>
      <c r="E174" s="45"/>
      <c r="F174" s="45"/>
    </row>
    <row r="175" ht="15.75" customHeight="1">
      <c r="A175" s="45"/>
      <c r="B175" s="45"/>
      <c r="C175" s="45"/>
      <c r="D175" s="45"/>
      <c r="E175" s="45"/>
      <c r="F175" s="45"/>
    </row>
    <row r="176" ht="15.75" customHeight="1">
      <c r="A176" s="45"/>
      <c r="B176" s="45"/>
      <c r="C176" s="45"/>
      <c r="D176" s="45"/>
      <c r="E176" s="45"/>
      <c r="F176" s="45"/>
    </row>
    <row r="177" ht="15.75" customHeight="1">
      <c r="A177" s="45"/>
      <c r="B177" s="45"/>
      <c r="C177" s="45"/>
      <c r="D177" s="45"/>
      <c r="E177" s="45"/>
      <c r="F177" s="45"/>
    </row>
    <row r="178" ht="15.75" customHeight="1">
      <c r="A178" s="45"/>
      <c r="B178" s="45"/>
      <c r="C178" s="45"/>
      <c r="D178" s="45"/>
      <c r="E178" s="45"/>
      <c r="F178" s="45"/>
    </row>
    <row r="179" ht="15.75" customHeight="1">
      <c r="A179" s="45"/>
      <c r="B179" s="45"/>
      <c r="C179" s="45"/>
      <c r="D179" s="45"/>
      <c r="E179" s="45"/>
      <c r="F179" s="45"/>
    </row>
    <row r="180" ht="15.75" customHeight="1">
      <c r="A180" s="45"/>
      <c r="B180" s="45"/>
      <c r="C180" s="45"/>
      <c r="D180" s="45"/>
      <c r="E180" s="45"/>
      <c r="F180" s="45"/>
    </row>
    <row r="181" ht="15.75" customHeight="1">
      <c r="A181" s="45"/>
      <c r="B181" s="45"/>
      <c r="C181" s="45"/>
      <c r="D181" s="45"/>
      <c r="E181" s="45"/>
      <c r="F181" s="45"/>
    </row>
    <row r="182" ht="15.75" customHeight="1">
      <c r="A182" s="45"/>
      <c r="B182" s="45"/>
      <c r="C182" s="45"/>
      <c r="D182" s="45"/>
      <c r="E182" s="45"/>
      <c r="F182" s="45"/>
    </row>
    <row r="183" ht="15.75" customHeight="1">
      <c r="A183" s="45"/>
      <c r="B183" s="45"/>
      <c r="C183" s="45"/>
      <c r="D183" s="45"/>
      <c r="E183" s="45"/>
      <c r="F183" s="45"/>
    </row>
    <row r="184" ht="15.75" customHeight="1">
      <c r="A184" s="45"/>
      <c r="B184" s="45"/>
      <c r="C184" s="45"/>
      <c r="D184" s="45"/>
      <c r="E184" s="45"/>
      <c r="F184" s="45"/>
    </row>
    <row r="185" ht="15.75" customHeight="1">
      <c r="A185" s="45"/>
      <c r="B185" s="45"/>
      <c r="C185" s="45"/>
      <c r="D185" s="45"/>
      <c r="E185" s="45"/>
      <c r="F185" s="45"/>
    </row>
    <row r="186" ht="15.75" customHeight="1">
      <c r="A186" s="45"/>
      <c r="B186" s="45"/>
      <c r="C186" s="45"/>
      <c r="D186" s="45"/>
      <c r="E186" s="45"/>
      <c r="F186" s="45"/>
    </row>
    <row r="187" ht="15.75" customHeight="1">
      <c r="A187" s="45"/>
      <c r="B187" s="45"/>
      <c r="C187" s="45"/>
      <c r="D187" s="45"/>
      <c r="E187" s="45"/>
      <c r="F187" s="45"/>
    </row>
    <row r="188" ht="15.75" customHeight="1">
      <c r="A188" s="45"/>
      <c r="B188" s="45"/>
      <c r="C188" s="45"/>
      <c r="D188" s="45"/>
      <c r="E188" s="45"/>
      <c r="F188" s="45"/>
    </row>
    <row r="189" ht="15.75" customHeight="1">
      <c r="A189" s="45"/>
      <c r="B189" s="45"/>
      <c r="C189" s="45"/>
      <c r="D189" s="45"/>
      <c r="E189" s="45"/>
      <c r="F189" s="45"/>
    </row>
    <row r="190" ht="15.75" customHeight="1">
      <c r="A190" s="45"/>
      <c r="B190" s="45"/>
      <c r="C190" s="45"/>
      <c r="D190" s="45"/>
      <c r="E190" s="45"/>
      <c r="F190" s="45"/>
    </row>
    <row r="191" ht="15.75" customHeight="1">
      <c r="A191" s="45"/>
      <c r="B191" s="45"/>
      <c r="C191" s="45"/>
      <c r="D191" s="45"/>
      <c r="E191" s="45"/>
      <c r="F191" s="45"/>
    </row>
    <row r="192" ht="15.75" customHeight="1">
      <c r="A192" s="45"/>
      <c r="B192" s="45"/>
      <c r="C192" s="45"/>
      <c r="D192" s="45"/>
      <c r="E192" s="45"/>
      <c r="F192" s="45"/>
    </row>
    <row r="193" ht="15.75" customHeight="1">
      <c r="A193" s="45"/>
      <c r="B193" s="45"/>
      <c r="C193" s="45"/>
      <c r="D193" s="45"/>
      <c r="E193" s="45"/>
      <c r="F193" s="45"/>
    </row>
    <row r="194" ht="15.75" customHeight="1">
      <c r="A194" s="45"/>
      <c r="B194" s="45"/>
      <c r="C194" s="45"/>
      <c r="D194" s="45"/>
      <c r="E194" s="45"/>
      <c r="F194" s="45"/>
    </row>
    <row r="195" ht="15.75" customHeight="1">
      <c r="A195" s="45"/>
      <c r="B195" s="45"/>
      <c r="C195" s="45"/>
      <c r="D195" s="45"/>
      <c r="E195" s="45"/>
      <c r="F195" s="45"/>
    </row>
    <row r="196" ht="15.75" customHeight="1">
      <c r="A196" s="45"/>
      <c r="B196" s="45"/>
      <c r="C196" s="45"/>
      <c r="D196" s="45"/>
      <c r="E196" s="45"/>
      <c r="F196" s="45"/>
    </row>
    <row r="197" ht="15.75" customHeight="1">
      <c r="A197" s="45"/>
      <c r="B197" s="45"/>
      <c r="C197" s="45"/>
      <c r="D197" s="45"/>
      <c r="E197" s="45"/>
      <c r="F197" s="45"/>
    </row>
    <row r="198" ht="15.75" customHeight="1">
      <c r="A198" s="45"/>
      <c r="B198" s="45"/>
      <c r="C198" s="45"/>
      <c r="D198" s="45"/>
      <c r="E198" s="45"/>
      <c r="F198" s="45"/>
    </row>
    <row r="199" ht="15.75" customHeight="1">
      <c r="A199" s="45"/>
      <c r="B199" s="45"/>
      <c r="C199" s="45"/>
      <c r="D199" s="45"/>
      <c r="E199" s="45"/>
      <c r="F199" s="45"/>
    </row>
    <row r="200" ht="15.75" customHeight="1">
      <c r="A200" s="45"/>
      <c r="B200" s="45"/>
      <c r="C200" s="45"/>
      <c r="D200" s="45"/>
      <c r="E200" s="45"/>
      <c r="F200" s="45"/>
    </row>
    <row r="201" ht="15.75" customHeight="1">
      <c r="A201" s="45"/>
      <c r="B201" s="45"/>
      <c r="C201" s="45"/>
      <c r="D201" s="45"/>
      <c r="E201" s="45"/>
      <c r="F201" s="45"/>
    </row>
    <row r="202" ht="15.75" customHeight="1">
      <c r="A202" s="45"/>
      <c r="B202" s="45"/>
      <c r="C202" s="45"/>
      <c r="D202" s="45"/>
      <c r="E202" s="45"/>
      <c r="F202" s="45"/>
    </row>
    <row r="203" ht="15.75" customHeight="1">
      <c r="A203" s="45"/>
      <c r="B203" s="45"/>
      <c r="C203" s="45"/>
      <c r="D203" s="45"/>
      <c r="E203" s="45"/>
      <c r="F203" s="45"/>
    </row>
    <row r="204" ht="15.75" customHeight="1">
      <c r="A204" s="45"/>
      <c r="B204" s="45"/>
      <c r="C204" s="45"/>
      <c r="D204" s="45"/>
      <c r="E204" s="45"/>
      <c r="F204" s="45"/>
    </row>
    <row r="205" ht="15.75" customHeight="1">
      <c r="A205" s="45"/>
      <c r="B205" s="45"/>
      <c r="C205" s="45"/>
      <c r="D205" s="45"/>
      <c r="E205" s="45"/>
      <c r="F205" s="45"/>
    </row>
    <row r="206" ht="15.75" customHeight="1">
      <c r="A206" s="45"/>
      <c r="B206" s="45"/>
      <c r="C206" s="45"/>
      <c r="D206" s="45"/>
      <c r="E206" s="45"/>
      <c r="F206" s="45"/>
    </row>
    <row r="207" ht="15.75" customHeight="1">
      <c r="A207" s="45"/>
      <c r="B207" s="45"/>
      <c r="C207" s="45"/>
      <c r="D207" s="45"/>
      <c r="E207" s="45"/>
      <c r="F207" s="45"/>
    </row>
    <row r="208" ht="15.75" customHeight="1">
      <c r="A208" s="45"/>
      <c r="B208" s="45"/>
      <c r="C208" s="45"/>
      <c r="D208" s="45"/>
      <c r="E208" s="45"/>
      <c r="F208" s="45"/>
    </row>
    <row r="209" ht="15.75" customHeight="1">
      <c r="A209" s="45"/>
      <c r="B209" s="45"/>
      <c r="C209" s="45"/>
      <c r="D209" s="45"/>
      <c r="E209" s="45"/>
      <c r="F209" s="45"/>
    </row>
    <row r="210" ht="15.75" customHeight="1">
      <c r="A210" s="45"/>
      <c r="B210" s="45"/>
      <c r="C210" s="45"/>
      <c r="D210" s="45"/>
      <c r="E210" s="45"/>
      <c r="F210" s="45"/>
    </row>
    <row r="211" ht="15.75" customHeight="1">
      <c r="A211" s="45"/>
      <c r="B211" s="45"/>
      <c r="C211" s="45"/>
      <c r="D211" s="45"/>
      <c r="E211" s="45"/>
      <c r="F211" s="45"/>
    </row>
    <row r="212" ht="15.75" customHeight="1">
      <c r="A212" s="45"/>
      <c r="B212" s="45"/>
      <c r="C212" s="45"/>
      <c r="D212" s="45"/>
      <c r="E212" s="45"/>
      <c r="F212" s="45"/>
    </row>
    <row r="213" ht="15.75" customHeight="1">
      <c r="A213" s="45"/>
      <c r="B213" s="45"/>
      <c r="C213" s="45"/>
      <c r="D213" s="45"/>
      <c r="E213" s="45"/>
      <c r="F213" s="45"/>
    </row>
    <row r="214" ht="15.75" customHeight="1">
      <c r="A214" s="45"/>
      <c r="B214" s="45"/>
      <c r="C214" s="45"/>
      <c r="D214" s="45"/>
      <c r="E214" s="45"/>
      <c r="F214" s="45"/>
    </row>
    <row r="215" ht="15.75" customHeight="1">
      <c r="A215" s="45"/>
      <c r="B215" s="45"/>
      <c r="C215" s="45"/>
      <c r="D215" s="45"/>
      <c r="E215" s="45"/>
      <c r="F215" s="45"/>
    </row>
    <row r="216" ht="15.75" customHeight="1">
      <c r="A216" s="45"/>
      <c r="B216" s="45"/>
      <c r="C216" s="45"/>
      <c r="D216" s="45"/>
      <c r="E216" s="45"/>
      <c r="F216" s="45"/>
    </row>
    <row r="217" ht="15.75" customHeight="1">
      <c r="A217" s="45"/>
      <c r="B217" s="45"/>
      <c r="C217" s="45"/>
      <c r="D217" s="45"/>
      <c r="E217" s="45"/>
      <c r="F217" s="45"/>
    </row>
    <row r="218" ht="15.75" customHeight="1">
      <c r="A218" s="45"/>
      <c r="B218" s="45"/>
      <c r="C218" s="45"/>
      <c r="D218" s="45"/>
      <c r="E218" s="45"/>
      <c r="F218" s="45"/>
    </row>
    <row r="219" ht="15.75" customHeight="1">
      <c r="A219" s="45"/>
      <c r="B219" s="45"/>
      <c r="C219" s="45"/>
      <c r="D219" s="45"/>
      <c r="E219" s="45"/>
      <c r="F219" s="45"/>
    </row>
    <row r="220" ht="15.75" customHeight="1">
      <c r="A220" s="45"/>
      <c r="B220" s="45"/>
      <c r="C220" s="45"/>
      <c r="D220" s="45"/>
      <c r="E220" s="45"/>
      <c r="F220" s="45"/>
    </row>
    <row r="221" ht="15.75" customHeight="1">
      <c r="A221" s="45"/>
      <c r="B221" s="45"/>
      <c r="C221" s="45"/>
      <c r="D221" s="45"/>
      <c r="E221" s="45"/>
      <c r="F221" s="45"/>
    </row>
    <row r="222" ht="15.75" customHeight="1">
      <c r="A222" s="45"/>
      <c r="B222" s="45"/>
      <c r="C222" s="45"/>
      <c r="D222" s="45"/>
      <c r="E222" s="45"/>
      <c r="F222" s="45"/>
    </row>
    <row r="223" ht="15.75" customHeight="1">
      <c r="A223" s="45"/>
      <c r="B223" s="45"/>
      <c r="C223" s="45"/>
      <c r="D223" s="45"/>
      <c r="E223" s="45"/>
      <c r="F223" s="45"/>
    </row>
    <row r="224" ht="15.75" customHeight="1">
      <c r="A224" s="45"/>
      <c r="B224" s="45"/>
      <c r="C224" s="45"/>
      <c r="D224" s="45"/>
      <c r="E224" s="45"/>
      <c r="F224" s="45"/>
    </row>
    <row r="225" ht="15.75" customHeight="1">
      <c r="A225" s="45"/>
      <c r="B225" s="45"/>
      <c r="C225" s="45"/>
      <c r="D225" s="45"/>
      <c r="E225" s="45"/>
      <c r="F225" s="45"/>
    </row>
    <row r="226" ht="15.75" customHeight="1">
      <c r="A226" s="45"/>
      <c r="B226" s="45"/>
      <c r="C226" s="45"/>
      <c r="D226" s="45"/>
      <c r="E226" s="45"/>
      <c r="F226" s="45"/>
    </row>
    <row r="227" ht="15.75" customHeight="1">
      <c r="A227" s="45"/>
      <c r="B227" s="45"/>
      <c r="C227" s="45"/>
      <c r="D227" s="45"/>
      <c r="E227" s="45"/>
      <c r="F227" s="45"/>
    </row>
    <row r="228" ht="15.75" customHeight="1">
      <c r="A228" s="45"/>
      <c r="B228" s="45"/>
      <c r="C228" s="45"/>
      <c r="D228" s="45"/>
      <c r="E228" s="45"/>
      <c r="F228" s="45"/>
    </row>
    <row r="229" ht="15.75" customHeight="1">
      <c r="A229" s="45"/>
      <c r="B229" s="45"/>
      <c r="C229" s="45"/>
      <c r="D229" s="45"/>
      <c r="E229" s="45"/>
      <c r="F229" s="45"/>
    </row>
    <row r="230" ht="15.75" customHeight="1">
      <c r="A230" s="45"/>
      <c r="B230" s="45"/>
      <c r="C230" s="45"/>
      <c r="D230" s="45"/>
      <c r="E230" s="45"/>
      <c r="F230" s="45"/>
    </row>
    <row r="231" ht="15.75" customHeight="1">
      <c r="A231" s="45"/>
      <c r="B231" s="45"/>
      <c r="C231" s="45"/>
      <c r="D231" s="45"/>
      <c r="E231" s="45"/>
      <c r="F231" s="45"/>
    </row>
    <row r="232" ht="15.75" customHeight="1">
      <c r="A232" s="45"/>
      <c r="B232" s="45"/>
      <c r="C232" s="45"/>
      <c r="D232" s="45"/>
      <c r="E232" s="45"/>
      <c r="F232" s="45"/>
    </row>
    <row r="233" ht="15.75" customHeight="1">
      <c r="A233" s="45"/>
      <c r="B233" s="45"/>
      <c r="C233" s="45"/>
      <c r="D233" s="45"/>
      <c r="E233" s="45"/>
      <c r="F233" s="45"/>
    </row>
    <row r="234" ht="15.75" customHeight="1">
      <c r="A234" s="45"/>
      <c r="B234" s="45"/>
      <c r="C234" s="45"/>
      <c r="D234" s="45"/>
      <c r="E234" s="45"/>
      <c r="F234" s="45"/>
    </row>
    <row r="235" ht="15.75" customHeight="1">
      <c r="A235" s="45"/>
      <c r="B235" s="45"/>
      <c r="C235" s="45"/>
      <c r="D235" s="45"/>
      <c r="E235" s="45"/>
      <c r="F235" s="45"/>
    </row>
    <row r="236" ht="15.75" customHeight="1">
      <c r="A236" s="45"/>
      <c r="B236" s="45"/>
      <c r="C236" s="45"/>
      <c r="D236" s="45"/>
      <c r="E236" s="45"/>
      <c r="F236" s="45"/>
    </row>
    <row r="237" ht="15.75" customHeight="1">
      <c r="A237" s="45"/>
      <c r="B237" s="45"/>
      <c r="C237" s="45"/>
      <c r="D237" s="45"/>
      <c r="E237" s="45"/>
      <c r="F237" s="45"/>
    </row>
    <row r="238" ht="15.75" customHeight="1">
      <c r="A238" s="45"/>
      <c r="B238" s="45"/>
      <c r="C238" s="45"/>
      <c r="D238" s="45"/>
      <c r="E238" s="45"/>
      <c r="F238" s="45"/>
    </row>
    <row r="239" ht="15.75" customHeight="1">
      <c r="A239" s="45"/>
      <c r="B239" s="45"/>
      <c r="C239" s="45"/>
      <c r="D239" s="45"/>
      <c r="E239" s="45"/>
      <c r="F239" s="45"/>
    </row>
    <row r="240" ht="15.75" customHeight="1">
      <c r="A240" s="45"/>
      <c r="B240" s="45"/>
      <c r="C240" s="45"/>
      <c r="D240" s="45"/>
      <c r="E240" s="45"/>
      <c r="F240" s="45"/>
    </row>
    <row r="241" ht="15.75" customHeight="1">
      <c r="A241" s="45"/>
      <c r="B241" s="45"/>
      <c r="C241" s="45"/>
      <c r="D241" s="45"/>
      <c r="E241" s="45"/>
      <c r="F241" s="45"/>
    </row>
    <row r="242" ht="15.75" customHeight="1">
      <c r="A242" s="45"/>
      <c r="B242" s="45"/>
      <c r="C242" s="45"/>
      <c r="D242" s="45"/>
      <c r="E242" s="45"/>
      <c r="F242" s="45"/>
    </row>
    <row r="243" ht="15.75" customHeight="1">
      <c r="A243" s="45"/>
      <c r="B243" s="45"/>
      <c r="C243" s="45"/>
      <c r="D243" s="45"/>
      <c r="E243" s="45"/>
      <c r="F243" s="45"/>
    </row>
    <row r="244" ht="15.75" customHeight="1">
      <c r="A244" s="45"/>
      <c r="B244" s="45"/>
      <c r="C244" s="45"/>
      <c r="D244" s="45"/>
      <c r="E244" s="45"/>
      <c r="F244" s="45"/>
    </row>
    <row r="245" ht="15.75" customHeight="1">
      <c r="A245" s="45"/>
      <c r="B245" s="45"/>
      <c r="C245" s="45"/>
      <c r="D245" s="45"/>
      <c r="E245" s="45"/>
      <c r="F245" s="45"/>
    </row>
    <row r="246" ht="15.75" customHeight="1">
      <c r="A246" s="45"/>
      <c r="B246" s="45"/>
      <c r="C246" s="45"/>
      <c r="D246" s="45"/>
      <c r="E246" s="45"/>
      <c r="F246" s="45"/>
    </row>
    <row r="247" ht="15.75" customHeight="1">
      <c r="A247" s="45"/>
      <c r="B247" s="45"/>
      <c r="C247" s="45"/>
      <c r="D247" s="45"/>
      <c r="E247" s="45"/>
      <c r="F247" s="45"/>
    </row>
    <row r="248" ht="15.75" customHeight="1">
      <c r="A248" s="45"/>
      <c r="B248" s="45"/>
      <c r="C248" s="45"/>
      <c r="D248" s="45"/>
      <c r="E248" s="45"/>
      <c r="F248" s="45"/>
    </row>
    <row r="249" ht="15.75" customHeight="1">
      <c r="A249" s="45"/>
      <c r="B249" s="45"/>
      <c r="C249" s="45"/>
      <c r="D249" s="45"/>
      <c r="E249" s="45"/>
      <c r="F249" s="45"/>
    </row>
    <row r="250" ht="15.75" customHeight="1">
      <c r="A250" s="45"/>
      <c r="B250" s="45"/>
      <c r="C250" s="45"/>
      <c r="D250" s="45"/>
      <c r="E250" s="45"/>
      <c r="F250" s="45"/>
    </row>
    <row r="251" ht="15.75" customHeight="1">
      <c r="A251" s="45"/>
      <c r="B251" s="45"/>
      <c r="C251" s="45"/>
      <c r="D251" s="45"/>
      <c r="E251" s="45"/>
      <c r="F251" s="45"/>
    </row>
    <row r="252" ht="15.75" customHeight="1">
      <c r="A252" s="45"/>
      <c r="B252" s="45"/>
      <c r="C252" s="45"/>
      <c r="D252" s="45"/>
      <c r="E252" s="45"/>
      <c r="F252" s="45"/>
    </row>
    <row r="253" ht="15.75" customHeight="1">
      <c r="A253" s="45"/>
      <c r="B253" s="45"/>
      <c r="C253" s="45"/>
      <c r="D253" s="45"/>
      <c r="E253" s="45"/>
      <c r="F253" s="45"/>
    </row>
    <row r="254" ht="15.75" customHeight="1">
      <c r="A254" s="45"/>
      <c r="B254" s="45"/>
      <c r="C254" s="45"/>
      <c r="D254" s="45"/>
      <c r="E254" s="45"/>
      <c r="F254" s="45"/>
    </row>
    <row r="255" ht="15.75" customHeight="1">
      <c r="A255" s="45"/>
      <c r="B255" s="45"/>
      <c r="C255" s="45"/>
      <c r="D255" s="45"/>
      <c r="E255" s="45"/>
      <c r="F255" s="45"/>
    </row>
    <row r="256" ht="15.75" customHeight="1">
      <c r="A256" s="45"/>
      <c r="B256" s="45"/>
      <c r="C256" s="45"/>
      <c r="D256" s="45"/>
      <c r="E256" s="45"/>
      <c r="F256" s="45"/>
    </row>
    <row r="257" ht="15.75" customHeight="1">
      <c r="A257" s="45"/>
      <c r="B257" s="45"/>
      <c r="C257" s="45"/>
      <c r="D257" s="45"/>
      <c r="E257" s="45"/>
      <c r="F257" s="45"/>
    </row>
    <row r="258" ht="15.75" customHeight="1">
      <c r="A258" s="45"/>
      <c r="B258" s="45"/>
      <c r="C258" s="45"/>
      <c r="D258" s="45"/>
      <c r="E258" s="45"/>
      <c r="F258" s="45"/>
    </row>
    <row r="259" ht="15.75" customHeight="1">
      <c r="A259" s="45"/>
      <c r="B259" s="45"/>
      <c r="C259" s="45"/>
      <c r="D259" s="45"/>
      <c r="E259" s="45"/>
      <c r="F259" s="45"/>
    </row>
    <row r="260" ht="15.75" customHeight="1">
      <c r="A260" s="45"/>
      <c r="B260" s="45"/>
      <c r="C260" s="45"/>
      <c r="D260" s="45"/>
      <c r="E260" s="45"/>
      <c r="F260" s="45"/>
    </row>
    <row r="261" ht="15.75" customHeight="1">
      <c r="A261" s="45"/>
      <c r="B261" s="45"/>
      <c r="C261" s="45"/>
      <c r="D261" s="45"/>
      <c r="E261" s="45"/>
      <c r="F261" s="45"/>
    </row>
    <row r="262" ht="15.75" customHeight="1">
      <c r="A262" s="45"/>
      <c r="B262" s="45"/>
      <c r="C262" s="45"/>
      <c r="D262" s="45"/>
      <c r="E262" s="45"/>
      <c r="F262" s="45"/>
    </row>
    <row r="263" ht="15.75" customHeight="1">
      <c r="A263" s="45"/>
      <c r="B263" s="45"/>
      <c r="C263" s="45"/>
      <c r="D263" s="45"/>
      <c r="E263" s="45"/>
      <c r="F263" s="45"/>
    </row>
    <row r="264" ht="15.75" customHeight="1">
      <c r="A264" s="45"/>
      <c r="B264" s="45"/>
      <c r="C264" s="45"/>
      <c r="D264" s="45"/>
      <c r="E264" s="45"/>
      <c r="F264" s="45"/>
    </row>
    <row r="265" ht="15.75" customHeight="1">
      <c r="A265" s="45"/>
      <c r="B265" s="45"/>
      <c r="C265" s="45"/>
      <c r="D265" s="45"/>
      <c r="E265" s="45"/>
      <c r="F265" s="45"/>
    </row>
    <row r="266" ht="15.75" customHeight="1">
      <c r="A266" s="45"/>
      <c r="B266" s="45"/>
      <c r="C266" s="45"/>
      <c r="D266" s="45"/>
      <c r="E266" s="45"/>
      <c r="F266" s="45"/>
    </row>
    <row r="267" ht="15.75" customHeight="1">
      <c r="A267" s="45"/>
      <c r="B267" s="45"/>
      <c r="C267" s="45"/>
      <c r="D267" s="45"/>
      <c r="E267" s="45"/>
      <c r="F267" s="45"/>
    </row>
    <row r="268" ht="15.75" customHeight="1">
      <c r="A268" s="45"/>
      <c r="B268" s="45"/>
      <c r="C268" s="45"/>
      <c r="D268" s="45"/>
      <c r="E268" s="45"/>
      <c r="F268" s="45"/>
    </row>
    <row r="269" ht="15.75" customHeight="1">
      <c r="A269" s="45"/>
      <c r="B269" s="45"/>
      <c r="C269" s="45"/>
      <c r="D269" s="45"/>
      <c r="E269" s="45"/>
      <c r="F269" s="45"/>
    </row>
    <row r="270" ht="15.75" customHeight="1">
      <c r="A270" s="45"/>
      <c r="B270" s="45"/>
      <c r="C270" s="45"/>
      <c r="D270" s="45"/>
      <c r="E270" s="45"/>
      <c r="F270" s="45"/>
    </row>
    <row r="271" ht="15.75" customHeight="1">
      <c r="A271" s="45"/>
      <c r="B271" s="45"/>
      <c r="C271" s="45"/>
      <c r="D271" s="45"/>
      <c r="E271" s="45"/>
      <c r="F271" s="45"/>
    </row>
    <row r="272" ht="15.75" customHeight="1">
      <c r="A272" s="45"/>
      <c r="B272" s="45"/>
      <c r="C272" s="45"/>
      <c r="D272" s="45"/>
      <c r="E272" s="45"/>
      <c r="F272" s="45"/>
    </row>
    <row r="273" ht="15.75" customHeight="1">
      <c r="A273" s="45"/>
      <c r="B273" s="45"/>
      <c r="C273" s="45"/>
      <c r="D273" s="45"/>
      <c r="E273" s="45"/>
      <c r="F273" s="45"/>
    </row>
    <row r="274" ht="15.75" customHeight="1">
      <c r="A274" s="45"/>
      <c r="B274" s="45"/>
      <c r="C274" s="45"/>
      <c r="D274" s="45"/>
      <c r="E274" s="45"/>
      <c r="F274" s="45"/>
    </row>
    <row r="275" ht="15.75" customHeight="1">
      <c r="A275" s="45"/>
      <c r="B275" s="45"/>
      <c r="C275" s="45"/>
      <c r="D275" s="45"/>
      <c r="E275" s="45"/>
      <c r="F275" s="45"/>
    </row>
    <row r="276" ht="15.75" customHeight="1">
      <c r="A276" s="45"/>
      <c r="B276" s="45"/>
      <c r="C276" s="45"/>
      <c r="D276" s="45"/>
      <c r="E276" s="45"/>
      <c r="F276" s="45"/>
    </row>
    <row r="277" ht="15.75" customHeight="1">
      <c r="A277" s="45"/>
      <c r="B277" s="45"/>
      <c r="C277" s="45"/>
      <c r="D277" s="45"/>
      <c r="E277" s="45"/>
      <c r="F277" s="45"/>
    </row>
    <row r="278" ht="15.75" customHeight="1">
      <c r="A278" s="45"/>
      <c r="B278" s="45"/>
      <c r="C278" s="45"/>
      <c r="D278" s="45"/>
      <c r="E278" s="45"/>
      <c r="F278" s="45"/>
    </row>
    <row r="279" ht="15.75" customHeight="1">
      <c r="A279" s="45"/>
      <c r="B279" s="45"/>
      <c r="C279" s="45"/>
      <c r="D279" s="45"/>
      <c r="E279" s="45"/>
      <c r="F279" s="45"/>
    </row>
    <row r="280" ht="15.75" customHeight="1">
      <c r="A280" s="45"/>
      <c r="B280" s="45"/>
      <c r="C280" s="45"/>
      <c r="D280" s="45"/>
      <c r="E280" s="45"/>
      <c r="F280" s="45"/>
    </row>
    <row r="281" ht="15.75" customHeight="1">
      <c r="A281" s="45"/>
      <c r="B281" s="45"/>
      <c r="C281" s="45"/>
      <c r="D281" s="45"/>
      <c r="E281" s="45"/>
      <c r="F281" s="45"/>
    </row>
    <row r="282" ht="15.75" customHeight="1">
      <c r="A282" s="45"/>
      <c r="B282" s="45"/>
      <c r="C282" s="45"/>
      <c r="D282" s="45"/>
      <c r="E282" s="45"/>
      <c r="F282" s="45"/>
    </row>
    <row r="283" ht="15.75" customHeight="1">
      <c r="A283" s="45"/>
      <c r="B283" s="45"/>
      <c r="C283" s="45"/>
      <c r="D283" s="45"/>
      <c r="E283" s="45"/>
      <c r="F283" s="45"/>
    </row>
    <row r="284" ht="15.75" customHeight="1">
      <c r="A284" s="45"/>
      <c r="B284" s="45"/>
      <c r="C284" s="45"/>
      <c r="D284" s="45"/>
      <c r="E284" s="45"/>
      <c r="F284" s="45"/>
    </row>
    <row r="285" ht="15.75" customHeight="1">
      <c r="A285" s="45"/>
      <c r="B285" s="45"/>
      <c r="C285" s="45"/>
      <c r="D285" s="45"/>
      <c r="E285" s="45"/>
      <c r="F285" s="45"/>
    </row>
    <row r="286" ht="15.75" customHeight="1">
      <c r="A286" s="45"/>
      <c r="B286" s="45"/>
      <c r="C286" s="45"/>
      <c r="D286" s="45"/>
      <c r="E286" s="45"/>
      <c r="F286" s="45"/>
    </row>
    <row r="287" ht="15.75" customHeight="1">
      <c r="A287" s="45"/>
      <c r="B287" s="45"/>
      <c r="C287" s="45"/>
      <c r="D287" s="45"/>
      <c r="E287" s="45"/>
      <c r="F287" s="45"/>
    </row>
    <row r="288" ht="15.75" customHeight="1">
      <c r="A288" s="45"/>
      <c r="B288" s="45"/>
      <c r="C288" s="45"/>
      <c r="D288" s="45"/>
      <c r="E288" s="45"/>
      <c r="F288" s="45"/>
    </row>
    <row r="289" ht="15.75" customHeight="1">
      <c r="A289" s="45"/>
      <c r="B289" s="45"/>
      <c r="C289" s="45"/>
      <c r="D289" s="45"/>
      <c r="E289" s="45"/>
      <c r="F289" s="45"/>
    </row>
    <row r="290" ht="15.75" customHeight="1">
      <c r="A290" s="45"/>
      <c r="B290" s="45"/>
      <c r="C290" s="45"/>
      <c r="D290" s="45"/>
      <c r="E290" s="45"/>
      <c r="F290" s="45"/>
    </row>
    <row r="291" ht="15.75" customHeight="1">
      <c r="A291" s="45"/>
      <c r="B291" s="45"/>
      <c r="C291" s="45"/>
      <c r="D291" s="45"/>
      <c r="E291" s="45"/>
      <c r="F291" s="45"/>
    </row>
    <row r="292" ht="15.75" customHeight="1">
      <c r="A292" s="45"/>
      <c r="B292" s="45"/>
      <c r="C292" s="45"/>
      <c r="D292" s="45"/>
      <c r="E292" s="45"/>
      <c r="F292" s="45"/>
    </row>
    <row r="293" ht="15.75" customHeight="1">
      <c r="A293" s="45"/>
      <c r="B293" s="45"/>
      <c r="C293" s="45"/>
      <c r="D293" s="45"/>
      <c r="E293" s="45"/>
      <c r="F293" s="45"/>
    </row>
    <row r="294" ht="15.75" customHeight="1">
      <c r="A294" s="45"/>
      <c r="B294" s="45"/>
      <c r="C294" s="45"/>
      <c r="D294" s="45"/>
      <c r="E294" s="45"/>
      <c r="F294" s="45"/>
    </row>
    <row r="295" ht="15.75" customHeight="1">
      <c r="A295" s="45"/>
      <c r="B295" s="45"/>
      <c r="C295" s="45"/>
      <c r="D295" s="45"/>
      <c r="E295" s="45"/>
      <c r="F295" s="45"/>
    </row>
    <row r="296" ht="15.75" customHeight="1">
      <c r="A296" s="45"/>
      <c r="B296" s="45"/>
      <c r="C296" s="45"/>
      <c r="D296" s="45"/>
      <c r="E296" s="45"/>
      <c r="F296" s="45"/>
    </row>
    <row r="297" ht="15.75" customHeight="1">
      <c r="A297" s="45"/>
      <c r="B297" s="45"/>
      <c r="C297" s="45"/>
      <c r="D297" s="45"/>
      <c r="E297" s="45"/>
      <c r="F297" s="45"/>
    </row>
    <row r="298" ht="15.75" customHeight="1">
      <c r="A298" s="45"/>
      <c r="B298" s="45"/>
      <c r="C298" s="45"/>
      <c r="D298" s="45"/>
      <c r="E298" s="45"/>
      <c r="F298" s="45"/>
    </row>
    <row r="299" ht="15.75" customHeight="1">
      <c r="A299" s="45"/>
      <c r="B299" s="45"/>
      <c r="C299" s="45"/>
      <c r="D299" s="45"/>
      <c r="E299" s="45"/>
      <c r="F299" s="45"/>
    </row>
    <row r="300" ht="15.75" customHeight="1">
      <c r="A300" s="45"/>
      <c r="B300" s="45"/>
      <c r="C300" s="45"/>
      <c r="D300" s="45"/>
      <c r="E300" s="45"/>
      <c r="F300" s="45"/>
    </row>
    <row r="301" ht="15.75" customHeight="1">
      <c r="A301" s="45"/>
      <c r="B301" s="45"/>
      <c r="C301" s="45"/>
      <c r="D301" s="45"/>
      <c r="E301" s="45"/>
      <c r="F301" s="45"/>
    </row>
    <row r="302" ht="15.75" customHeight="1">
      <c r="A302" s="45"/>
      <c r="B302" s="45"/>
      <c r="C302" s="45"/>
      <c r="D302" s="45"/>
      <c r="E302" s="45"/>
      <c r="F302" s="45"/>
    </row>
    <row r="303" ht="15.75" customHeight="1">
      <c r="A303" s="45"/>
      <c r="B303" s="45"/>
      <c r="C303" s="45"/>
      <c r="D303" s="45"/>
      <c r="E303" s="45"/>
      <c r="F303" s="45"/>
    </row>
    <row r="304" ht="15.75" customHeight="1">
      <c r="A304" s="45"/>
      <c r="B304" s="45"/>
      <c r="C304" s="45"/>
      <c r="D304" s="45"/>
      <c r="E304" s="45"/>
      <c r="F304" s="45"/>
    </row>
    <row r="305" ht="15.75" customHeight="1">
      <c r="A305" s="45"/>
      <c r="B305" s="45"/>
      <c r="C305" s="45"/>
      <c r="D305" s="45"/>
      <c r="E305" s="45"/>
      <c r="F305" s="45"/>
    </row>
    <row r="306" ht="15.75" customHeight="1">
      <c r="A306" s="45"/>
      <c r="B306" s="45"/>
      <c r="C306" s="45"/>
      <c r="D306" s="45"/>
      <c r="E306" s="45"/>
      <c r="F306" s="45"/>
    </row>
    <row r="307" ht="15.75" customHeight="1">
      <c r="A307" s="45"/>
      <c r="B307" s="45"/>
      <c r="C307" s="45"/>
      <c r="D307" s="45"/>
      <c r="E307" s="45"/>
      <c r="F307" s="45"/>
    </row>
    <row r="308" ht="15.75" customHeight="1">
      <c r="A308" s="45"/>
      <c r="B308" s="45"/>
      <c r="C308" s="45"/>
      <c r="D308" s="45"/>
      <c r="E308" s="45"/>
      <c r="F308" s="45"/>
    </row>
    <row r="309" ht="15.75" customHeight="1">
      <c r="A309" s="45"/>
      <c r="B309" s="45"/>
      <c r="C309" s="45"/>
      <c r="D309" s="45"/>
      <c r="E309" s="45"/>
      <c r="F309" s="45"/>
    </row>
    <row r="310" ht="15.75" customHeight="1">
      <c r="A310" s="45"/>
      <c r="B310" s="45"/>
      <c r="C310" s="45"/>
      <c r="D310" s="45"/>
      <c r="E310" s="45"/>
      <c r="F310" s="45"/>
    </row>
    <row r="311" ht="15.75" customHeight="1">
      <c r="A311" s="45"/>
      <c r="B311" s="45"/>
      <c r="C311" s="45"/>
      <c r="D311" s="45"/>
      <c r="E311" s="45"/>
      <c r="F311" s="45"/>
    </row>
    <row r="312" ht="15.75" customHeight="1">
      <c r="A312" s="45"/>
      <c r="B312" s="45"/>
      <c r="C312" s="45"/>
      <c r="D312" s="45"/>
      <c r="E312" s="45"/>
      <c r="F312" s="45"/>
    </row>
    <row r="313" ht="15.75" customHeight="1">
      <c r="A313" s="45"/>
      <c r="B313" s="45"/>
      <c r="C313" s="45"/>
      <c r="D313" s="45"/>
      <c r="E313" s="45"/>
      <c r="F313" s="45"/>
    </row>
    <row r="314" ht="15.75" customHeight="1">
      <c r="A314" s="45"/>
      <c r="B314" s="45"/>
      <c r="C314" s="45"/>
      <c r="D314" s="45"/>
      <c r="E314" s="45"/>
      <c r="F314" s="45"/>
    </row>
    <row r="315" ht="15.75" customHeight="1">
      <c r="A315" s="45"/>
      <c r="B315" s="45"/>
      <c r="C315" s="45"/>
      <c r="D315" s="45"/>
      <c r="E315" s="45"/>
      <c r="F315" s="45"/>
    </row>
    <row r="316" ht="15.75" customHeight="1">
      <c r="A316" s="45"/>
      <c r="B316" s="45"/>
      <c r="C316" s="45"/>
      <c r="D316" s="45"/>
      <c r="E316" s="45"/>
      <c r="F316" s="45"/>
    </row>
    <row r="317" ht="15.75" customHeight="1">
      <c r="A317" s="45"/>
      <c r="B317" s="45"/>
      <c r="C317" s="45"/>
      <c r="D317" s="45"/>
      <c r="E317" s="45"/>
      <c r="F317" s="45"/>
    </row>
    <row r="318" ht="15.75" customHeight="1">
      <c r="A318" s="45"/>
      <c r="B318" s="45"/>
      <c r="C318" s="45"/>
      <c r="D318" s="45"/>
      <c r="E318" s="45"/>
      <c r="F318" s="45"/>
    </row>
    <row r="319" ht="15.75" customHeight="1">
      <c r="A319" s="45"/>
      <c r="B319" s="45"/>
      <c r="C319" s="45"/>
      <c r="D319" s="45"/>
      <c r="E319" s="45"/>
      <c r="F319" s="45"/>
    </row>
    <row r="320" ht="15.75" customHeight="1">
      <c r="A320" s="45"/>
      <c r="B320" s="45"/>
      <c r="C320" s="45"/>
      <c r="D320" s="45"/>
      <c r="E320" s="45"/>
      <c r="F320" s="45"/>
    </row>
    <row r="321" ht="15.75" customHeight="1">
      <c r="A321" s="45"/>
      <c r="B321" s="45"/>
      <c r="C321" s="45"/>
      <c r="D321" s="45"/>
      <c r="E321" s="45"/>
      <c r="F321" s="45"/>
    </row>
    <row r="322" ht="15.75" customHeight="1">
      <c r="A322" s="45"/>
      <c r="B322" s="45"/>
      <c r="C322" s="45"/>
      <c r="D322" s="45"/>
      <c r="E322" s="45"/>
      <c r="F322" s="45"/>
    </row>
    <row r="323" ht="15.75" customHeight="1">
      <c r="A323" s="45"/>
      <c r="B323" s="45"/>
      <c r="C323" s="45"/>
      <c r="D323" s="45"/>
      <c r="E323" s="45"/>
      <c r="F323" s="45"/>
    </row>
    <row r="324" ht="15.75" customHeight="1">
      <c r="A324" s="45"/>
      <c r="B324" s="45"/>
      <c r="C324" s="45"/>
      <c r="D324" s="45"/>
      <c r="E324" s="45"/>
      <c r="F324" s="45"/>
    </row>
    <row r="325" ht="15.75" customHeight="1">
      <c r="A325" s="45"/>
      <c r="B325" s="45"/>
      <c r="C325" s="45"/>
      <c r="D325" s="45"/>
      <c r="E325" s="45"/>
      <c r="F325" s="45"/>
    </row>
    <row r="326" ht="15.75" customHeight="1">
      <c r="A326" s="45"/>
      <c r="B326" s="45"/>
      <c r="C326" s="45"/>
      <c r="D326" s="45"/>
      <c r="E326" s="45"/>
      <c r="F326" s="45"/>
    </row>
    <row r="327" ht="15.75" customHeight="1">
      <c r="A327" s="45"/>
      <c r="B327" s="45"/>
      <c r="C327" s="45"/>
      <c r="D327" s="45"/>
      <c r="E327" s="45"/>
      <c r="F327" s="45"/>
    </row>
    <row r="328" ht="15.75" customHeight="1">
      <c r="A328" s="45"/>
      <c r="B328" s="45"/>
      <c r="C328" s="45"/>
      <c r="D328" s="45"/>
      <c r="E328" s="45"/>
      <c r="F328" s="45"/>
    </row>
    <row r="329" ht="15.75" customHeight="1">
      <c r="A329" s="45"/>
      <c r="B329" s="45"/>
      <c r="C329" s="45"/>
      <c r="D329" s="45"/>
      <c r="E329" s="45"/>
      <c r="F329" s="45"/>
    </row>
    <row r="330" ht="15.75" customHeight="1">
      <c r="A330" s="45"/>
      <c r="B330" s="45"/>
      <c r="C330" s="45"/>
      <c r="D330" s="45"/>
      <c r="E330" s="45"/>
      <c r="F330" s="45"/>
    </row>
    <row r="331" ht="15.75" customHeight="1">
      <c r="A331" s="45"/>
      <c r="B331" s="45"/>
      <c r="C331" s="45"/>
      <c r="D331" s="45"/>
      <c r="E331" s="45"/>
      <c r="F331" s="45"/>
    </row>
    <row r="332" ht="15.75" customHeight="1">
      <c r="A332" s="45"/>
      <c r="B332" s="45"/>
      <c r="C332" s="45"/>
      <c r="D332" s="45"/>
      <c r="E332" s="45"/>
      <c r="F332" s="45"/>
    </row>
    <row r="333" ht="15.75" customHeight="1">
      <c r="A333" s="45"/>
      <c r="B333" s="45"/>
      <c r="C333" s="45"/>
      <c r="D333" s="45"/>
      <c r="E333" s="45"/>
      <c r="F333" s="45"/>
    </row>
    <row r="334" ht="15.75" customHeight="1">
      <c r="A334" s="45"/>
      <c r="B334" s="45"/>
      <c r="C334" s="45"/>
      <c r="D334" s="45"/>
      <c r="E334" s="45"/>
      <c r="F334" s="45"/>
    </row>
    <row r="335" ht="15.75" customHeight="1">
      <c r="A335" s="45"/>
      <c r="B335" s="45"/>
      <c r="C335" s="45"/>
      <c r="D335" s="45"/>
      <c r="E335" s="45"/>
      <c r="F335" s="45"/>
    </row>
    <row r="336" ht="15.75" customHeight="1">
      <c r="A336" s="45"/>
      <c r="B336" s="45"/>
      <c r="C336" s="45"/>
      <c r="D336" s="45"/>
      <c r="E336" s="45"/>
      <c r="F336" s="45"/>
    </row>
    <row r="337" ht="15.75" customHeight="1">
      <c r="A337" s="45"/>
      <c r="B337" s="45"/>
      <c r="C337" s="45"/>
      <c r="D337" s="45"/>
      <c r="E337" s="45"/>
      <c r="F337" s="45"/>
    </row>
    <row r="338" ht="15.75" customHeight="1">
      <c r="A338" s="45"/>
      <c r="B338" s="45"/>
      <c r="C338" s="45"/>
      <c r="D338" s="45"/>
      <c r="E338" s="45"/>
      <c r="F338" s="45"/>
    </row>
    <row r="339" ht="15.75" customHeight="1">
      <c r="A339" s="45"/>
      <c r="B339" s="45"/>
      <c r="C339" s="45"/>
      <c r="D339" s="45"/>
      <c r="E339" s="45"/>
      <c r="F339" s="45"/>
    </row>
    <row r="340" ht="15.75" customHeight="1">
      <c r="A340" s="45"/>
      <c r="B340" s="45"/>
      <c r="C340" s="45"/>
      <c r="D340" s="45"/>
      <c r="E340" s="45"/>
      <c r="F340" s="45"/>
    </row>
    <row r="341" ht="15.75" customHeight="1">
      <c r="A341" s="45"/>
      <c r="B341" s="45"/>
      <c r="C341" s="45"/>
      <c r="D341" s="45"/>
      <c r="E341" s="45"/>
      <c r="F341" s="45"/>
    </row>
    <row r="342" ht="15.75" customHeight="1">
      <c r="A342" s="45"/>
      <c r="B342" s="45"/>
      <c r="C342" s="45"/>
      <c r="D342" s="45"/>
      <c r="E342" s="45"/>
      <c r="F342" s="45"/>
    </row>
    <row r="343" ht="15.75" customHeight="1">
      <c r="A343" s="45"/>
      <c r="B343" s="45"/>
      <c r="C343" s="45"/>
      <c r="D343" s="45"/>
      <c r="E343" s="45"/>
      <c r="F343" s="45"/>
    </row>
    <row r="344" ht="15.75" customHeight="1">
      <c r="A344" s="45"/>
      <c r="B344" s="45"/>
      <c r="C344" s="45"/>
      <c r="D344" s="45"/>
      <c r="E344" s="45"/>
      <c r="F344" s="45"/>
    </row>
    <row r="345" ht="15.75" customHeight="1">
      <c r="A345" s="45"/>
      <c r="B345" s="45"/>
      <c r="C345" s="45"/>
      <c r="D345" s="45"/>
      <c r="E345" s="45"/>
      <c r="F345" s="45"/>
    </row>
    <row r="346" ht="15.75" customHeight="1">
      <c r="A346" s="45"/>
      <c r="B346" s="45"/>
      <c r="C346" s="45"/>
      <c r="D346" s="45"/>
      <c r="E346" s="45"/>
      <c r="F346" s="45"/>
    </row>
    <row r="347" ht="15.75" customHeight="1">
      <c r="A347" s="45"/>
      <c r="B347" s="45"/>
      <c r="C347" s="45"/>
      <c r="D347" s="45"/>
      <c r="E347" s="45"/>
      <c r="F347" s="45"/>
    </row>
    <row r="348" ht="15.75" customHeight="1">
      <c r="A348" s="45"/>
      <c r="B348" s="45"/>
      <c r="C348" s="45"/>
      <c r="D348" s="45"/>
      <c r="E348" s="45"/>
      <c r="F348" s="45"/>
    </row>
    <row r="349" ht="15.75" customHeight="1">
      <c r="A349" s="45"/>
      <c r="B349" s="45"/>
      <c r="C349" s="45"/>
      <c r="D349" s="45"/>
      <c r="E349" s="45"/>
      <c r="F349" s="45"/>
    </row>
    <row r="350" ht="15.75" customHeight="1">
      <c r="A350" s="45"/>
      <c r="B350" s="45"/>
      <c r="C350" s="45"/>
      <c r="D350" s="45"/>
      <c r="E350" s="45"/>
      <c r="F350" s="45"/>
    </row>
    <row r="351" ht="15.75" customHeight="1">
      <c r="A351" s="45"/>
      <c r="B351" s="45"/>
      <c r="C351" s="45"/>
      <c r="D351" s="45"/>
      <c r="E351" s="45"/>
      <c r="F351" s="45"/>
    </row>
    <row r="352" ht="15.75" customHeight="1">
      <c r="A352" s="45"/>
      <c r="B352" s="45"/>
      <c r="C352" s="45"/>
      <c r="D352" s="45"/>
      <c r="E352" s="45"/>
      <c r="F352" s="45"/>
    </row>
    <row r="353" ht="15.75" customHeight="1">
      <c r="A353" s="45"/>
      <c r="B353" s="45"/>
      <c r="C353" s="45"/>
      <c r="D353" s="45"/>
      <c r="E353" s="45"/>
      <c r="F353" s="45"/>
    </row>
    <row r="354" ht="15.75" customHeight="1">
      <c r="A354" s="45"/>
      <c r="B354" s="45"/>
      <c r="C354" s="45"/>
      <c r="D354" s="45"/>
      <c r="E354" s="45"/>
      <c r="F354" s="45"/>
    </row>
    <row r="355" ht="15.75" customHeight="1">
      <c r="A355" s="45"/>
      <c r="B355" s="45"/>
      <c r="C355" s="45"/>
      <c r="D355" s="45"/>
      <c r="E355" s="45"/>
      <c r="F355" s="45"/>
    </row>
    <row r="356" ht="15.75" customHeight="1">
      <c r="A356" s="45"/>
      <c r="B356" s="45"/>
      <c r="C356" s="45"/>
      <c r="D356" s="45"/>
      <c r="E356" s="45"/>
      <c r="F356" s="45"/>
    </row>
    <row r="357" ht="15.75" customHeight="1">
      <c r="A357" s="45"/>
      <c r="B357" s="45"/>
      <c r="C357" s="45"/>
      <c r="D357" s="45"/>
      <c r="E357" s="45"/>
      <c r="F357" s="45"/>
    </row>
    <row r="358" ht="15.75" customHeight="1">
      <c r="A358" s="45"/>
      <c r="B358" s="45"/>
      <c r="C358" s="45"/>
      <c r="D358" s="45"/>
      <c r="E358" s="45"/>
      <c r="F358" s="45"/>
    </row>
    <row r="359" ht="15.75" customHeight="1">
      <c r="A359" s="45"/>
      <c r="B359" s="45"/>
      <c r="C359" s="45"/>
      <c r="D359" s="45"/>
      <c r="E359" s="45"/>
      <c r="F359" s="45"/>
    </row>
    <row r="360" ht="15.75" customHeight="1">
      <c r="A360" s="45"/>
      <c r="B360" s="45"/>
      <c r="C360" s="45"/>
      <c r="D360" s="45"/>
      <c r="E360" s="45"/>
      <c r="F360" s="45"/>
    </row>
    <row r="361" ht="15.75" customHeight="1">
      <c r="A361" s="45"/>
      <c r="B361" s="45"/>
      <c r="C361" s="45"/>
      <c r="D361" s="45"/>
      <c r="E361" s="45"/>
      <c r="F361" s="45"/>
    </row>
    <row r="362" ht="15.75" customHeight="1">
      <c r="A362" s="45"/>
      <c r="B362" s="45"/>
      <c r="C362" s="45"/>
      <c r="D362" s="45"/>
      <c r="E362" s="45"/>
      <c r="F362" s="45"/>
    </row>
    <row r="363" ht="15.75" customHeight="1">
      <c r="A363" s="45"/>
      <c r="B363" s="45"/>
      <c r="C363" s="45"/>
      <c r="D363" s="45"/>
      <c r="E363" s="45"/>
      <c r="F363" s="45"/>
    </row>
    <row r="364" ht="15.75" customHeight="1">
      <c r="A364" s="45"/>
      <c r="B364" s="45"/>
      <c r="C364" s="45"/>
      <c r="D364" s="45"/>
      <c r="E364" s="45"/>
      <c r="F364" s="45"/>
    </row>
    <row r="365" ht="15.75" customHeight="1">
      <c r="A365" s="45"/>
      <c r="B365" s="45"/>
      <c r="C365" s="45"/>
      <c r="D365" s="45"/>
      <c r="E365" s="45"/>
      <c r="F365" s="45"/>
    </row>
    <row r="366" ht="15.75" customHeight="1">
      <c r="A366" s="45"/>
      <c r="B366" s="45"/>
      <c r="C366" s="45"/>
      <c r="D366" s="45"/>
      <c r="E366" s="45"/>
      <c r="F366" s="45"/>
    </row>
    <row r="367" ht="15.75" customHeight="1">
      <c r="A367" s="45"/>
      <c r="B367" s="45"/>
      <c r="C367" s="45"/>
      <c r="D367" s="45"/>
      <c r="E367" s="45"/>
      <c r="F367" s="45"/>
    </row>
    <row r="368" ht="15.75" customHeight="1">
      <c r="A368" s="45"/>
      <c r="B368" s="45"/>
      <c r="C368" s="45"/>
      <c r="D368" s="45"/>
      <c r="E368" s="45"/>
      <c r="F368" s="45"/>
    </row>
    <row r="369" ht="15.75" customHeight="1">
      <c r="A369" s="45"/>
      <c r="B369" s="45"/>
      <c r="C369" s="45"/>
      <c r="D369" s="45"/>
      <c r="E369" s="45"/>
      <c r="F369" s="45"/>
    </row>
    <row r="370" ht="15.75" customHeight="1">
      <c r="A370" s="45"/>
      <c r="B370" s="45"/>
      <c r="C370" s="45"/>
      <c r="D370" s="45"/>
      <c r="E370" s="45"/>
      <c r="F370" s="45"/>
    </row>
    <row r="371" ht="15.75" customHeight="1">
      <c r="A371" s="45"/>
      <c r="B371" s="45"/>
      <c r="C371" s="45"/>
      <c r="D371" s="45"/>
      <c r="E371" s="45"/>
      <c r="F371" s="45"/>
    </row>
    <row r="372" ht="15.75" customHeight="1">
      <c r="A372" s="45"/>
      <c r="B372" s="45"/>
      <c r="C372" s="45"/>
      <c r="D372" s="45"/>
      <c r="E372" s="45"/>
      <c r="F372" s="45"/>
    </row>
    <row r="373" ht="15.75" customHeight="1">
      <c r="A373" s="45"/>
      <c r="B373" s="45"/>
      <c r="C373" s="45"/>
      <c r="D373" s="45"/>
      <c r="E373" s="45"/>
      <c r="F373" s="45"/>
    </row>
    <row r="374" ht="15.75" customHeight="1">
      <c r="A374" s="45"/>
      <c r="B374" s="45"/>
      <c r="C374" s="45"/>
      <c r="D374" s="45"/>
      <c r="E374" s="45"/>
      <c r="F374" s="45"/>
    </row>
    <row r="375" ht="15.75" customHeight="1">
      <c r="A375" s="45"/>
      <c r="B375" s="45"/>
      <c r="C375" s="45"/>
      <c r="D375" s="45"/>
      <c r="E375" s="45"/>
      <c r="F375" s="45"/>
    </row>
    <row r="376" ht="15.75" customHeight="1">
      <c r="A376" s="45"/>
      <c r="B376" s="45"/>
      <c r="C376" s="45"/>
      <c r="D376" s="45"/>
      <c r="E376" s="45"/>
      <c r="F376" s="45"/>
    </row>
    <row r="377" ht="15.75" customHeight="1">
      <c r="A377" s="45"/>
      <c r="B377" s="45"/>
      <c r="C377" s="45"/>
      <c r="D377" s="45"/>
      <c r="E377" s="45"/>
      <c r="F377" s="45"/>
    </row>
    <row r="378" ht="15.75" customHeight="1">
      <c r="A378" s="45"/>
      <c r="B378" s="45"/>
      <c r="C378" s="45"/>
      <c r="D378" s="45"/>
      <c r="E378" s="45"/>
      <c r="F378" s="45"/>
    </row>
    <row r="379" ht="15.75" customHeight="1">
      <c r="A379" s="45"/>
      <c r="B379" s="45"/>
      <c r="C379" s="45"/>
      <c r="D379" s="45"/>
      <c r="E379" s="45"/>
      <c r="F379" s="45"/>
    </row>
    <row r="380" ht="15.75" customHeight="1">
      <c r="A380" s="45"/>
      <c r="B380" s="45"/>
      <c r="C380" s="45"/>
      <c r="D380" s="45"/>
      <c r="E380" s="45"/>
      <c r="F380" s="45"/>
    </row>
    <row r="381" ht="15.75" customHeight="1">
      <c r="A381" s="45"/>
      <c r="B381" s="45"/>
      <c r="C381" s="45"/>
      <c r="D381" s="45"/>
      <c r="E381" s="45"/>
      <c r="F381" s="45"/>
    </row>
    <row r="382" ht="15.75" customHeight="1">
      <c r="A382" s="45"/>
      <c r="B382" s="45"/>
      <c r="C382" s="45"/>
      <c r="D382" s="45"/>
      <c r="E382" s="45"/>
      <c r="F382" s="45"/>
    </row>
    <row r="383" ht="15.75" customHeight="1">
      <c r="A383" s="45"/>
      <c r="B383" s="45"/>
      <c r="C383" s="45"/>
      <c r="D383" s="45"/>
      <c r="E383" s="45"/>
      <c r="F383" s="45"/>
    </row>
    <row r="384" ht="15.75" customHeight="1">
      <c r="A384" s="45"/>
      <c r="B384" s="45"/>
      <c r="C384" s="45"/>
      <c r="D384" s="45"/>
      <c r="E384" s="45"/>
      <c r="F384" s="45"/>
    </row>
    <row r="385" ht="15.75" customHeight="1">
      <c r="A385" s="45"/>
      <c r="B385" s="45"/>
      <c r="C385" s="45"/>
      <c r="D385" s="45"/>
      <c r="E385" s="45"/>
      <c r="F385" s="45"/>
    </row>
    <row r="386" ht="15.75" customHeight="1">
      <c r="A386" s="45"/>
      <c r="B386" s="45"/>
      <c r="C386" s="45"/>
      <c r="D386" s="45"/>
      <c r="E386" s="45"/>
      <c r="F386" s="45"/>
    </row>
    <row r="387" ht="15.75" customHeight="1">
      <c r="A387" s="45"/>
      <c r="B387" s="45"/>
      <c r="C387" s="45"/>
      <c r="D387" s="45"/>
      <c r="E387" s="45"/>
      <c r="F387" s="45"/>
    </row>
    <row r="388" ht="15.75" customHeight="1">
      <c r="A388" s="45"/>
      <c r="B388" s="45"/>
      <c r="C388" s="45"/>
      <c r="D388" s="45"/>
      <c r="E388" s="45"/>
      <c r="F388" s="45"/>
    </row>
    <row r="389" ht="15.75" customHeight="1">
      <c r="A389" s="45"/>
      <c r="B389" s="45"/>
      <c r="C389" s="45"/>
      <c r="D389" s="45"/>
      <c r="E389" s="45"/>
      <c r="F389" s="45"/>
    </row>
    <row r="390" ht="15.75" customHeight="1">
      <c r="A390" s="45"/>
      <c r="B390" s="45"/>
      <c r="C390" s="45"/>
      <c r="D390" s="45"/>
      <c r="E390" s="45"/>
      <c r="F390" s="45"/>
    </row>
    <row r="391" ht="15.75" customHeight="1">
      <c r="A391" s="45"/>
      <c r="B391" s="45"/>
      <c r="C391" s="45"/>
      <c r="D391" s="45"/>
      <c r="E391" s="45"/>
      <c r="F391" s="45"/>
    </row>
    <row r="392" ht="15.75" customHeight="1">
      <c r="A392" s="45"/>
      <c r="B392" s="45"/>
      <c r="C392" s="45"/>
      <c r="D392" s="45"/>
      <c r="E392" s="45"/>
      <c r="F392" s="45"/>
    </row>
    <row r="393" ht="15.75" customHeight="1">
      <c r="A393" s="45"/>
      <c r="B393" s="45"/>
      <c r="C393" s="45"/>
      <c r="D393" s="45"/>
      <c r="E393" s="45"/>
      <c r="F393" s="45"/>
    </row>
    <row r="394" ht="15.75" customHeight="1">
      <c r="A394" s="45"/>
      <c r="B394" s="45"/>
      <c r="C394" s="45"/>
      <c r="D394" s="45"/>
      <c r="E394" s="45"/>
      <c r="F394" s="45"/>
    </row>
    <row r="395" ht="15.75" customHeight="1">
      <c r="A395" s="45"/>
      <c r="B395" s="45"/>
      <c r="C395" s="45"/>
      <c r="D395" s="45"/>
      <c r="E395" s="45"/>
      <c r="F395" s="45"/>
    </row>
    <row r="396" ht="15.75" customHeight="1">
      <c r="A396" s="45"/>
      <c r="B396" s="45"/>
      <c r="C396" s="45"/>
      <c r="D396" s="45"/>
      <c r="E396" s="45"/>
      <c r="F396" s="45"/>
    </row>
    <row r="397" ht="15.75" customHeight="1">
      <c r="A397" s="45"/>
      <c r="B397" s="45"/>
      <c r="C397" s="45"/>
      <c r="D397" s="45"/>
      <c r="E397" s="45"/>
      <c r="F397" s="45"/>
    </row>
    <row r="398" ht="15.75" customHeight="1">
      <c r="A398" s="45"/>
      <c r="B398" s="45"/>
      <c r="C398" s="45"/>
      <c r="D398" s="45"/>
      <c r="E398" s="45"/>
      <c r="F398" s="45"/>
    </row>
    <row r="399" ht="15.75" customHeight="1">
      <c r="A399" s="45"/>
      <c r="B399" s="45"/>
      <c r="C399" s="45"/>
      <c r="D399" s="45"/>
      <c r="E399" s="45"/>
      <c r="F399" s="45"/>
    </row>
    <row r="400" ht="15.75" customHeight="1">
      <c r="A400" s="45"/>
      <c r="B400" s="45"/>
      <c r="C400" s="45"/>
      <c r="D400" s="45"/>
      <c r="E400" s="45"/>
      <c r="F400" s="45"/>
    </row>
    <row r="401" ht="15.75" customHeight="1">
      <c r="A401" s="45"/>
      <c r="B401" s="45"/>
      <c r="C401" s="45"/>
      <c r="D401" s="45"/>
      <c r="E401" s="45"/>
      <c r="F401" s="45"/>
    </row>
    <row r="402" ht="15.75" customHeight="1">
      <c r="A402" s="45"/>
      <c r="B402" s="45"/>
      <c r="C402" s="45"/>
      <c r="D402" s="45"/>
      <c r="E402" s="45"/>
      <c r="F402" s="45"/>
    </row>
    <row r="403" ht="15.75" customHeight="1">
      <c r="A403" s="45"/>
      <c r="B403" s="45"/>
      <c r="C403" s="45"/>
      <c r="D403" s="45"/>
      <c r="E403" s="45"/>
      <c r="F403" s="45"/>
    </row>
    <row r="404" ht="15.75" customHeight="1">
      <c r="A404" s="45"/>
      <c r="B404" s="45"/>
      <c r="C404" s="45"/>
      <c r="D404" s="45"/>
      <c r="E404" s="45"/>
      <c r="F404" s="45"/>
    </row>
    <row r="405" ht="15.75" customHeight="1">
      <c r="A405" s="45"/>
      <c r="B405" s="45"/>
      <c r="C405" s="45"/>
      <c r="D405" s="45"/>
      <c r="E405" s="45"/>
      <c r="F405" s="45"/>
    </row>
    <row r="406" ht="15.75" customHeight="1">
      <c r="A406" s="45"/>
      <c r="B406" s="45"/>
      <c r="C406" s="45"/>
      <c r="D406" s="45"/>
      <c r="E406" s="45"/>
      <c r="F406" s="45"/>
    </row>
    <row r="407" ht="15.75" customHeight="1">
      <c r="A407" s="45"/>
      <c r="B407" s="45"/>
      <c r="C407" s="45"/>
      <c r="D407" s="45"/>
      <c r="E407" s="45"/>
      <c r="F407" s="45"/>
    </row>
    <row r="408" ht="15.75" customHeight="1">
      <c r="A408" s="45"/>
      <c r="B408" s="45"/>
      <c r="C408" s="45"/>
      <c r="D408" s="45"/>
      <c r="E408" s="45"/>
      <c r="F408" s="45"/>
    </row>
    <row r="409" ht="15.75" customHeight="1">
      <c r="A409" s="45"/>
      <c r="B409" s="45"/>
      <c r="C409" s="45"/>
      <c r="D409" s="45"/>
      <c r="E409" s="45"/>
      <c r="F409" s="45"/>
    </row>
    <row r="410" ht="15.75" customHeight="1">
      <c r="A410" s="45"/>
      <c r="B410" s="45"/>
      <c r="C410" s="45"/>
      <c r="D410" s="45"/>
      <c r="E410" s="45"/>
      <c r="F410" s="45"/>
    </row>
    <row r="411" ht="15.75" customHeight="1">
      <c r="A411" s="45"/>
      <c r="B411" s="45"/>
      <c r="C411" s="45"/>
      <c r="D411" s="45"/>
      <c r="E411" s="45"/>
      <c r="F411" s="45"/>
    </row>
    <row r="412" ht="15.75" customHeight="1">
      <c r="A412" s="45"/>
      <c r="B412" s="45"/>
      <c r="C412" s="45"/>
      <c r="D412" s="45"/>
      <c r="E412" s="45"/>
      <c r="F412" s="45"/>
    </row>
    <row r="413" ht="15.75" customHeight="1">
      <c r="A413" s="45"/>
      <c r="B413" s="45"/>
      <c r="C413" s="45"/>
      <c r="D413" s="45"/>
      <c r="E413" s="45"/>
      <c r="F413" s="45"/>
    </row>
    <row r="414" ht="15.75" customHeight="1">
      <c r="A414" s="45"/>
      <c r="B414" s="45"/>
      <c r="C414" s="45"/>
      <c r="D414" s="45"/>
      <c r="E414" s="45"/>
      <c r="F414" s="45"/>
    </row>
    <row r="415" ht="15.75" customHeight="1">
      <c r="A415" s="45"/>
      <c r="B415" s="45"/>
      <c r="C415" s="45"/>
      <c r="D415" s="45"/>
      <c r="E415" s="45"/>
      <c r="F415" s="45"/>
    </row>
    <row r="416" ht="15.75" customHeight="1">
      <c r="A416" s="45"/>
      <c r="B416" s="45"/>
      <c r="C416" s="45"/>
      <c r="D416" s="45"/>
      <c r="E416" s="45"/>
      <c r="F416" s="45"/>
    </row>
    <row r="417" ht="15.75" customHeight="1">
      <c r="A417" s="45"/>
      <c r="B417" s="45"/>
      <c r="C417" s="45"/>
      <c r="D417" s="45"/>
      <c r="E417" s="45"/>
      <c r="F417" s="45"/>
    </row>
    <row r="418" ht="15.75" customHeight="1">
      <c r="A418" s="45"/>
      <c r="B418" s="45"/>
      <c r="C418" s="45"/>
      <c r="D418" s="45"/>
      <c r="E418" s="45"/>
      <c r="F418" s="45"/>
    </row>
    <row r="419" ht="15.75" customHeight="1">
      <c r="A419" s="45"/>
      <c r="B419" s="45"/>
      <c r="C419" s="45"/>
      <c r="D419" s="45"/>
      <c r="E419" s="45"/>
      <c r="F419" s="45"/>
    </row>
    <row r="420" ht="15.75" customHeight="1">
      <c r="A420" s="45"/>
      <c r="B420" s="45"/>
      <c r="C420" s="45"/>
      <c r="D420" s="45"/>
      <c r="E420" s="45"/>
      <c r="F420" s="45"/>
    </row>
    <row r="421" ht="15.75" customHeight="1">
      <c r="A421" s="45"/>
      <c r="B421" s="45"/>
      <c r="C421" s="45"/>
      <c r="D421" s="45"/>
      <c r="E421" s="45"/>
      <c r="F421" s="45"/>
    </row>
    <row r="422" ht="15.75" customHeight="1">
      <c r="A422" s="45"/>
      <c r="B422" s="45"/>
      <c r="C422" s="45"/>
      <c r="D422" s="45"/>
      <c r="E422" s="45"/>
      <c r="F422" s="45"/>
    </row>
    <row r="423" ht="15.75" customHeight="1">
      <c r="A423" s="45"/>
      <c r="B423" s="45"/>
      <c r="C423" s="45"/>
      <c r="D423" s="45"/>
      <c r="E423" s="45"/>
      <c r="F423" s="45"/>
    </row>
    <row r="424" ht="15.75" customHeight="1">
      <c r="A424" s="45"/>
      <c r="B424" s="45"/>
      <c r="C424" s="45"/>
      <c r="D424" s="45"/>
      <c r="E424" s="45"/>
      <c r="F424" s="45"/>
    </row>
    <row r="425" ht="15.75" customHeight="1">
      <c r="A425" s="45"/>
      <c r="B425" s="45"/>
      <c r="C425" s="45"/>
      <c r="D425" s="45"/>
      <c r="E425" s="45"/>
      <c r="F425" s="45"/>
    </row>
    <row r="426" ht="15.75" customHeight="1">
      <c r="A426" s="45"/>
      <c r="B426" s="45"/>
      <c r="C426" s="45"/>
      <c r="D426" s="45"/>
      <c r="E426" s="45"/>
      <c r="F426" s="45"/>
    </row>
    <row r="427" ht="15.75" customHeight="1">
      <c r="A427" s="45"/>
      <c r="B427" s="45"/>
      <c r="C427" s="45"/>
      <c r="D427" s="45"/>
      <c r="E427" s="45"/>
      <c r="F427" s="45"/>
    </row>
    <row r="428" ht="15.75" customHeight="1">
      <c r="A428" s="45"/>
      <c r="B428" s="45"/>
      <c r="C428" s="45"/>
      <c r="D428" s="45"/>
      <c r="E428" s="45"/>
      <c r="F428" s="45"/>
    </row>
    <row r="429" ht="15.75" customHeight="1">
      <c r="A429" s="45"/>
      <c r="B429" s="45"/>
      <c r="C429" s="45"/>
      <c r="D429" s="45"/>
      <c r="E429" s="45"/>
      <c r="F429" s="45"/>
    </row>
    <row r="430" ht="15.75" customHeight="1">
      <c r="A430" s="45"/>
      <c r="B430" s="45"/>
      <c r="C430" s="45"/>
      <c r="D430" s="45"/>
      <c r="E430" s="45"/>
      <c r="F430" s="45"/>
    </row>
    <row r="431" ht="15.75" customHeight="1">
      <c r="A431" s="45"/>
      <c r="B431" s="45"/>
      <c r="C431" s="45"/>
      <c r="D431" s="45"/>
      <c r="E431" s="45"/>
      <c r="F431" s="45"/>
    </row>
    <row r="432" ht="15.75" customHeight="1">
      <c r="A432" s="45"/>
      <c r="B432" s="45"/>
      <c r="C432" s="45"/>
      <c r="D432" s="45"/>
      <c r="E432" s="45"/>
      <c r="F432" s="45"/>
    </row>
    <row r="433" ht="15.75" customHeight="1">
      <c r="A433" s="45"/>
      <c r="B433" s="45"/>
      <c r="C433" s="45"/>
      <c r="D433" s="45"/>
      <c r="E433" s="45"/>
      <c r="F433" s="45"/>
    </row>
    <row r="434" ht="15.75" customHeight="1">
      <c r="A434" s="45"/>
      <c r="B434" s="45"/>
      <c r="C434" s="45"/>
      <c r="D434" s="45"/>
      <c r="E434" s="45"/>
      <c r="F434" s="45"/>
    </row>
    <row r="435" ht="15.75" customHeight="1">
      <c r="A435" s="45"/>
      <c r="B435" s="45"/>
      <c r="C435" s="45"/>
      <c r="D435" s="45"/>
      <c r="E435" s="45"/>
      <c r="F435" s="45"/>
    </row>
    <row r="436" ht="15.75" customHeight="1">
      <c r="A436" s="45"/>
      <c r="B436" s="45"/>
      <c r="C436" s="45"/>
      <c r="D436" s="45"/>
      <c r="E436" s="45"/>
      <c r="F436" s="45"/>
    </row>
    <row r="437" ht="15.75" customHeight="1">
      <c r="A437" s="45"/>
      <c r="B437" s="45"/>
      <c r="C437" s="45"/>
      <c r="D437" s="45"/>
      <c r="E437" s="45"/>
      <c r="F437" s="45"/>
    </row>
    <row r="438" ht="15.75" customHeight="1">
      <c r="A438" s="45"/>
      <c r="B438" s="45"/>
      <c r="C438" s="45"/>
      <c r="D438" s="45"/>
      <c r="E438" s="45"/>
      <c r="F438" s="45"/>
    </row>
    <row r="439" ht="15.75" customHeight="1">
      <c r="A439" s="45"/>
      <c r="B439" s="45"/>
      <c r="C439" s="45"/>
      <c r="D439" s="45"/>
      <c r="E439" s="45"/>
      <c r="F439" s="45"/>
    </row>
    <row r="440" ht="15.75" customHeight="1">
      <c r="A440" s="45"/>
      <c r="B440" s="45"/>
      <c r="C440" s="45"/>
      <c r="D440" s="45"/>
      <c r="E440" s="45"/>
      <c r="F440" s="45"/>
    </row>
    <row r="441" ht="15.75" customHeight="1">
      <c r="A441" s="45"/>
      <c r="B441" s="45"/>
      <c r="C441" s="45"/>
      <c r="D441" s="45"/>
      <c r="E441" s="45"/>
      <c r="F441" s="45"/>
    </row>
    <row r="442" ht="15.75" customHeight="1">
      <c r="A442" s="45"/>
      <c r="B442" s="45"/>
      <c r="C442" s="45"/>
      <c r="D442" s="45"/>
      <c r="E442" s="45"/>
      <c r="F442" s="45"/>
    </row>
    <row r="443" ht="15.75" customHeight="1">
      <c r="A443" s="45"/>
      <c r="B443" s="45"/>
      <c r="C443" s="45"/>
      <c r="D443" s="45"/>
      <c r="E443" s="45"/>
      <c r="F443" s="45"/>
    </row>
    <row r="444" ht="15.75" customHeight="1">
      <c r="A444" s="45"/>
      <c r="B444" s="45"/>
      <c r="C444" s="45"/>
      <c r="D444" s="45"/>
      <c r="E444" s="45"/>
      <c r="F444" s="45"/>
    </row>
    <row r="445" ht="15.75" customHeight="1">
      <c r="A445" s="45"/>
      <c r="B445" s="45"/>
      <c r="C445" s="45"/>
      <c r="D445" s="45"/>
      <c r="E445" s="45"/>
      <c r="F445" s="45"/>
    </row>
    <row r="446" ht="15.75" customHeight="1">
      <c r="A446" s="45"/>
      <c r="B446" s="45"/>
      <c r="C446" s="45"/>
      <c r="D446" s="45"/>
      <c r="E446" s="45"/>
      <c r="F446" s="45"/>
    </row>
    <row r="447" ht="15.75" customHeight="1">
      <c r="A447" s="45"/>
      <c r="B447" s="45"/>
      <c r="C447" s="45"/>
      <c r="D447" s="45"/>
      <c r="E447" s="45"/>
      <c r="F447" s="45"/>
    </row>
    <row r="448" ht="15.75" customHeight="1">
      <c r="A448" s="45"/>
      <c r="B448" s="45"/>
      <c r="C448" s="45"/>
      <c r="D448" s="45"/>
      <c r="E448" s="45"/>
      <c r="F448" s="45"/>
    </row>
    <row r="449" ht="15.75" customHeight="1">
      <c r="A449" s="45"/>
      <c r="B449" s="45"/>
      <c r="C449" s="45"/>
      <c r="D449" s="45"/>
      <c r="E449" s="45"/>
      <c r="F449" s="45"/>
    </row>
    <row r="450" ht="15.75" customHeight="1">
      <c r="A450" s="45"/>
      <c r="B450" s="45"/>
      <c r="C450" s="45"/>
      <c r="D450" s="45"/>
      <c r="E450" s="45"/>
      <c r="F450" s="45"/>
    </row>
    <row r="451" ht="15.75" customHeight="1">
      <c r="A451" s="45"/>
      <c r="B451" s="45"/>
      <c r="C451" s="45"/>
      <c r="D451" s="45"/>
      <c r="E451" s="45"/>
      <c r="F451" s="45"/>
    </row>
    <row r="452" ht="15.75" customHeight="1">
      <c r="A452" s="45"/>
      <c r="B452" s="45"/>
      <c r="C452" s="45"/>
      <c r="D452" s="45"/>
      <c r="E452" s="45"/>
      <c r="F452" s="45"/>
    </row>
    <row r="453" ht="15.75" customHeight="1">
      <c r="A453" s="45"/>
      <c r="B453" s="45"/>
      <c r="C453" s="45"/>
      <c r="D453" s="45"/>
      <c r="E453" s="45"/>
      <c r="F453" s="45"/>
    </row>
    <row r="454" ht="15.75" customHeight="1">
      <c r="A454" s="45"/>
      <c r="B454" s="45"/>
      <c r="C454" s="45"/>
      <c r="D454" s="45"/>
      <c r="E454" s="45"/>
      <c r="F454" s="45"/>
    </row>
    <row r="455" ht="15.75" customHeight="1">
      <c r="A455" s="45"/>
      <c r="B455" s="45"/>
      <c r="C455" s="45"/>
      <c r="D455" s="45"/>
      <c r="E455" s="45"/>
      <c r="F455" s="45"/>
    </row>
    <row r="456" ht="15.75" customHeight="1">
      <c r="A456" s="45"/>
      <c r="B456" s="45"/>
      <c r="C456" s="45"/>
      <c r="D456" s="45"/>
      <c r="E456" s="45"/>
      <c r="F456" s="45"/>
    </row>
    <row r="457" ht="15.75" customHeight="1">
      <c r="A457" s="45"/>
      <c r="B457" s="45"/>
      <c r="C457" s="45"/>
      <c r="D457" s="45"/>
      <c r="E457" s="45"/>
      <c r="F457" s="45"/>
    </row>
    <row r="458" ht="15.75" customHeight="1">
      <c r="A458" s="45"/>
      <c r="B458" s="45"/>
      <c r="C458" s="45"/>
      <c r="D458" s="45"/>
      <c r="E458" s="45"/>
      <c r="F458" s="45"/>
    </row>
    <row r="459" ht="15.75" customHeight="1">
      <c r="A459" s="45"/>
      <c r="B459" s="45"/>
      <c r="C459" s="45"/>
      <c r="D459" s="45"/>
      <c r="E459" s="45"/>
      <c r="F459" s="45"/>
    </row>
    <row r="460" ht="15.75" customHeight="1">
      <c r="A460" s="45"/>
      <c r="B460" s="45"/>
      <c r="C460" s="45"/>
      <c r="D460" s="45"/>
      <c r="E460" s="45"/>
      <c r="F460" s="45"/>
    </row>
    <row r="461" ht="15.75" customHeight="1">
      <c r="A461" s="45"/>
      <c r="B461" s="45"/>
      <c r="C461" s="45"/>
      <c r="D461" s="45"/>
      <c r="E461" s="45"/>
      <c r="F461" s="45"/>
    </row>
    <row r="462" ht="15.75" customHeight="1">
      <c r="A462" s="45"/>
      <c r="B462" s="45"/>
      <c r="C462" s="45"/>
      <c r="D462" s="45"/>
      <c r="E462" s="45"/>
      <c r="F462" s="45"/>
    </row>
    <row r="463" ht="15.75" customHeight="1">
      <c r="A463" s="45"/>
      <c r="B463" s="45"/>
      <c r="C463" s="45"/>
      <c r="D463" s="45"/>
      <c r="E463" s="45"/>
      <c r="F463" s="45"/>
    </row>
    <row r="464" ht="15.75" customHeight="1">
      <c r="A464" s="45"/>
      <c r="B464" s="45"/>
      <c r="C464" s="45"/>
      <c r="D464" s="45"/>
      <c r="E464" s="45"/>
      <c r="F464" s="45"/>
    </row>
    <row r="465" ht="15.75" customHeight="1">
      <c r="A465" s="45"/>
      <c r="B465" s="45"/>
      <c r="C465" s="45"/>
      <c r="D465" s="45"/>
      <c r="E465" s="45"/>
      <c r="F465" s="45"/>
    </row>
    <row r="466" ht="15.75" customHeight="1">
      <c r="A466" s="45"/>
      <c r="B466" s="45"/>
      <c r="C466" s="45"/>
      <c r="D466" s="45"/>
      <c r="E466" s="45"/>
      <c r="F466" s="45"/>
    </row>
    <row r="467" ht="15.75" customHeight="1">
      <c r="A467" s="45"/>
      <c r="B467" s="45"/>
      <c r="C467" s="45"/>
      <c r="D467" s="45"/>
      <c r="E467" s="45"/>
      <c r="F467" s="45"/>
    </row>
    <row r="468" ht="15.75" customHeight="1">
      <c r="A468" s="45"/>
      <c r="B468" s="45"/>
      <c r="C468" s="45"/>
      <c r="D468" s="45"/>
      <c r="E468" s="45"/>
      <c r="F468" s="45"/>
    </row>
    <row r="469" ht="15.75" customHeight="1">
      <c r="A469" s="45"/>
      <c r="B469" s="45"/>
      <c r="C469" s="45"/>
      <c r="D469" s="45"/>
      <c r="E469" s="45"/>
      <c r="F469" s="45"/>
    </row>
    <row r="470" ht="15.75" customHeight="1">
      <c r="A470" s="45"/>
      <c r="B470" s="45"/>
      <c r="C470" s="45"/>
      <c r="D470" s="45"/>
      <c r="E470" s="45"/>
      <c r="F470" s="45"/>
    </row>
    <row r="471" ht="15.75" customHeight="1">
      <c r="A471" s="45"/>
      <c r="B471" s="45"/>
      <c r="C471" s="45"/>
      <c r="D471" s="45"/>
      <c r="E471" s="45"/>
      <c r="F471" s="45"/>
    </row>
    <row r="472" ht="15.75" customHeight="1">
      <c r="A472" s="45"/>
      <c r="B472" s="45"/>
      <c r="C472" s="45"/>
      <c r="D472" s="45"/>
      <c r="E472" s="45"/>
      <c r="F472" s="45"/>
    </row>
    <row r="473" ht="15.75" customHeight="1">
      <c r="A473" s="45"/>
      <c r="B473" s="45"/>
      <c r="C473" s="45"/>
      <c r="D473" s="45"/>
      <c r="E473" s="45"/>
      <c r="F473" s="45"/>
    </row>
    <row r="474" ht="15.75" customHeight="1">
      <c r="A474" s="45"/>
      <c r="B474" s="45"/>
      <c r="C474" s="45"/>
      <c r="D474" s="45"/>
      <c r="E474" s="45"/>
      <c r="F474" s="45"/>
    </row>
    <row r="475" ht="15.75" customHeight="1">
      <c r="A475" s="45"/>
      <c r="B475" s="45"/>
      <c r="C475" s="45"/>
      <c r="D475" s="45"/>
      <c r="E475" s="45"/>
      <c r="F475" s="45"/>
    </row>
    <row r="476" ht="15.75" customHeight="1">
      <c r="A476" s="45"/>
      <c r="B476" s="45"/>
      <c r="C476" s="45"/>
      <c r="D476" s="45"/>
      <c r="E476" s="45"/>
      <c r="F476" s="45"/>
    </row>
    <row r="477" ht="15.75" customHeight="1">
      <c r="A477" s="45"/>
      <c r="B477" s="45"/>
      <c r="C477" s="45"/>
      <c r="D477" s="45"/>
      <c r="E477" s="45"/>
      <c r="F477" s="45"/>
    </row>
    <row r="478" ht="15.75" customHeight="1">
      <c r="A478" s="45"/>
      <c r="B478" s="45"/>
      <c r="C478" s="45"/>
      <c r="D478" s="45"/>
      <c r="E478" s="45"/>
      <c r="F478" s="45"/>
    </row>
    <row r="479" ht="15.75" customHeight="1">
      <c r="A479" s="45"/>
      <c r="B479" s="45"/>
      <c r="C479" s="45"/>
      <c r="D479" s="45"/>
      <c r="E479" s="45"/>
      <c r="F479" s="45"/>
    </row>
    <row r="480" ht="15.75" customHeight="1">
      <c r="A480" s="45"/>
      <c r="B480" s="45"/>
      <c r="C480" s="45"/>
      <c r="D480" s="45"/>
      <c r="E480" s="45"/>
      <c r="F480" s="45"/>
    </row>
    <row r="481" ht="15.75" customHeight="1">
      <c r="A481" s="45"/>
      <c r="B481" s="45"/>
      <c r="C481" s="45"/>
      <c r="D481" s="45"/>
      <c r="E481" s="45"/>
      <c r="F481" s="45"/>
    </row>
    <row r="482" ht="15.75" customHeight="1">
      <c r="A482" s="45"/>
      <c r="B482" s="45"/>
      <c r="C482" s="45"/>
      <c r="D482" s="45"/>
      <c r="E482" s="45"/>
      <c r="F482" s="45"/>
    </row>
    <row r="483" ht="15.75" customHeight="1">
      <c r="A483" s="45"/>
      <c r="B483" s="45"/>
      <c r="C483" s="45"/>
      <c r="D483" s="45"/>
      <c r="E483" s="45"/>
      <c r="F483" s="45"/>
    </row>
    <row r="484" ht="15.75" customHeight="1">
      <c r="A484" s="45"/>
      <c r="B484" s="45"/>
      <c r="C484" s="45"/>
      <c r="D484" s="45"/>
      <c r="E484" s="45"/>
      <c r="F484" s="45"/>
    </row>
    <row r="485" ht="15.75" customHeight="1">
      <c r="A485" s="45"/>
      <c r="B485" s="45"/>
      <c r="C485" s="45"/>
      <c r="D485" s="45"/>
      <c r="E485" s="45"/>
      <c r="F485" s="45"/>
    </row>
    <row r="486" ht="15.75" customHeight="1">
      <c r="A486" s="45"/>
      <c r="B486" s="45"/>
      <c r="C486" s="45"/>
      <c r="D486" s="45"/>
      <c r="E486" s="45"/>
      <c r="F486" s="45"/>
    </row>
    <row r="487" ht="15.75" customHeight="1">
      <c r="A487" s="45"/>
      <c r="B487" s="45"/>
      <c r="C487" s="45"/>
      <c r="D487" s="45"/>
      <c r="E487" s="45"/>
      <c r="F487" s="45"/>
    </row>
    <row r="488" ht="15.75" customHeight="1">
      <c r="A488" s="45"/>
      <c r="B488" s="45"/>
      <c r="C488" s="45"/>
      <c r="D488" s="45"/>
      <c r="E488" s="45"/>
      <c r="F488" s="45"/>
    </row>
    <row r="489" ht="15.75" customHeight="1">
      <c r="A489" s="45"/>
      <c r="B489" s="45"/>
      <c r="C489" s="45"/>
      <c r="D489" s="45"/>
      <c r="E489" s="45"/>
      <c r="F489" s="45"/>
    </row>
    <row r="490" ht="15.75" customHeight="1">
      <c r="A490" s="45"/>
      <c r="B490" s="45"/>
      <c r="C490" s="45"/>
      <c r="D490" s="45"/>
      <c r="E490" s="45"/>
      <c r="F490" s="45"/>
    </row>
    <row r="491" ht="15.75" customHeight="1">
      <c r="A491" s="45"/>
      <c r="B491" s="45"/>
      <c r="C491" s="45"/>
      <c r="D491" s="45"/>
      <c r="E491" s="45"/>
      <c r="F491" s="45"/>
    </row>
    <row r="492" ht="15.75" customHeight="1">
      <c r="A492" s="45"/>
      <c r="B492" s="45"/>
      <c r="C492" s="45"/>
      <c r="D492" s="45"/>
      <c r="E492" s="45"/>
      <c r="F492" s="45"/>
    </row>
    <row r="493" ht="15.75" customHeight="1">
      <c r="A493" s="45"/>
      <c r="B493" s="45"/>
      <c r="C493" s="45"/>
      <c r="D493" s="45"/>
      <c r="E493" s="45"/>
      <c r="F493" s="45"/>
    </row>
    <row r="494" ht="15.75" customHeight="1">
      <c r="A494" s="45"/>
      <c r="B494" s="45"/>
      <c r="C494" s="45"/>
      <c r="D494" s="45"/>
      <c r="E494" s="45"/>
      <c r="F494" s="45"/>
    </row>
    <row r="495" ht="15.75" customHeight="1">
      <c r="A495" s="45"/>
      <c r="B495" s="45"/>
      <c r="C495" s="45"/>
      <c r="D495" s="45"/>
      <c r="E495" s="45"/>
      <c r="F495" s="45"/>
    </row>
    <row r="496" ht="15.75" customHeight="1">
      <c r="A496" s="45"/>
      <c r="B496" s="45"/>
      <c r="C496" s="45"/>
      <c r="D496" s="45"/>
      <c r="E496" s="45"/>
      <c r="F496" s="45"/>
    </row>
    <row r="497" ht="15.75" customHeight="1">
      <c r="A497" s="45"/>
      <c r="B497" s="45"/>
      <c r="C497" s="45"/>
      <c r="D497" s="45"/>
      <c r="E497" s="45"/>
      <c r="F497" s="45"/>
    </row>
    <row r="498" ht="15.75" customHeight="1">
      <c r="A498" s="45"/>
      <c r="B498" s="45"/>
      <c r="C498" s="45"/>
      <c r="D498" s="45"/>
      <c r="E498" s="45"/>
      <c r="F498" s="45"/>
    </row>
    <row r="499" ht="15.75" customHeight="1">
      <c r="A499" s="45"/>
      <c r="B499" s="45"/>
      <c r="C499" s="45"/>
      <c r="D499" s="45"/>
      <c r="E499" s="45"/>
      <c r="F499" s="45"/>
    </row>
    <row r="500" ht="15.75" customHeight="1">
      <c r="A500" s="45"/>
      <c r="B500" s="45"/>
      <c r="C500" s="45"/>
      <c r="D500" s="45"/>
      <c r="E500" s="45"/>
      <c r="F500" s="45"/>
    </row>
    <row r="501" ht="15.75" customHeight="1">
      <c r="A501" s="45"/>
      <c r="B501" s="45"/>
      <c r="C501" s="45"/>
      <c r="D501" s="45"/>
      <c r="E501" s="45"/>
      <c r="F501" s="45"/>
    </row>
    <row r="502" ht="15.75" customHeight="1">
      <c r="A502" s="45"/>
      <c r="B502" s="45"/>
      <c r="C502" s="45"/>
      <c r="D502" s="45"/>
      <c r="E502" s="45"/>
      <c r="F502" s="45"/>
    </row>
    <row r="503" ht="15.75" customHeight="1">
      <c r="A503" s="45"/>
      <c r="B503" s="45"/>
      <c r="C503" s="45"/>
      <c r="D503" s="45"/>
      <c r="E503" s="45"/>
      <c r="F503" s="45"/>
    </row>
    <row r="504" ht="15.75" customHeight="1">
      <c r="A504" s="45"/>
      <c r="B504" s="45"/>
      <c r="C504" s="45"/>
      <c r="D504" s="45"/>
      <c r="E504" s="45"/>
      <c r="F504" s="45"/>
    </row>
    <row r="505" ht="15.75" customHeight="1">
      <c r="A505" s="45"/>
      <c r="B505" s="45"/>
      <c r="C505" s="45"/>
      <c r="D505" s="45"/>
      <c r="E505" s="45"/>
      <c r="F505" s="45"/>
    </row>
    <row r="506" ht="15.75" customHeight="1">
      <c r="A506" s="45"/>
      <c r="B506" s="45"/>
      <c r="C506" s="45"/>
      <c r="D506" s="45"/>
      <c r="E506" s="45"/>
      <c r="F506" s="45"/>
    </row>
    <row r="507" ht="15.75" customHeight="1">
      <c r="A507" s="45"/>
      <c r="B507" s="45"/>
      <c r="C507" s="45"/>
      <c r="D507" s="45"/>
      <c r="E507" s="45"/>
      <c r="F507" s="45"/>
    </row>
    <row r="508" ht="15.75" customHeight="1">
      <c r="A508" s="45"/>
      <c r="B508" s="45"/>
      <c r="C508" s="45"/>
      <c r="D508" s="45"/>
      <c r="E508" s="45"/>
      <c r="F508" s="45"/>
    </row>
    <row r="509" ht="15.75" customHeight="1">
      <c r="A509" s="45"/>
      <c r="B509" s="45"/>
      <c r="C509" s="45"/>
      <c r="D509" s="45"/>
      <c r="E509" s="45"/>
      <c r="F509" s="45"/>
    </row>
    <row r="510" ht="15.75" customHeight="1">
      <c r="A510" s="45"/>
      <c r="B510" s="45"/>
      <c r="C510" s="45"/>
      <c r="D510" s="45"/>
      <c r="E510" s="45"/>
      <c r="F510" s="45"/>
    </row>
    <row r="511" ht="15.75" customHeight="1">
      <c r="A511" s="45"/>
      <c r="B511" s="45"/>
      <c r="C511" s="45"/>
      <c r="D511" s="45"/>
      <c r="E511" s="45"/>
      <c r="F511" s="45"/>
    </row>
    <row r="512" ht="15.75" customHeight="1">
      <c r="A512" s="45"/>
      <c r="B512" s="45"/>
      <c r="C512" s="45"/>
      <c r="D512" s="45"/>
      <c r="E512" s="45"/>
      <c r="F512" s="45"/>
    </row>
    <row r="513" ht="15.75" customHeight="1">
      <c r="A513" s="45"/>
      <c r="B513" s="45"/>
      <c r="C513" s="45"/>
      <c r="D513" s="45"/>
      <c r="E513" s="45"/>
      <c r="F513" s="45"/>
    </row>
    <row r="514" ht="15.75" customHeight="1">
      <c r="A514" s="45"/>
      <c r="B514" s="45"/>
      <c r="C514" s="45"/>
      <c r="D514" s="45"/>
      <c r="E514" s="45"/>
      <c r="F514" s="45"/>
    </row>
    <row r="515" ht="15.75" customHeight="1">
      <c r="A515" s="45"/>
      <c r="B515" s="45"/>
      <c r="C515" s="45"/>
      <c r="D515" s="45"/>
      <c r="E515" s="45"/>
      <c r="F515" s="45"/>
    </row>
    <row r="516" ht="15.75" customHeight="1">
      <c r="A516" s="45"/>
      <c r="B516" s="45"/>
      <c r="C516" s="45"/>
      <c r="D516" s="45"/>
      <c r="E516" s="45"/>
      <c r="F516" s="45"/>
    </row>
    <row r="517" ht="15.75" customHeight="1">
      <c r="A517" s="45"/>
      <c r="B517" s="45"/>
      <c r="C517" s="45"/>
      <c r="D517" s="45"/>
      <c r="E517" s="45"/>
      <c r="F517" s="45"/>
    </row>
    <row r="518" ht="15.75" customHeight="1">
      <c r="A518" s="45"/>
      <c r="B518" s="45"/>
      <c r="C518" s="45"/>
      <c r="D518" s="45"/>
      <c r="E518" s="45"/>
      <c r="F518" s="45"/>
    </row>
    <row r="519" ht="15.75" customHeight="1">
      <c r="A519" s="45"/>
      <c r="B519" s="45"/>
      <c r="C519" s="45"/>
      <c r="D519" s="45"/>
      <c r="E519" s="45"/>
      <c r="F519" s="45"/>
    </row>
    <row r="520" ht="15.75" customHeight="1">
      <c r="A520" s="45"/>
      <c r="B520" s="45"/>
      <c r="C520" s="45"/>
      <c r="D520" s="45"/>
      <c r="E520" s="45"/>
      <c r="F520" s="45"/>
    </row>
    <row r="521" ht="15.75" customHeight="1">
      <c r="A521" s="45"/>
      <c r="B521" s="45"/>
      <c r="C521" s="45"/>
      <c r="D521" s="45"/>
      <c r="E521" s="45"/>
      <c r="F521" s="45"/>
    </row>
    <row r="522" ht="15.75" customHeight="1">
      <c r="A522" s="45"/>
      <c r="B522" s="45"/>
      <c r="C522" s="45"/>
      <c r="D522" s="45"/>
      <c r="E522" s="45"/>
      <c r="F522" s="45"/>
    </row>
    <row r="523" ht="15.75" customHeight="1">
      <c r="A523" s="45"/>
      <c r="B523" s="45"/>
      <c r="C523" s="45"/>
      <c r="D523" s="45"/>
      <c r="E523" s="45"/>
      <c r="F523" s="45"/>
    </row>
    <row r="524" ht="15.75" customHeight="1">
      <c r="A524" s="45"/>
      <c r="B524" s="45"/>
      <c r="C524" s="45"/>
      <c r="D524" s="45"/>
      <c r="E524" s="45"/>
      <c r="F524" s="45"/>
    </row>
    <row r="525" ht="15.75" customHeight="1">
      <c r="A525" s="45"/>
      <c r="B525" s="45"/>
      <c r="C525" s="45"/>
      <c r="D525" s="45"/>
      <c r="E525" s="45"/>
      <c r="F525" s="45"/>
    </row>
    <row r="526" ht="15.75" customHeight="1">
      <c r="A526" s="45"/>
      <c r="B526" s="45"/>
      <c r="C526" s="45"/>
      <c r="D526" s="45"/>
      <c r="E526" s="45"/>
      <c r="F526" s="45"/>
    </row>
    <row r="527" ht="15.75" customHeight="1">
      <c r="A527" s="45"/>
      <c r="B527" s="45"/>
      <c r="C527" s="45"/>
      <c r="D527" s="45"/>
      <c r="E527" s="45"/>
      <c r="F527" s="45"/>
    </row>
    <row r="528" ht="15.75" customHeight="1">
      <c r="A528" s="45"/>
      <c r="B528" s="45"/>
      <c r="C528" s="45"/>
      <c r="D528" s="45"/>
      <c r="E528" s="45"/>
      <c r="F528" s="45"/>
    </row>
    <row r="529" ht="15.75" customHeight="1">
      <c r="A529" s="45"/>
      <c r="B529" s="45"/>
      <c r="C529" s="45"/>
      <c r="D529" s="45"/>
      <c r="E529" s="45"/>
      <c r="F529" s="45"/>
    </row>
    <row r="530" ht="15.75" customHeight="1">
      <c r="A530" s="45"/>
      <c r="B530" s="45"/>
      <c r="C530" s="45"/>
      <c r="D530" s="45"/>
      <c r="E530" s="45"/>
      <c r="F530" s="45"/>
    </row>
    <row r="531" ht="15.75" customHeight="1">
      <c r="A531" s="45"/>
      <c r="B531" s="45"/>
      <c r="C531" s="45"/>
      <c r="D531" s="45"/>
      <c r="E531" s="45"/>
      <c r="F531" s="45"/>
    </row>
    <row r="532" ht="15.75" customHeight="1">
      <c r="A532" s="45"/>
      <c r="B532" s="45"/>
      <c r="C532" s="45"/>
      <c r="D532" s="45"/>
      <c r="E532" s="45"/>
      <c r="F532" s="45"/>
    </row>
    <row r="533" ht="15.75" customHeight="1">
      <c r="A533" s="45"/>
      <c r="B533" s="45"/>
      <c r="C533" s="45"/>
      <c r="D533" s="45"/>
      <c r="E533" s="45"/>
      <c r="F533" s="45"/>
    </row>
    <row r="534" ht="15.75" customHeight="1">
      <c r="A534" s="45"/>
      <c r="B534" s="45"/>
      <c r="C534" s="45"/>
      <c r="D534" s="45"/>
      <c r="E534" s="45"/>
      <c r="F534" s="45"/>
    </row>
    <row r="535" ht="15.75" customHeight="1">
      <c r="A535" s="45"/>
      <c r="B535" s="45"/>
      <c r="C535" s="45"/>
      <c r="D535" s="45"/>
      <c r="E535" s="45"/>
      <c r="F535" s="45"/>
    </row>
    <row r="536" ht="15.75" customHeight="1">
      <c r="A536" s="45"/>
      <c r="B536" s="45"/>
      <c r="C536" s="45"/>
      <c r="D536" s="45"/>
      <c r="E536" s="45"/>
      <c r="F536" s="45"/>
    </row>
    <row r="537" ht="15.75" customHeight="1">
      <c r="A537" s="45"/>
      <c r="B537" s="45"/>
      <c r="C537" s="45"/>
      <c r="D537" s="45"/>
      <c r="E537" s="45"/>
      <c r="F537" s="45"/>
    </row>
    <row r="538" ht="15.75" customHeight="1">
      <c r="A538" s="45"/>
      <c r="B538" s="45"/>
      <c r="C538" s="45"/>
      <c r="D538" s="45"/>
      <c r="E538" s="45"/>
      <c r="F538" s="45"/>
    </row>
    <row r="539" ht="15.75" customHeight="1">
      <c r="A539" s="45"/>
      <c r="B539" s="45"/>
      <c r="C539" s="45"/>
      <c r="D539" s="45"/>
      <c r="E539" s="45"/>
      <c r="F539" s="45"/>
    </row>
    <row r="540" ht="15.75" customHeight="1">
      <c r="A540" s="45"/>
      <c r="B540" s="45"/>
      <c r="C540" s="45"/>
      <c r="D540" s="45"/>
      <c r="E540" s="45"/>
      <c r="F540" s="45"/>
    </row>
    <row r="541" ht="15.75" customHeight="1">
      <c r="A541" s="45"/>
      <c r="B541" s="45"/>
      <c r="C541" s="45"/>
      <c r="D541" s="45"/>
      <c r="E541" s="45"/>
      <c r="F541" s="45"/>
    </row>
    <row r="542" ht="15.75" customHeight="1">
      <c r="A542" s="45"/>
      <c r="B542" s="45"/>
      <c r="C542" s="45"/>
      <c r="D542" s="45"/>
      <c r="E542" s="45"/>
      <c r="F542" s="45"/>
    </row>
    <row r="543" ht="15.75" customHeight="1">
      <c r="A543" s="45"/>
      <c r="B543" s="45"/>
      <c r="C543" s="45"/>
      <c r="D543" s="45"/>
      <c r="E543" s="45"/>
      <c r="F543" s="45"/>
    </row>
    <row r="544" ht="15.75" customHeight="1">
      <c r="A544" s="45"/>
      <c r="B544" s="45"/>
      <c r="C544" s="45"/>
      <c r="D544" s="45"/>
      <c r="E544" s="45"/>
      <c r="F544" s="45"/>
    </row>
    <row r="545" ht="15.75" customHeight="1">
      <c r="A545" s="45"/>
      <c r="B545" s="45"/>
      <c r="C545" s="45"/>
      <c r="D545" s="45"/>
      <c r="E545" s="45"/>
      <c r="F545" s="45"/>
    </row>
    <row r="546" ht="15.75" customHeight="1">
      <c r="A546" s="45"/>
      <c r="B546" s="45"/>
      <c r="C546" s="45"/>
      <c r="D546" s="45"/>
      <c r="E546" s="45"/>
      <c r="F546" s="45"/>
    </row>
    <row r="547" ht="15.75" customHeight="1">
      <c r="A547" s="45"/>
      <c r="B547" s="45"/>
      <c r="C547" s="45"/>
      <c r="D547" s="45"/>
      <c r="E547" s="45"/>
      <c r="F547" s="45"/>
    </row>
    <row r="548" ht="15.75" customHeight="1">
      <c r="A548" s="45"/>
      <c r="B548" s="45"/>
      <c r="C548" s="45"/>
      <c r="D548" s="45"/>
      <c r="E548" s="45"/>
      <c r="F548" s="45"/>
    </row>
    <row r="549" ht="15.75" customHeight="1">
      <c r="A549" s="45"/>
      <c r="B549" s="45"/>
      <c r="C549" s="45"/>
      <c r="D549" s="45"/>
      <c r="E549" s="45"/>
      <c r="F549" s="45"/>
    </row>
    <row r="550" ht="15.75" customHeight="1">
      <c r="A550" s="45"/>
      <c r="B550" s="45"/>
      <c r="C550" s="45"/>
      <c r="D550" s="45"/>
      <c r="E550" s="45"/>
      <c r="F550" s="45"/>
    </row>
    <row r="551" ht="15.75" customHeight="1">
      <c r="A551" s="45"/>
      <c r="B551" s="45"/>
      <c r="C551" s="45"/>
      <c r="D551" s="45"/>
      <c r="E551" s="45"/>
      <c r="F551" s="45"/>
    </row>
    <row r="552" ht="15.75" customHeight="1">
      <c r="A552" s="45"/>
      <c r="B552" s="45"/>
      <c r="C552" s="45"/>
      <c r="D552" s="45"/>
      <c r="E552" s="45"/>
      <c r="F552" s="45"/>
    </row>
    <row r="553" ht="15.75" customHeight="1">
      <c r="A553" s="45"/>
      <c r="B553" s="45"/>
      <c r="C553" s="45"/>
      <c r="D553" s="45"/>
      <c r="E553" s="45"/>
      <c r="F553" s="45"/>
    </row>
    <row r="554" ht="15.75" customHeight="1">
      <c r="A554" s="45"/>
      <c r="B554" s="45"/>
      <c r="C554" s="45"/>
      <c r="D554" s="45"/>
      <c r="E554" s="45"/>
      <c r="F554" s="45"/>
    </row>
    <row r="555" ht="15.75" customHeight="1">
      <c r="A555" s="45"/>
      <c r="B555" s="45"/>
      <c r="C555" s="45"/>
      <c r="D555" s="45"/>
      <c r="E555" s="45"/>
      <c r="F555" s="45"/>
    </row>
    <row r="556" ht="15.75" customHeight="1">
      <c r="A556" s="45"/>
      <c r="B556" s="45"/>
      <c r="C556" s="45"/>
      <c r="D556" s="45"/>
      <c r="E556" s="45"/>
      <c r="F556" s="45"/>
    </row>
    <row r="557" ht="15.75" customHeight="1">
      <c r="A557" s="45"/>
      <c r="B557" s="45"/>
      <c r="C557" s="45"/>
      <c r="D557" s="45"/>
      <c r="E557" s="45"/>
      <c r="F557" s="45"/>
    </row>
    <row r="558" ht="15.75" customHeight="1">
      <c r="A558" s="45"/>
      <c r="B558" s="45"/>
      <c r="C558" s="45"/>
      <c r="D558" s="45"/>
      <c r="E558" s="45"/>
      <c r="F558" s="45"/>
    </row>
    <row r="559" ht="15.75" customHeight="1">
      <c r="A559" s="45"/>
      <c r="B559" s="45"/>
      <c r="C559" s="45"/>
      <c r="D559" s="45"/>
      <c r="E559" s="45"/>
      <c r="F559" s="45"/>
    </row>
    <row r="560" ht="15.75" customHeight="1">
      <c r="A560" s="45"/>
      <c r="B560" s="45"/>
      <c r="C560" s="45"/>
      <c r="D560" s="45"/>
      <c r="E560" s="45"/>
      <c r="F560" s="45"/>
    </row>
    <row r="561" ht="15.75" customHeight="1">
      <c r="A561" s="45"/>
      <c r="B561" s="45"/>
      <c r="C561" s="45"/>
      <c r="D561" s="45"/>
      <c r="E561" s="45"/>
      <c r="F561" s="45"/>
    </row>
    <row r="562" ht="15.75" customHeight="1">
      <c r="A562" s="45"/>
      <c r="B562" s="45"/>
      <c r="C562" s="45"/>
      <c r="D562" s="45"/>
      <c r="E562" s="45"/>
      <c r="F562" s="45"/>
    </row>
    <row r="563" ht="15.75" customHeight="1">
      <c r="A563" s="45"/>
      <c r="B563" s="45"/>
      <c r="C563" s="45"/>
      <c r="D563" s="45"/>
      <c r="E563" s="45"/>
      <c r="F563" s="45"/>
    </row>
    <row r="564" ht="15.75" customHeight="1">
      <c r="A564" s="45"/>
      <c r="B564" s="45"/>
      <c r="C564" s="45"/>
      <c r="D564" s="45"/>
      <c r="E564" s="45"/>
      <c r="F564" s="45"/>
    </row>
    <row r="565" ht="15.75" customHeight="1">
      <c r="A565" s="45"/>
      <c r="B565" s="45"/>
      <c r="C565" s="45"/>
      <c r="D565" s="45"/>
      <c r="E565" s="45"/>
      <c r="F565" s="45"/>
    </row>
    <row r="566" ht="15.75" customHeight="1">
      <c r="A566" s="45"/>
      <c r="B566" s="45"/>
      <c r="C566" s="45"/>
      <c r="D566" s="45"/>
      <c r="E566" s="45"/>
      <c r="F566" s="45"/>
    </row>
    <row r="567" ht="15.75" customHeight="1">
      <c r="A567" s="45"/>
      <c r="B567" s="45"/>
      <c r="C567" s="45"/>
      <c r="D567" s="45"/>
      <c r="E567" s="45"/>
      <c r="F567" s="45"/>
    </row>
    <row r="568" ht="15.75" customHeight="1">
      <c r="A568" s="45"/>
      <c r="B568" s="45"/>
      <c r="C568" s="45"/>
      <c r="D568" s="45"/>
      <c r="E568" s="45"/>
      <c r="F568" s="45"/>
    </row>
    <row r="569" ht="15.75" customHeight="1">
      <c r="A569" s="45"/>
      <c r="B569" s="45"/>
      <c r="C569" s="45"/>
      <c r="D569" s="45"/>
      <c r="E569" s="45"/>
      <c r="F569" s="45"/>
    </row>
    <row r="570" ht="15.75" customHeight="1">
      <c r="A570" s="45"/>
      <c r="B570" s="45"/>
      <c r="C570" s="45"/>
      <c r="D570" s="45"/>
      <c r="E570" s="45"/>
      <c r="F570" s="45"/>
    </row>
    <row r="571" ht="15.75" customHeight="1">
      <c r="A571" s="45"/>
      <c r="B571" s="45"/>
      <c r="C571" s="45"/>
      <c r="D571" s="45"/>
      <c r="E571" s="45"/>
      <c r="F571" s="45"/>
    </row>
    <row r="572" ht="15.75" customHeight="1">
      <c r="A572" s="45"/>
      <c r="B572" s="45"/>
      <c r="C572" s="45"/>
      <c r="D572" s="45"/>
      <c r="E572" s="45"/>
      <c r="F572" s="45"/>
    </row>
    <row r="573" ht="15.75" customHeight="1">
      <c r="A573" s="45"/>
      <c r="B573" s="45"/>
      <c r="C573" s="45"/>
      <c r="D573" s="45"/>
      <c r="E573" s="45"/>
      <c r="F573" s="45"/>
    </row>
    <row r="574" ht="15.75" customHeight="1">
      <c r="A574" s="45"/>
      <c r="B574" s="45"/>
      <c r="C574" s="45"/>
      <c r="D574" s="45"/>
      <c r="E574" s="45"/>
      <c r="F574" s="45"/>
    </row>
    <row r="575" ht="15.75" customHeight="1">
      <c r="A575" s="45"/>
      <c r="B575" s="45"/>
      <c r="C575" s="45"/>
      <c r="D575" s="45"/>
      <c r="E575" s="45"/>
      <c r="F575" s="45"/>
    </row>
    <row r="576" ht="15.75" customHeight="1">
      <c r="A576" s="45"/>
      <c r="B576" s="45"/>
      <c r="C576" s="45"/>
      <c r="D576" s="45"/>
      <c r="E576" s="45"/>
      <c r="F576" s="45"/>
    </row>
    <row r="577" ht="15.75" customHeight="1">
      <c r="A577" s="45"/>
      <c r="B577" s="45"/>
      <c r="C577" s="45"/>
      <c r="D577" s="45"/>
      <c r="E577" s="45"/>
      <c r="F577" s="45"/>
    </row>
    <row r="578" ht="15.75" customHeight="1">
      <c r="A578" s="45"/>
      <c r="B578" s="45"/>
      <c r="C578" s="45"/>
      <c r="D578" s="45"/>
      <c r="E578" s="45"/>
      <c r="F578" s="45"/>
    </row>
    <row r="579" ht="15.75" customHeight="1">
      <c r="A579" s="45"/>
      <c r="B579" s="45"/>
      <c r="C579" s="45"/>
      <c r="D579" s="45"/>
      <c r="E579" s="45"/>
      <c r="F579" s="45"/>
    </row>
    <row r="580" ht="15.75" customHeight="1">
      <c r="A580" s="45"/>
      <c r="B580" s="45"/>
      <c r="C580" s="45"/>
      <c r="D580" s="45"/>
      <c r="E580" s="45"/>
      <c r="F580" s="45"/>
    </row>
    <row r="581" ht="15.75" customHeight="1">
      <c r="A581" s="45"/>
      <c r="B581" s="45"/>
      <c r="C581" s="45"/>
      <c r="D581" s="45"/>
      <c r="E581" s="45"/>
      <c r="F581" s="45"/>
    </row>
    <row r="582" ht="15.75" customHeight="1">
      <c r="A582" s="45"/>
      <c r="B582" s="45"/>
      <c r="C582" s="45"/>
      <c r="D582" s="45"/>
      <c r="E582" s="45"/>
      <c r="F582" s="45"/>
    </row>
    <row r="583" ht="15.75" customHeight="1">
      <c r="A583" s="45"/>
      <c r="B583" s="45"/>
      <c r="C583" s="45"/>
      <c r="D583" s="45"/>
      <c r="E583" s="45"/>
      <c r="F583" s="45"/>
    </row>
    <row r="584" ht="15.75" customHeight="1">
      <c r="A584" s="45"/>
      <c r="B584" s="45"/>
      <c r="C584" s="45"/>
      <c r="D584" s="45"/>
      <c r="E584" s="45"/>
      <c r="F584" s="45"/>
    </row>
    <row r="585" ht="15.75" customHeight="1">
      <c r="A585" s="45"/>
      <c r="B585" s="45"/>
      <c r="C585" s="45"/>
      <c r="D585" s="45"/>
      <c r="E585" s="45"/>
      <c r="F585" s="45"/>
    </row>
    <row r="586" ht="15.75" customHeight="1">
      <c r="A586" s="45"/>
      <c r="B586" s="45"/>
      <c r="C586" s="45"/>
      <c r="D586" s="45"/>
      <c r="E586" s="45"/>
      <c r="F586" s="45"/>
    </row>
    <row r="587" ht="15.75" customHeight="1">
      <c r="A587" s="45"/>
      <c r="B587" s="45"/>
      <c r="C587" s="45"/>
      <c r="D587" s="45"/>
      <c r="E587" s="45"/>
      <c r="F587" s="45"/>
    </row>
    <row r="588" ht="15.75" customHeight="1">
      <c r="A588" s="45"/>
      <c r="B588" s="45"/>
      <c r="C588" s="45"/>
      <c r="D588" s="45"/>
      <c r="E588" s="45"/>
      <c r="F588" s="45"/>
    </row>
    <row r="589" ht="15.75" customHeight="1">
      <c r="A589" s="45"/>
      <c r="B589" s="45"/>
      <c r="C589" s="45"/>
      <c r="D589" s="45"/>
      <c r="E589" s="45"/>
      <c r="F589" s="45"/>
    </row>
    <row r="590" ht="15.75" customHeight="1">
      <c r="A590" s="45"/>
      <c r="B590" s="45"/>
      <c r="C590" s="45"/>
      <c r="D590" s="45"/>
      <c r="E590" s="45"/>
      <c r="F590" s="45"/>
    </row>
    <row r="591" ht="15.75" customHeight="1">
      <c r="A591" s="45"/>
      <c r="B591" s="45"/>
      <c r="C591" s="45"/>
      <c r="D591" s="45"/>
      <c r="E591" s="45"/>
      <c r="F591" s="45"/>
    </row>
    <row r="592" ht="15.75" customHeight="1">
      <c r="A592" s="45"/>
      <c r="B592" s="45"/>
      <c r="C592" s="45"/>
      <c r="D592" s="45"/>
      <c r="E592" s="45"/>
      <c r="F592" s="45"/>
    </row>
    <row r="593" ht="15.75" customHeight="1">
      <c r="A593" s="45"/>
      <c r="B593" s="45"/>
      <c r="C593" s="45"/>
      <c r="D593" s="45"/>
      <c r="E593" s="45"/>
      <c r="F593" s="45"/>
    </row>
    <row r="594" ht="15.75" customHeight="1">
      <c r="A594" s="45"/>
      <c r="B594" s="45"/>
      <c r="C594" s="45"/>
      <c r="D594" s="45"/>
      <c r="E594" s="45"/>
      <c r="F594" s="45"/>
    </row>
    <row r="595" ht="15.75" customHeight="1">
      <c r="A595" s="45"/>
      <c r="B595" s="45"/>
      <c r="C595" s="45"/>
      <c r="D595" s="45"/>
      <c r="E595" s="45"/>
      <c r="F595" s="45"/>
    </row>
    <row r="596" ht="15.75" customHeight="1">
      <c r="A596" s="45"/>
      <c r="B596" s="45"/>
      <c r="C596" s="45"/>
      <c r="D596" s="45"/>
      <c r="E596" s="45"/>
      <c r="F596" s="45"/>
    </row>
    <row r="597" ht="15.75" customHeight="1">
      <c r="A597" s="45"/>
      <c r="B597" s="45"/>
      <c r="C597" s="45"/>
      <c r="D597" s="45"/>
      <c r="E597" s="45"/>
      <c r="F597" s="45"/>
    </row>
    <row r="598" ht="15.75" customHeight="1">
      <c r="A598" s="45"/>
      <c r="B598" s="45"/>
      <c r="C598" s="45"/>
      <c r="D598" s="45"/>
      <c r="E598" s="45"/>
      <c r="F598" s="45"/>
    </row>
    <row r="599" ht="15.75" customHeight="1">
      <c r="A599" s="45"/>
      <c r="B599" s="45"/>
      <c r="C599" s="45"/>
      <c r="D599" s="45"/>
      <c r="E599" s="45"/>
      <c r="F599" s="45"/>
    </row>
    <row r="600" ht="15.75" customHeight="1">
      <c r="A600" s="45"/>
      <c r="B600" s="45"/>
      <c r="C600" s="45"/>
      <c r="D600" s="45"/>
      <c r="E600" s="45"/>
      <c r="F600" s="45"/>
    </row>
    <row r="601" ht="15.75" customHeight="1">
      <c r="A601" s="45"/>
      <c r="B601" s="45"/>
      <c r="C601" s="45"/>
      <c r="D601" s="45"/>
      <c r="E601" s="45"/>
      <c r="F601" s="45"/>
    </row>
    <row r="602" ht="15.75" customHeight="1">
      <c r="A602" s="45"/>
      <c r="B602" s="45"/>
      <c r="C602" s="45"/>
      <c r="D602" s="45"/>
      <c r="E602" s="45"/>
      <c r="F602" s="45"/>
    </row>
    <row r="603" ht="15.75" customHeight="1">
      <c r="A603" s="45"/>
      <c r="B603" s="45"/>
      <c r="C603" s="45"/>
      <c r="D603" s="45"/>
      <c r="E603" s="45"/>
      <c r="F603" s="45"/>
    </row>
    <row r="604" ht="15.75" customHeight="1">
      <c r="A604" s="45"/>
      <c r="B604" s="45"/>
      <c r="C604" s="45"/>
      <c r="D604" s="45"/>
      <c r="E604" s="45"/>
      <c r="F604" s="45"/>
    </row>
    <row r="605" ht="15.75" customHeight="1">
      <c r="A605" s="45"/>
      <c r="B605" s="45"/>
      <c r="C605" s="45"/>
      <c r="D605" s="45"/>
      <c r="E605" s="45"/>
      <c r="F605" s="45"/>
    </row>
    <row r="606" ht="15.75" customHeight="1">
      <c r="A606" s="45"/>
      <c r="B606" s="45"/>
      <c r="C606" s="45"/>
      <c r="D606" s="45"/>
      <c r="E606" s="45"/>
      <c r="F606" s="45"/>
    </row>
    <row r="607" ht="15.75" customHeight="1">
      <c r="A607" s="45"/>
      <c r="B607" s="45"/>
      <c r="C607" s="45"/>
      <c r="D607" s="45"/>
      <c r="E607" s="45"/>
      <c r="F607" s="45"/>
    </row>
    <row r="608" ht="15.75" customHeight="1">
      <c r="A608" s="45"/>
      <c r="B608" s="45"/>
      <c r="C608" s="45"/>
      <c r="D608" s="45"/>
      <c r="E608" s="45"/>
      <c r="F608" s="45"/>
    </row>
    <row r="609" ht="15.75" customHeight="1">
      <c r="A609" s="45"/>
      <c r="B609" s="45"/>
      <c r="C609" s="45"/>
      <c r="D609" s="45"/>
      <c r="E609" s="45"/>
      <c r="F609" s="45"/>
    </row>
    <row r="610" ht="15.75" customHeight="1">
      <c r="A610" s="45"/>
      <c r="B610" s="45"/>
      <c r="C610" s="45"/>
      <c r="D610" s="45"/>
      <c r="E610" s="45"/>
      <c r="F610" s="45"/>
    </row>
    <row r="611" ht="15.75" customHeight="1">
      <c r="A611" s="45"/>
      <c r="B611" s="45"/>
      <c r="C611" s="45"/>
      <c r="D611" s="45"/>
      <c r="E611" s="45"/>
      <c r="F611" s="45"/>
    </row>
    <row r="612" ht="15.75" customHeight="1">
      <c r="A612" s="45"/>
      <c r="B612" s="45"/>
      <c r="C612" s="45"/>
      <c r="D612" s="45"/>
      <c r="E612" s="45"/>
      <c r="F612" s="45"/>
    </row>
    <row r="613" ht="15.75" customHeight="1">
      <c r="A613" s="45"/>
      <c r="B613" s="45"/>
      <c r="C613" s="45"/>
      <c r="D613" s="45"/>
      <c r="E613" s="45"/>
      <c r="F613" s="45"/>
    </row>
    <row r="614" ht="15.75" customHeight="1">
      <c r="A614" s="45"/>
      <c r="B614" s="45"/>
      <c r="C614" s="45"/>
      <c r="D614" s="45"/>
      <c r="E614" s="45"/>
      <c r="F614" s="45"/>
    </row>
    <row r="615" ht="15.75" customHeight="1">
      <c r="A615" s="45"/>
      <c r="B615" s="45"/>
      <c r="C615" s="45"/>
      <c r="D615" s="45"/>
      <c r="E615" s="45"/>
      <c r="F615" s="45"/>
    </row>
    <row r="616" ht="15.75" customHeight="1">
      <c r="A616" s="45"/>
      <c r="B616" s="45"/>
      <c r="C616" s="45"/>
      <c r="D616" s="45"/>
      <c r="E616" s="45"/>
      <c r="F616" s="45"/>
    </row>
    <row r="617" ht="15.75" customHeight="1">
      <c r="A617" s="45"/>
      <c r="B617" s="45"/>
      <c r="C617" s="45"/>
      <c r="D617" s="45"/>
      <c r="E617" s="45"/>
      <c r="F617" s="45"/>
    </row>
    <row r="618" ht="15.75" customHeight="1">
      <c r="A618" s="45"/>
      <c r="B618" s="45"/>
      <c r="C618" s="45"/>
      <c r="D618" s="45"/>
      <c r="E618" s="45"/>
      <c r="F618" s="45"/>
    </row>
    <row r="619" ht="15.75" customHeight="1">
      <c r="A619" s="45"/>
      <c r="B619" s="45"/>
      <c r="C619" s="45"/>
      <c r="D619" s="45"/>
      <c r="E619" s="45"/>
      <c r="F619" s="45"/>
    </row>
    <row r="620" ht="15.75" customHeight="1">
      <c r="A620" s="45"/>
      <c r="B620" s="45"/>
      <c r="C620" s="45"/>
      <c r="D620" s="45"/>
      <c r="E620" s="45"/>
      <c r="F620" s="45"/>
    </row>
    <row r="621" ht="15.75" customHeight="1">
      <c r="A621" s="45"/>
      <c r="B621" s="45"/>
      <c r="C621" s="45"/>
      <c r="D621" s="45"/>
      <c r="E621" s="45"/>
      <c r="F621" s="45"/>
    </row>
    <row r="622" ht="15.75" customHeight="1">
      <c r="A622" s="45"/>
      <c r="B622" s="45"/>
      <c r="C622" s="45"/>
      <c r="D622" s="45"/>
      <c r="E622" s="45"/>
      <c r="F622" s="45"/>
    </row>
    <row r="623" ht="15.75" customHeight="1">
      <c r="A623" s="45"/>
      <c r="B623" s="45"/>
      <c r="C623" s="45"/>
      <c r="D623" s="45"/>
      <c r="E623" s="45"/>
      <c r="F623" s="45"/>
    </row>
    <row r="624" ht="15.75" customHeight="1">
      <c r="A624" s="45"/>
      <c r="B624" s="45"/>
      <c r="C624" s="45"/>
      <c r="D624" s="45"/>
      <c r="E624" s="45"/>
      <c r="F624" s="45"/>
    </row>
    <row r="625" ht="15.75" customHeight="1">
      <c r="A625" s="45"/>
      <c r="B625" s="45"/>
      <c r="C625" s="45"/>
      <c r="D625" s="45"/>
      <c r="E625" s="45"/>
      <c r="F625" s="45"/>
    </row>
    <row r="626" ht="15.75" customHeight="1">
      <c r="A626" s="45"/>
      <c r="B626" s="45"/>
      <c r="C626" s="45"/>
      <c r="D626" s="45"/>
      <c r="E626" s="45"/>
      <c r="F626" s="45"/>
    </row>
    <row r="627" ht="15.75" customHeight="1">
      <c r="A627" s="45"/>
      <c r="B627" s="45"/>
      <c r="C627" s="45"/>
      <c r="D627" s="45"/>
      <c r="E627" s="45"/>
      <c r="F627" s="45"/>
    </row>
    <row r="628" ht="15.75" customHeight="1">
      <c r="A628" s="45"/>
      <c r="B628" s="45"/>
      <c r="C628" s="45"/>
      <c r="D628" s="45"/>
      <c r="E628" s="45"/>
      <c r="F628" s="45"/>
    </row>
    <row r="629" ht="15.75" customHeight="1">
      <c r="A629" s="45"/>
      <c r="B629" s="45"/>
      <c r="C629" s="45"/>
      <c r="D629" s="45"/>
      <c r="E629" s="45"/>
      <c r="F629" s="45"/>
    </row>
    <row r="630" ht="15.75" customHeight="1">
      <c r="A630" s="45"/>
      <c r="B630" s="45"/>
      <c r="C630" s="45"/>
      <c r="D630" s="45"/>
      <c r="E630" s="45"/>
      <c r="F630" s="45"/>
    </row>
    <row r="631" ht="15.75" customHeight="1">
      <c r="A631" s="45"/>
      <c r="B631" s="45"/>
      <c r="C631" s="45"/>
      <c r="D631" s="45"/>
      <c r="E631" s="45"/>
      <c r="F631" s="45"/>
    </row>
    <row r="632" ht="15.75" customHeight="1">
      <c r="A632" s="45"/>
      <c r="B632" s="45"/>
      <c r="C632" s="45"/>
      <c r="D632" s="45"/>
      <c r="E632" s="45"/>
      <c r="F632" s="45"/>
    </row>
    <row r="633" ht="15.75" customHeight="1">
      <c r="A633" s="45"/>
      <c r="B633" s="45"/>
      <c r="C633" s="45"/>
      <c r="D633" s="45"/>
      <c r="E633" s="45"/>
      <c r="F633" s="45"/>
    </row>
    <row r="634" ht="15.75" customHeight="1">
      <c r="A634" s="45"/>
      <c r="B634" s="45"/>
      <c r="C634" s="45"/>
      <c r="D634" s="45"/>
      <c r="E634" s="45"/>
      <c r="F634" s="45"/>
    </row>
    <row r="635" ht="15.75" customHeight="1">
      <c r="A635" s="45"/>
      <c r="B635" s="45"/>
      <c r="C635" s="45"/>
      <c r="D635" s="45"/>
      <c r="E635" s="45"/>
      <c r="F635" s="45"/>
    </row>
    <row r="636" ht="15.75" customHeight="1">
      <c r="A636" s="45"/>
      <c r="B636" s="45"/>
      <c r="C636" s="45"/>
      <c r="D636" s="45"/>
      <c r="E636" s="45"/>
      <c r="F636" s="45"/>
    </row>
    <row r="637" ht="15.75" customHeight="1">
      <c r="A637" s="45"/>
      <c r="B637" s="45"/>
      <c r="C637" s="45"/>
      <c r="D637" s="45"/>
      <c r="E637" s="45"/>
      <c r="F637" s="45"/>
    </row>
    <row r="638" ht="15.75" customHeight="1">
      <c r="A638" s="45"/>
      <c r="B638" s="45"/>
      <c r="C638" s="45"/>
      <c r="D638" s="45"/>
      <c r="E638" s="45"/>
      <c r="F638" s="45"/>
    </row>
    <row r="639" ht="15.75" customHeight="1">
      <c r="A639" s="45"/>
      <c r="B639" s="45"/>
      <c r="C639" s="45"/>
      <c r="D639" s="45"/>
      <c r="E639" s="45"/>
      <c r="F639" s="45"/>
    </row>
    <row r="640" ht="15.75" customHeight="1">
      <c r="A640" s="45"/>
      <c r="B640" s="45"/>
      <c r="C640" s="45"/>
      <c r="D640" s="45"/>
      <c r="E640" s="45"/>
      <c r="F640" s="45"/>
    </row>
    <row r="641" ht="15.75" customHeight="1">
      <c r="A641" s="45"/>
      <c r="B641" s="45"/>
      <c r="C641" s="45"/>
      <c r="D641" s="45"/>
      <c r="E641" s="45"/>
      <c r="F641" s="45"/>
    </row>
    <row r="642" ht="15.75" customHeight="1">
      <c r="A642" s="45"/>
      <c r="B642" s="45"/>
      <c r="C642" s="45"/>
      <c r="D642" s="45"/>
      <c r="E642" s="45"/>
      <c r="F642" s="45"/>
    </row>
    <row r="643" ht="15.75" customHeight="1">
      <c r="A643" s="45"/>
      <c r="B643" s="45"/>
      <c r="C643" s="45"/>
      <c r="D643" s="45"/>
      <c r="E643" s="45"/>
      <c r="F643" s="45"/>
    </row>
    <row r="644" ht="15.75" customHeight="1">
      <c r="A644" s="45"/>
      <c r="B644" s="45"/>
      <c r="C644" s="45"/>
      <c r="D644" s="45"/>
      <c r="E644" s="45"/>
      <c r="F644" s="45"/>
    </row>
    <row r="645" ht="15.75" customHeight="1">
      <c r="A645" s="45"/>
      <c r="B645" s="45"/>
      <c r="C645" s="45"/>
      <c r="D645" s="45"/>
      <c r="E645" s="45"/>
      <c r="F645" s="45"/>
    </row>
    <row r="646" ht="15.75" customHeight="1">
      <c r="A646" s="45"/>
      <c r="B646" s="45"/>
      <c r="C646" s="45"/>
      <c r="D646" s="45"/>
      <c r="E646" s="45"/>
      <c r="F646" s="45"/>
    </row>
    <row r="647" ht="15.75" customHeight="1">
      <c r="A647" s="45"/>
      <c r="B647" s="45"/>
      <c r="C647" s="45"/>
      <c r="D647" s="45"/>
      <c r="E647" s="45"/>
      <c r="F647" s="45"/>
    </row>
    <row r="648" ht="15.75" customHeight="1">
      <c r="A648" s="45"/>
      <c r="B648" s="45"/>
      <c r="C648" s="45"/>
      <c r="D648" s="45"/>
      <c r="E648" s="45"/>
      <c r="F648" s="45"/>
    </row>
    <row r="649" ht="15.75" customHeight="1">
      <c r="A649" s="45"/>
      <c r="B649" s="45"/>
      <c r="C649" s="45"/>
      <c r="D649" s="45"/>
      <c r="E649" s="45"/>
      <c r="F649" s="45"/>
    </row>
    <row r="650" ht="15.75" customHeight="1">
      <c r="A650" s="45"/>
      <c r="B650" s="45"/>
      <c r="C650" s="45"/>
      <c r="D650" s="45"/>
      <c r="E650" s="45"/>
      <c r="F650" s="45"/>
    </row>
    <row r="651" ht="15.75" customHeight="1">
      <c r="A651" s="45"/>
      <c r="B651" s="45"/>
      <c r="C651" s="45"/>
      <c r="D651" s="45"/>
      <c r="E651" s="45"/>
      <c r="F651" s="45"/>
    </row>
    <row r="652" ht="15.75" customHeight="1">
      <c r="A652" s="45"/>
      <c r="B652" s="45"/>
      <c r="C652" s="45"/>
      <c r="D652" s="45"/>
      <c r="E652" s="45"/>
      <c r="F652" s="45"/>
    </row>
    <row r="653" ht="15.75" customHeight="1">
      <c r="A653" s="45"/>
      <c r="B653" s="45"/>
      <c r="C653" s="45"/>
      <c r="D653" s="45"/>
      <c r="E653" s="45"/>
      <c r="F653" s="45"/>
    </row>
    <row r="654" ht="15.75" customHeight="1">
      <c r="A654" s="45"/>
      <c r="B654" s="45"/>
      <c r="C654" s="45"/>
      <c r="D654" s="45"/>
      <c r="E654" s="45"/>
      <c r="F654" s="45"/>
    </row>
    <row r="655" ht="15.75" customHeight="1">
      <c r="A655" s="45"/>
      <c r="B655" s="45"/>
      <c r="C655" s="45"/>
      <c r="D655" s="45"/>
      <c r="E655" s="45"/>
      <c r="F655" s="45"/>
    </row>
    <row r="656" ht="15.75" customHeight="1">
      <c r="A656" s="45"/>
      <c r="B656" s="45"/>
      <c r="C656" s="45"/>
      <c r="D656" s="45"/>
      <c r="E656" s="45"/>
      <c r="F656" s="45"/>
    </row>
    <row r="657" ht="15.75" customHeight="1">
      <c r="A657" s="45"/>
      <c r="B657" s="45"/>
      <c r="C657" s="45"/>
      <c r="D657" s="45"/>
      <c r="E657" s="45"/>
      <c r="F657" s="45"/>
    </row>
    <row r="658" ht="15.75" customHeight="1">
      <c r="A658" s="45"/>
      <c r="B658" s="45"/>
      <c r="C658" s="45"/>
      <c r="D658" s="45"/>
      <c r="E658" s="45"/>
      <c r="F658" s="45"/>
    </row>
    <row r="659" ht="15.75" customHeight="1">
      <c r="A659" s="45"/>
      <c r="B659" s="45"/>
      <c r="C659" s="45"/>
      <c r="D659" s="45"/>
      <c r="E659" s="45"/>
      <c r="F659" s="45"/>
    </row>
    <row r="660" ht="15.75" customHeight="1">
      <c r="A660" s="45"/>
      <c r="B660" s="45"/>
      <c r="C660" s="45"/>
      <c r="D660" s="45"/>
      <c r="E660" s="45"/>
      <c r="F660" s="45"/>
    </row>
    <row r="661" ht="15.75" customHeight="1">
      <c r="A661" s="45"/>
      <c r="B661" s="45"/>
      <c r="C661" s="45"/>
      <c r="D661" s="45"/>
      <c r="E661" s="45"/>
      <c r="F661" s="45"/>
    </row>
    <row r="662" ht="15.75" customHeight="1">
      <c r="A662" s="45"/>
      <c r="B662" s="45"/>
      <c r="C662" s="45"/>
      <c r="D662" s="45"/>
      <c r="E662" s="45"/>
      <c r="F662" s="45"/>
    </row>
    <row r="663" ht="15.75" customHeight="1">
      <c r="A663" s="45"/>
      <c r="B663" s="45"/>
      <c r="C663" s="45"/>
      <c r="D663" s="45"/>
      <c r="E663" s="45"/>
      <c r="F663" s="45"/>
    </row>
    <row r="664" ht="15.75" customHeight="1">
      <c r="A664" s="45"/>
      <c r="B664" s="45"/>
      <c r="C664" s="45"/>
      <c r="D664" s="45"/>
      <c r="E664" s="45"/>
      <c r="F664" s="45"/>
    </row>
    <row r="665" ht="15.75" customHeight="1">
      <c r="A665" s="45"/>
      <c r="B665" s="45"/>
      <c r="C665" s="45"/>
      <c r="D665" s="45"/>
      <c r="E665" s="45"/>
      <c r="F665" s="45"/>
    </row>
    <row r="666" ht="15.75" customHeight="1">
      <c r="A666" s="45"/>
      <c r="B666" s="45"/>
      <c r="C666" s="45"/>
      <c r="D666" s="45"/>
      <c r="E666" s="45"/>
      <c r="F666" s="45"/>
    </row>
    <row r="667" ht="15.75" customHeight="1">
      <c r="A667" s="45"/>
      <c r="B667" s="45"/>
      <c r="C667" s="45"/>
      <c r="D667" s="45"/>
      <c r="E667" s="45"/>
      <c r="F667" s="45"/>
    </row>
    <row r="668" ht="15.75" customHeight="1">
      <c r="A668" s="45"/>
      <c r="B668" s="45"/>
      <c r="C668" s="45"/>
      <c r="D668" s="45"/>
      <c r="E668" s="45"/>
      <c r="F668" s="45"/>
    </row>
    <row r="669" ht="15.75" customHeight="1">
      <c r="A669" s="45"/>
      <c r="B669" s="45"/>
      <c r="C669" s="45"/>
      <c r="D669" s="45"/>
      <c r="E669" s="45"/>
      <c r="F669" s="45"/>
    </row>
    <row r="670" ht="15.75" customHeight="1">
      <c r="A670" s="45"/>
      <c r="B670" s="45"/>
      <c r="C670" s="45"/>
      <c r="D670" s="45"/>
      <c r="E670" s="45"/>
      <c r="F670" s="45"/>
    </row>
    <row r="671" ht="15.75" customHeight="1">
      <c r="A671" s="45"/>
      <c r="B671" s="45"/>
      <c r="C671" s="45"/>
      <c r="D671" s="45"/>
      <c r="E671" s="45"/>
      <c r="F671" s="45"/>
    </row>
    <row r="672" ht="15.75" customHeight="1">
      <c r="A672" s="45"/>
      <c r="B672" s="45"/>
      <c r="C672" s="45"/>
      <c r="D672" s="45"/>
      <c r="E672" s="45"/>
      <c r="F672" s="45"/>
    </row>
    <row r="673" ht="15.75" customHeight="1">
      <c r="A673" s="45"/>
      <c r="B673" s="45"/>
      <c r="C673" s="45"/>
      <c r="D673" s="45"/>
      <c r="E673" s="45"/>
      <c r="F673" s="45"/>
    </row>
    <row r="674" ht="15.75" customHeight="1">
      <c r="A674" s="45"/>
      <c r="B674" s="45"/>
      <c r="C674" s="45"/>
      <c r="D674" s="45"/>
      <c r="E674" s="45"/>
      <c r="F674" s="45"/>
    </row>
    <row r="675" ht="15.75" customHeight="1">
      <c r="A675" s="45"/>
      <c r="B675" s="45"/>
      <c r="C675" s="45"/>
      <c r="D675" s="45"/>
      <c r="E675" s="45"/>
      <c r="F675" s="45"/>
    </row>
    <row r="676" ht="15.75" customHeight="1">
      <c r="A676" s="45"/>
      <c r="B676" s="45"/>
      <c r="C676" s="45"/>
      <c r="D676" s="45"/>
      <c r="E676" s="45"/>
      <c r="F676" s="45"/>
    </row>
    <row r="677" ht="15.75" customHeight="1">
      <c r="A677" s="45"/>
      <c r="B677" s="45"/>
      <c r="C677" s="45"/>
      <c r="D677" s="45"/>
      <c r="E677" s="45"/>
      <c r="F677" s="45"/>
    </row>
    <row r="678" ht="15.75" customHeight="1">
      <c r="A678" s="45"/>
      <c r="B678" s="45"/>
      <c r="C678" s="45"/>
      <c r="D678" s="45"/>
      <c r="E678" s="45"/>
      <c r="F678" s="45"/>
    </row>
    <row r="679" ht="15.75" customHeight="1">
      <c r="A679" s="45"/>
      <c r="B679" s="45"/>
      <c r="C679" s="45"/>
      <c r="D679" s="45"/>
      <c r="E679" s="45"/>
      <c r="F679" s="45"/>
    </row>
    <row r="680" ht="15.75" customHeight="1">
      <c r="A680" s="45"/>
      <c r="B680" s="45"/>
      <c r="C680" s="45"/>
      <c r="D680" s="45"/>
      <c r="E680" s="45"/>
      <c r="F680" s="45"/>
    </row>
    <row r="681" ht="15.75" customHeight="1">
      <c r="A681" s="45"/>
      <c r="B681" s="45"/>
      <c r="C681" s="45"/>
      <c r="D681" s="45"/>
      <c r="E681" s="45"/>
      <c r="F681" s="45"/>
    </row>
    <row r="682" ht="15.75" customHeight="1">
      <c r="A682" s="45"/>
      <c r="B682" s="45"/>
      <c r="C682" s="45"/>
      <c r="D682" s="45"/>
      <c r="E682" s="45"/>
      <c r="F682" s="45"/>
    </row>
    <row r="683" ht="15.75" customHeight="1">
      <c r="A683" s="45"/>
      <c r="B683" s="45"/>
      <c r="C683" s="45"/>
      <c r="D683" s="45"/>
      <c r="E683" s="45"/>
      <c r="F683" s="45"/>
    </row>
    <row r="684" ht="15.75" customHeight="1">
      <c r="A684" s="45"/>
      <c r="B684" s="45"/>
      <c r="C684" s="45"/>
      <c r="D684" s="45"/>
      <c r="E684" s="45"/>
      <c r="F684" s="45"/>
    </row>
    <row r="685" ht="15.75" customHeight="1">
      <c r="A685" s="45"/>
      <c r="B685" s="45"/>
      <c r="C685" s="45"/>
      <c r="D685" s="45"/>
      <c r="E685" s="45"/>
      <c r="F685" s="45"/>
    </row>
    <row r="686" ht="15.75" customHeight="1">
      <c r="A686" s="45"/>
      <c r="B686" s="45"/>
      <c r="C686" s="45"/>
      <c r="D686" s="45"/>
      <c r="E686" s="45"/>
      <c r="F686" s="45"/>
    </row>
    <row r="687" ht="15.75" customHeight="1">
      <c r="A687" s="45"/>
      <c r="B687" s="45"/>
      <c r="C687" s="45"/>
      <c r="D687" s="45"/>
      <c r="E687" s="45"/>
      <c r="F687" s="45"/>
    </row>
    <row r="688" ht="15.75" customHeight="1">
      <c r="A688" s="45"/>
      <c r="B688" s="45"/>
      <c r="C688" s="45"/>
      <c r="D688" s="45"/>
      <c r="E688" s="45"/>
      <c r="F688" s="45"/>
    </row>
    <row r="689" ht="15.75" customHeight="1">
      <c r="A689" s="45"/>
      <c r="B689" s="45"/>
      <c r="C689" s="45"/>
      <c r="D689" s="45"/>
      <c r="E689" s="45"/>
      <c r="F689" s="45"/>
    </row>
    <row r="690" ht="15.75" customHeight="1">
      <c r="A690" s="45"/>
      <c r="B690" s="45"/>
      <c r="C690" s="45"/>
      <c r="D690" s="45"/>
      <c r="E690" s="45"/>
      <c r="F690" s="45"/>
    </row>
    <row r="691" ht="15.75" customHeight="1">
      <c r="A691" s="45"/>
      <c r="B691" s="45"/>
      <c r="C691" s="45"/>
      <c r="D691" s="45"/>
      <c r="E691" s="45"/>
      <c r="F691" s="45"/>
    </row>
    <row r="692" ht="15.75" customHeight="1">
      <c r="A692" s="45"/>
      <c r="B692" s="45"/>
      <c r="C692" s="45"/>
      <c r="D692" s="45"/>
      <c r="E692" s="45"/>
      <c r="F692" s="45"/>
    </row>
    <row r="693" ht="15.75" customHeight="1">
      <c r="A693" s="45"/>
      <c r="B693" s="45"/>
      <c r="C693" s="45"/>
      <c r="D693" s="45"/>
      <c r="E693" s="45"/>
      <c r="F693" s="45"/>
    </row>
    <row r="694" ht="15.75" customHeight="1">
      <c r="A694" s="45"/>
      <c r="B694" s="45"/>
      <c r="C694" s="45"/>
      <c r="D694" s="45"/>
      <c r="E694" s="45"/>
      <c r="F694" s="45"/>
    </row>
    <row r="695" ht="15.75" customHeight="1">
      <c r="A695" s="45"/>
      <c r="B695" s="45"/>
      <c r="C695" s="45"/>
      <c r="D695" s="45"/>
      <c r="E695" s="45"/>
      <c r="F695" s="45"/>
    </row>
    <row r="696" ht="15.75" customHeight="1">
      <c r="A696" s="45"/>
      <c r="B696" s="45"/>
      <c r="C696" s="45"/>
      <c r="D696" s="45"/>
      <c r="E696" s="45"/>
      <c r="F696" s="45"/>
    </row>
    <row r="697" ht="15.75" customHeight="1">
      <c r="A697" s="45"/>
      <c r="B697" s="45"/>
      <c r="C697" s="45"/>
      <c r="D697" s="45"/>
      <c r="E697" s="45"/>
      <c r="F697" s="45"/>
    </row>
    <row r="698" ht="15.75" customHeight="1">
      <c r="A698" s="45"/>
      <c r="B698" s="45"/>
      <c r="C698" s="45"/>
      <c r="D698" s="45"/>
      <c r="E698" s="45"/>
      <c r="F698" s="45"/>
    </row>
    <row r="699" ht="15.75" customHeight="1">
      <c r="A699" s="45"/>
      <c r="B699" s="45"/>
      <c r="C699" s="45"/>
      <c r="D699" s="45"/>
      <c r="E699" s="45"/>
      <c r="F699" s="45"/>
    </row>
    <row r="700" ht="15.75" customHeight="1">
      <c r="A700" s="45"/>
      <c r="B700" s="45"/>
      <c r="C700" s="45"/>
      <c r="D700" s="45"/>
      <c r="E700" s="45"/>
      <c r="F700" s="45"/>
    </row>
    <row r="701" ht="15.75" customHeight="1">
      <c r="A701" s="45"/>
      <c r="B701" s="45"/>
      <c r="C701" s="45"/>
      <c r="D701" s="45"/>
      <c r="E701" s="45"/>
      <c r="F701" s="45"/>
    </row>
    <row r="702" ht="15.75" customHeight="1">
      <c r="A702" s="45"/>
      <c r="B702" s="45"/>
      <c r="C702" s="45"/>
      <c r="D702" s="45"/>
      <c r="E702" s="45"/>
      <c r="F702" s="45"/>
    </row>
    <row r="703" ht="15.75" customHeight="1">
      <c r="A703" s="45"/>
      <c r="B703" s="45"/>
      <c r="C703" s="45"/>
      <c r="D703" s="45"/>
      <c r="E703" s="45"/>
      <c r="F703" s="45"/>
    </row>
    <row r="704" ht="15.75" customHeight="1">
      <c r="A704" s="45"/>
      <c r="B704" s="45"/>
      <c r="C704" s="45"/>
      <c r="D704" s="45"/>
      <c r="E704" s="45"/>
      <c r="F704" s="45"/>
    </row>
    <row r="705" ht="15.75" customHeight="1">
      <c r="A705" s="45"/>
      <c r="B705" s="45"/>
      <c r="C705" s="45"/>
      <c r="D705" s="45"/>
      <c r="E705" s="45"/>
      <c r="F705" s="45"/>
    </row>
    <row r="706" ht="15.75" customHeight="1">
      <c r="A706" s="45"/>
      <c r="B706" s="45"/>
      <c r="C706" s="45"/>
      <c r="D706" s="45"/>
      <c r="E706" s="45"/>
      <c r="F706" s="45"/>
    </row>
    <row r="707" ht="15.75" customHeight="1">
      <c r="A707" s="45"/>
      <c r="B707" s="45"/>
      <c r="C707" s="45"/>
      <c r="D707" s="45"/>
      <c r="E707" s="45"/>
      <c r="F707" s="45"/>
    </row>
    <row r="708" ht="15.75" customHeight="1">
      <c r="A708" s="45"/>
      <c r="B708" s="45"/>
      <c r="C708" s="45"/>
      <c r="D708" s="45"/>
      <c r="E708" s="45"/>
      <c r="F708" s="45"/>
    </row>
    <row r="709" ht="15.75" customHeight="1">
      <c r="A709" s="45"/>
      <c r="B709" s="45"/>
      <c r="C709" s="45"/>
      <c r="D709" s="45"/>
      <c r="E709" s="45"/>
      <c r="F709" s="45"/>
    </row>
    <row r="710" ht="15.75" customHeight="1">
      <c r="A710" s="45"/>
      <c r="B710" s="45"/>
      <c r="C710" s="45"/>
      <c r="D710" s="45"/>
      <c r="E710" s="45"/>
      <c r="F710" s="45"/>
    </row>
    <row r="711" ht="15.75" customHeight="1">
      <c r="A711" s="45"/>
      <c r="B711" s="45"/>
      <c r="C711" s="45"/>
      <c r="D711" s="45"/>
      <c r="E711" s="45"/>
      <c r="F711" s="45"/>
    </row>
    <row r="712" ht="15.75" customHeight="1">
      <c r="A712" s="45"/>
      <c r="B712" s="45"/>
      <c r="C712" s="45"/>
      <c r="D712" s="45"/>
      <c r="E712" s="45"/>
      <c r="F712" s="45"/>
    </row>
    <row r="713" ht="15.75" customHeight="1">
      <c r="A713" s="45"/>
      <c r="B713" s="45"/>
      <c r="C713" s="45"/>
      <c r="D713" s="45"/>
      <c r="E713" s="45"/>
      <c r="F713" s="45"/>
    </row>
    <row r="714" ht="15.75" customHeight="1">
      <c r="A714" s="45"/>
      <c r="B714" s="45"/>
      <c r="C714" s="45"/>
      <c r="D714" s="45"/>
      <c r="E714" s="45"/>
      <c r="F714" s="45"/>
    </row>
    <row r="715" ht="15.75" customHeight="1">
      <c r="A715" s="45"/>
      <c r="B715" s="45"/>
      <c r="C715" s="45"/>
      <c r="D715" s="45"/>
      <c r="E715" s="45"/>
      <c r="F715" s="45"/>
    </row>
    <row r="716" ht="15.75" customHeight="1">
      <c r="A716" s="45"/>
      <c r="B716" s="45"/>
      <c r="C716" s="45"/>
      <c r="D716" s="45"/>
      <c r="E716" s="45"/>
      <c r="F716" s="45"/>
    </row>
    <row r="717" ht="15.75" customHeight="1">
      <c r="A717" s="45"/>
      <c r="B717" s="45"/>
      <c r="C717" s="45"/>
      <c r="D717" s="45"/>
      <c r="E717" s="45"/>
      <c r="F717" s="45"/>
    </row>
    <row r="718" ht="15.75" customHeight="1">
      <c r="A718" s="45"/>
      <c r="B718" s="45"/>
      <c r="C718" s="45"/>
      <c r="D718" s="45"/>
      <c r="E718" s="45"/>
      <c r="F718" s="45"/>
    </row>
    <row r="719" ht="15.75" customHeight="1">
      <c r="A719" s="45"/>
      <c r="B719" s="45"/>
      <c r="C719" s="45"/>
      <c r="D719" s="45"/>
      <c r="E719" s="45"/>
      <c r="F719" s="45"/>
    </row>
    <row r="720" ht="15.75" customHeight="1">
      <c r="A720" s="45"/>
      <c r="B720" s="45"/>
      <c r="C720" s="45"/>
      <c r="D720" s="45"/>
      <c r="E720" s="45"/>
      <c r="F720" s="45"/>
    </row>
    <row r="721" ht="15.75" customHeight="1">
      <c r="A721" s="45"/>
      <c r="B721" s="45"/>
      <c r="C721" s="45"/>
      <c r="D721" s="45"/>
      <c r="E721" s="45"/>
      <c r="F721" s="45"/>
    </row>
    <row r="722" ht="15.75" customHeight="1">
      <c r="A722" s="45"/>
      <c r="B722" s="45"/>
      <c r="C722" s="45"/>
      <c r="D722" s="45"/>
      <c r="E722" s="45"/>
      <c r="F722" s="45"/>
    </row>
    <row r="723" ht="15.75" customHeight="1">
      <c r="A723" s="45"/>
      <c r="B723" s="45"/>
      <c r="C723" s="45"/>
      <c r="D723" s="45"/>
      <c r="E723" s="45"/>
      <c r="F723" s="45"/>
    </row>
    <row r="724" ht="15.75" customHeight="1">
      <c r="A724" s="45"/>
      <c r="B724" s="45"/>
      <c r="C724" s="45"/>
      <c r="D724" s="45"/>
      <c r="E724" s="45"/>
      <c r="F724" s="45"/>
    </row>
    <row r="725" ht="15.75" customHeight="1">
      <c r="A725" s="45"/>
      <c r="B725" s="45"/>
      <c r="C725" s="45"/>
      <c r="D725" s="45"/>
      <c r="E725" s="45"/>
      <c r="F725" s="45"/>
    </row>
    <row r="726" ht="15.75" customHeight="1">
      <c r="A726" s="45"/>
      <c r="B726" s="45"/>
      <c r="C726" s="45"/>
      <c r="D726" s="45"/>
      <c r="E726" s="45"/>
      <c r="F726" s="45"/>
    </row>
    <row r="727" ht="15.75" customHeight="1">
      <c r="A727" s="45"/>
      <c r="B727" s="45"/>
      <c r="C727" s="45"/>
      <c r="D727" s="45"/>
      <c r="E727" s="45"/>
      <c r="F727" s="45"/>
    </row>
    <row r="728" ht="15.75" customHeight="1">
      <c r="A728" s="45"/>
      <c r="B728" s="45"/>
      <c r="C728" s="45"/>
      <c r="D728" s="45"/>
      <c r="E728" s="45"/>
      <c r="F728" s="45"/>
    </row>
    <row r="729" ht="15.75" customHeight="1">
      <c r="A729" s="45"/>
      <c r="B729" s="45"/>
      <c r="C729" s="45"/>
      <c r="D729" s="45"/>
      <c r="E729" s="45"/>
      <c r="F729" s="45"/>
    </row>
    <row r="730" ht="15.75" customHeight="1">
      <c r="A730" s="45"/>
      <c r="B730" s="45"/>
      <c r="C730" s="45"/>
      <c r="D730" s="45"/>
      <c r="E730" s="45"/>
      <c r="F730" s="45"/>
    </row>
    <row r="731" ht="15.75" customHeight="1">
      <c r="A731" s="45"/>
      <c r="B731" s="45"/>
      <c r="C731" s="45"/>
      <c r="D731" s="45"/>
      <c r="E731" s="45"/>
      <c r="F731" s="45"/>
    </row>
    <row r="732" ht="15.75" customHeight="1">
      <c r="A732" s="45"/>
      <c r="B732" s="45"/>
      <c r="C732" s="45"/>
      <c r="D732" s="45"/>
      <c r="E732" s="45"/>
      <c r="F732" s="45"/>
    </row>
    <row r="733" ht="15.75" customHeight="1">
      <c r="A733" s="45"/>
      <c r="B733" s="45"/>
      <c r="C733" s="45"/>
      <c r="D733" s="45"/>
      <c r="E733" s="45"/>
      <c r="F733" s="45"/>
    </row>
    <row r="734" ht="15.75" customHeight="1">
      <c r="A734" s="45"/>
      <c r="B734" s="45"/>
      <c r="C734" s="45"/>
      <c r="D734" s="45"/>
      <c r="E734" s="45"/>
      <c r="F734" s="45"/>
    </row>
    <row r="735" ht="15.75" customHeight="1">
      <c r="A735" s="45"/>
      <c r="B735" s="45"/>
      <c r="C735" s="45"/>
      <c r="D735" s="45"/>
      <c r="E735" s="45"/>
      <c r="F735" s="45"/>
    </row>
    <row r="736" ht="15.75" customHeight="1">
      <c r="A736" s="45"/>
      <c r="B736" s="45"/>
      <c r="C736" s="45"/>
      <c r="D736" s="45"/>
      <c r="E736" s="45"/>
      <c r="F736" s="45"/>
    </row>
    <row r="737" ht="15.75" customHeight="1">
      <c r="A737" s="45"/>
      <c r="B737" s="45"/>
      <c r="C737" s="45"/>
      <c r="D737" s="45"/>
      <c r="E737" s="45"/>
      <c r="F737" s="45"/>
    </row>
    <row r="738" ht="15.75" customHeight="1">
      <c r="A738" s="45"/>
      <c r="B738" s="45"/>
      <c r="C738" s="45"/>
      <c r="D738" s="45"/>
      <c r="E738" s="45"/>
      <c r="F738" s="45"/>
    </row>
    <row r="739" ht="15.75" customHeight="1">
      <c r="A739" s="45"/>
      <c r="B739" s="45"/>
      <c r="C739" s="45"/>
      <c r="D739" s="45"/>
      <c r="E739" s="45"/>
      <c r="F739" s="45"/>
    </row>
    <row r="740" ht="15.75" customHeight="1">
      <c r="A740" s="45"/>
      <c r="B740" s="45"/>
      <c r="C740" s="45"/>
      <c r="D740" s="45"/>
      <c r="E740" s="45"/>
      <c r="F740" s="45"/>
    </row>
    <row r="741" ht="15.75" customHeight="1">
      <c r="A741" s="45"/>
      <c r="B741" s="45"/>
      <c r="C741" s="45"/>
      <c r="D741" s="45"/>
      <c r="E741" s="45"/>
      <c r="F741" s="45"/>
    </row>
    <row r="742" ht="15.75" customHeight="1">
      <c r="A742" s="45"/>
      <c r="B742" s="45"/>
      <c r="C742" s="45"/>
      <c r="D742" s="45"/>
      <c r="E742" s="45"/>
      <c r="F742" s="45"/>
    </row>
    <row r="743" ht="15.75" customHeight="1">
      <c r="A743" s="45"/>
      <c r="B743" s="45"/>
      <c r="C743" s="45"/>
      <c r="D743" s="45"/>
      <c r="E743" s="45"/>
      <c r="F743" s="45"/>
    </row>
    <row r="744" ht="15.75" customHeight="1">
      <c r="A744" s="45"/>
      <c r="B744" s="45"/>
      <c r="C744" s="45"/>
      <c r="D744" s="45"/>
      <c r="E744" s="45"/>
      <c r="F744" s="45"/>
    </row>
    <row r="745" ht="15.75" customHeight="1">
      <c r="A745" s="45"/>
      <c r="B745" s="45"/>
      <c r="C745" s="45"/>
      <c r="D745" s="45"/>
      <c r="E745" s="45"/>
      <c r="F745" s="45"/>
    </row>
    <row r="746" ht="15.75" customHeight="1">
      <c r="A746" s="45"/>
      <c r="B746" s="45"/>
      <c r="C746" s="45"/>
      <c r="D746" s="45"/>
      <c r="E746" s="45"/>
      <c r="F746" s="45"/>
    </row>
    <row r="747" ht="15.75" customHeight="1">
      <c r="A747" s="45"/>
      <c r="B747" s="45"/>
      <c r="C747" s="45"/>
      <c r="D747" s="45"/>
      <c r="E747" s="45"/>
      <c r="F747" s="45"/>
    </row>
    <row r="748" ht="15.75" customHeight="1">
      <c r="A748" s="45"/>
      <c r="B748" s="45"/>
      <c r="C748" s="45"/>
      <c r="D748" s="45"/>
      <c r="E748" s="45"/>
      <c r="F748" s="45"/>
    </row>
    <row r="749" ht="15.75" customHeight="1">
      <c r="A749" s="45"/>
      <c r="B749" s="45"/>
      <c r="C749" s="45"/>
      <c r="D749" s="45"/>
      <c r="E749" s="45"/>
      <c r="F749" s="45"/>
    </row>
    <row r="750" ht="15.75" customHeight="1">
      <c r="A750" s="45"/>
      <c r="B750" s="45"/>
      <c r="C750" s="45"/>
      <c r="D750" s="45"/>
      <c r="E750" s="45"/>
      <c r="F750" s="45"/>
    </row>
    <row r="751" ht="15.75" customHeight="1">
      <c r="A751" s="45"/>
      <c r="B751" s="45"/>
      <c r="C751" s="45"/>
      <c r="D751" s="45"/>
      <c r="E751" s="45"/>
      <c r="F751" s="45"/>
    </row>
    <row r="752" ht="15.75" customHeight="1">
      <c r="A752" s="45"/>
      <c r="B752" s="45"/>
      <c r="C752" s="45"/>
      <c r="D752" s="45"/>
      <c r="E752" s="45"/>
      <c r="F752" s="45"/>
    </row>
    <row r="753" ht="15.75" customHeight="1">
      <c r="A753" s="45"/>
      <c r="B753" s="45"/>
      <c r="C753" s="45"/>
      <c r="D753" s="45"/>
      <c r="E753" s="45"/>
      <c r="F753" s="45"/>
    </row>
    <row r="754" ht="15.75" customHeight="1">
      <c r="A754" s="45"/>
      <c r="B754" s="45"/>
      <c r="C754" s="45"/>
      <c r="D754" s="45"/>
      <c r="E754" s="45"/>
      <c r="F754" s="45"/>
    </row>
    <row r="755" ht="15.75" customHeight="1">
      <c r="A755" s="45"/>
      <c r="B755" s="45"/>
      <c r="C755" s="45"/>
      <c r="D755" s="45"/>
      <c r="E755" s="45"/>
      <c r="F755" s="45"/>
    </row>
    <row r="756" ht="15.75" customHeight="1">
      <c r="A756" s="45"/>
      <c r="B756" s="45"/>
      <c r="C756" s="45"/>
      <c r="D756" s="45"/>
      <c r="E756" s="45"/>
      <c r="F756" s="45"/>
    </row>
    <row r="757" ht="15.75" customHeight="1">
      <c r="A757" s="45"/>
      <c r="B757" s="45"/>
      <c r="C757" s="45"/>
      <c r="D757" s="45"/>
      <c r="E757" s="45"/>
      <c r="F757" s="45"/>
    </row>
    <row r="758" ht="15.75" customHeight="1">
      <c r="A758" s="45"/>
      <c r="B758" s="45"/>
      <c r="C758" s="45"/>
      <c r="D758" s="45"/>
      <c r="E758" s="45"/>
      <c r="F758" s="45"/>
    </row>
    <row r="759" ht="15.75" customHeight="1">
      <c r="A759" s="45"/>
      <c r="B759" s="45"/>
      <c r="C759" s="45"/>
      <c r="D759" s="45"/>
      <c r="E759" s="45"/>
      <c r="F759" s="45"/>
    </row>
    <row r="760" ht="15.75" customHeight="1">
      <c r="A760" s="45"/>
      <c r="B760" s="45"/>
      <c r="C760" s="45"/>
      <c r="D760" s="45"/>
      <c r="E760" s="45"/>
      <c r="F760" s="45"/>
    </row>
    <row r="761" ht="15.75" customHeight="1">
      <c r="A761" s="45"/>
      <c r="B761" s="45"/>
      <c r="C761" s="45"/>
      <c r="D761" s="45"/>
      <c r="E761" s="45"/>
      <c r="F761" s="45"/>
    </row>
    <row r="762" ht="15.75" customHeight="1">
      <c r="A762" s="45"/>
      <c r="B762" s="45"/>
      <c r="C762" s="45"/>
      <c r="D762" s="45"/>
      <c r="E762" s="45"/>
      <c r="F762" s="45"/>
    </row>
    <row r="763" ht="15.75" customHeight="1">
      <c r="A763" s="45"/>
      <c r="B763" s="45"/>
      <c r="C763" s="45"/>
      <c r="D763" s="45"/>
      <c r="E763" s="45"/>
      <c r="F763" s="45"/>
    </row>
    <row r="764" ht="15.75" customHeight="1">
      <c r="A764" s="45"/>
      <c r="B764" s="45"/>
      <c r="C764" s="45"/>
      <c r="D764" s="45"/>
      <c r="E764" s="45"/>
      <c r="F764" s="45"/>
    </row>
    <row r="765" ht="15.75" customHeight="1">
      <c r="A765" s="45"/>
      <c r="B765" s="45"/>
      <c r="C765" s="45"/>
      <c r="D765" s="45"/>
      <c r="E765" s="45"/>
      <c r="F765" s="45"/>
    </row>
    <row r="766" ht="15.75" customHeight="1">
      <c r="A766" s="45"/>
      <c r="B766" s="45"/>
      <c r="C766" s="45"/>
      <c r="D766" s="45"/>
      <c r="E766" s="45"/>
      <c r="F766" s="45"/>
    </row>
    <row r="767" ht="15.75" customHeight="1">
      <c r="A767" s="45"/>
      <c r="B767" s="45"/>
      <c r="C767" s="45"/>
      <c r="D767" s="45"/>
      <c r="E767" s="45"/>
      <c r="F767" s="45"/>
    </row>
    <row r="768" ht="15.75" customHeight="1">
      <c r="A768" s="45"/>
      <c r="B768" s="45"/>
      <c r="C768" s="45"/>
      <c r="D768" s="45"/>
      <c r="E768" s="45"/>
      <c r="F768" s="45"/>
    </row>
    <row r="769" ht="15.75" customHeight="1">
      <c r="A769" s="45"/>
      <c r="B769" s="45"/>
      <c r="C769" s="45"/>
      <c r="D769" s="45"/>
      <c r="E769" s="45"/>
      <c r="F769" s="45"/>
    </row>
    <row r="770" ht="15.75" customHeight="1">
      <c r="A770" s="45"/>
      <c r="B770" s="45"/>
      <c r="C770" s="45"/>
      <c r="D770" s="45"/>
      <c r="E770" s="45"/>
      <c r="F770" s="45"/>
    </row>
    <row r="771" ht="15.75" customHeight="1">
      <c r="A771" s="45"/>
      <c r="B771" s="45"/>
      <c r="C771" s="45"/>
      <c r="D771" s="45"/>
      <c r="E771" s="45"/>
      <c r="F771" s="45"/>
    </row>
    <row r="772" ht="15.75" customHeight="1">
      <c r="A772" s="45"/>
      <c r="B772" s="45"/>
      <c r="C772" s="45"/>
      <c r="D772" s="45"/>
      <c r="E772" s="45"/>
      <c r="F772" s="45"/>
    </row>
    <row r="773" ht="15.75" customHeight="1">
      <c r="A773" s="45"/>
      <c r="B773" s="45"/>
      <c r="C773" s="45"/>
      <c r="D773" s="45"/>
      <c r="E773" s="45"/>
      <c r="F773" s="45"/>
    </row>
    <row r="774" ht="15.75" customHeight="1">
      <c r="A774" s="45"/>
      <c r="B774" s="45"/>
      <c r="C774" s="45"/>
      <c r="D774" s="45"/>
      <c r="E774" s="45"/>
      <c r="F774" s="45"/>
    </row>
    <row r="775" ht="15.75" customHeight="1">
      <c r="A775" s="45"/>
      <c r="B775" s="45"/>
      <c r="C775" s="45"/>
      <c r="D775" s="45"/>
      <c r="E775" s="45"/>
      <c r="F775" s="45"/>
    </row>
    <row r="776" ht="15.75" customHeight="1">
      <c r="A776" s="45"/>
      <c r="B776" s="45"/>
      <c r="C776" s="45"/>
      <c r="D776" s="45"/>
      <c r="E776" s="45"/>
      <c r="F776" s="45"/>
    </row>
    <row r="777" ht="15.75" customHeight="1">
      <c r="A777" s="45"/>
      <c r="B777" s="45"/>
      <c r="C777" s="45"/>
      <c r="D777" s="45"/>
      <c r="E777" s="45"/>
      <c r="F777" s="45"/>
    </row>
    <row r="778" ht="15.75" customHeight="1">
      <c r="A778" s="45"/>
      <c r="B778" s="45"/>
      <c r="C778" s="45"/>
      <c r="D778" s="45"/>
      <c r="E778" s="45"/>
      <c r="F778" s="45"/>
    </row>
    <row r="779" ht="15.75" customHeight="1">
      <c r="A779" s="45"/>
      <c r="B779" s="45"/>
      <c r="C779" s="45"/>
      <c r="D779" s="45"/>
      <c r="E779" s="45"/>
      <c r="F779" s="45"/>
    </row>
    <row r="780" ht="15.75" customHeight="1">
      <c r="A780" s="45"/>
      <c r="B780" s="45"/>
      <c r="C780" s="45"/>
      <c r="D780" s="45"/>
      <c r="E780" s="45"/>
      <c r="F780" s="45"/>
    </row>
    <row r="781" ht="15.75" customHeight="1">
      <c r="A781" s="45"/>
      <c r="B781" s="45"/>
      <c r="C781" s="45"/>
      <c r="D781" s="45"/>
      <c r="E781" s="45"/>
      <c r="F781" s="45"/>
    </row>
    <row r="782" ht="15.75" customHeight="1">
      <c r="A782" s="45"/>
      <c r="B782" s="45"/>
      <c r="C782" s="45"/>
      <c r="D782" s="45"/>
      <c r="E782" s="45"/>
      <c r="F782" s="45"/>
    </row>
    <row r="783" ht="15.75" customHeight="1">
      <c r="A783" s="45"/>
      <c r="B783" s="45"/>
      <c r="C783" s="45"/>
      <c r="D783" s="45"/>
      <c r="E783" s="45"/>
      <c r="F783" s="45"/>
    </row>
    <row r="784" ht="15.75" customHeight="1">
      <c r="A784" s="45"/>
      <c r="B784" s="45"/>
      <c r="C784" s="45"/>
      <c r="D784" s="45"/>
      <c r="E784" s="45"/>
      <c r="F784" s="45"/>
    </row>
    <row r="785" ht="15.75" customHeight="1">
      <c r="A785" s="45"/>
      <c r="B785" s="45"/>
      <c r="C785" s="45"/>
      <c r="D785" s="45"/>
      <c r="E785" s="45"/>
      <c r="F785" s="45"/>
    </row>
    <row r="786" ht="15.75" customHeight="1">
      <c r="A786" s="45"/>
      <c r="B786" s="45"/>
      <c r="C786" s="45"/>
      <c r="D786" s="45"/>
      <c r="E786" s="45"/>
      <c r="F786" s="45"/>
    </row>
    <row r="787" ht="15.75" customHeight="1">
      <c r="A787" s="45"/>
      <c r="B787" s="45"/>
      <c r="C787" s="45"/>
      <c r="D787" s="45"/>
      <c r="E787" s="45"/>
      <c r="F787" s="45"/>
    </row>
    <row r="788" ht="15.75" customHeight="1">
      <c r="A788" s="45"/>
      <c r="B788" s="45"/>
      <c r="C788" s="45"/>
      <c r="D788" s="45"/>
      <c r="E788" s="45"/>
      <c r="F788" s="45"/>
    </row>
    <row r="789" ht="15.75" customHeight="1">
      <c r="A789" s="45"/>
      <c r="B789" s="45"/>
      <c r="C789" s="45"/>
      <c r="D789" s="45"/>
      <c r="E789" s="45"/>
      <c r="F789" s="45"/>
    </row>
    <row r="790" ht="15.75" customHeight="1">
      <c r="A790" s="45"/>
      <c r="B790" s="45"/>
      <c r="C790" s="45"/>
      <c r="D790" s="45"/>
      <c r="E790" s="45"/>
      <c r="F790" s="45"/>
    </row>
    <row r="791" ht="15.75" customHeight="1">
      <c r="A791" s="45"/>
      <c r="B791" s="45"/>
      <c r="C791" s="45"/>
      <c r="D791" s="45"/>
      <c r="E791" s="45"/>
      <c r="F791" s="45"/>
    </row>
    <row r="792" ht="15.75" customHeight="1">
      <c r="A792" s="45"/>
      <c r="B792" s="45"/>
      <c r="C792" s="45"/>
      <c r="D792" s="45"/>
      <c r="E792" s="45"/>
      <c r="F792" s="45"/>
    </row>
    <row r="793" ht="15.75" customHeight="1">
      <c r="A793" s="45"/>
      <c r="B793" s="45"/>
      <c r="C793" s="45"/>
      <c r="D793" s="45"/>
      <c r="E793" s="45"/>
      <c r="F793" s="45"/>
    </row>
    <row r="794" ht="15.75" customHeight="1">
      <c r="A794" s="45"/>
      <c r="B794" s="45"/>
      <c r="C794" s="45"/>
      <c r="D794" s="45"/>
      <c r="E794" s="45"/>
      <c r="F794" s="45"/>
    </row>
    <row r="795" ht="15.75" customHeight="1">
      <c r="A795" s="45"/>
      <c r="B795" s="45"/>
      <c r="C795" s="45"/>
      <c r="D795" s="45"/>
      <c r="E795" s="45"/>
      <c r="F795" s="45"/>
    </row>
    <row r="796" ht="15.75" customHeight="1">
      <c r="A796" s="45"/>
      <c r="B796" s="45"/>
      <c r="C796" s="45"/>
      <c r="D796" s="45"/>
      <c r="E796" s="45"/>
      <c r="F796" s="45"/>
    </row>
    <row r="797" ht="15.75" customHeight="1">
      <c r="A797" s="45"/>
      <c r="B797" s="45"/>
      <c r="C797" s="45"/>
      <c r="D797" s="45"/>
      <c r="E797" s="45"/>
      <c r="F797" s="45"/>
    </row>
    <row r="798" ht="15.75" customHeight="1">
      <c r="A798" s="45"/>
      <c r="B798" s="45"/>
      <c r="C798" s="45"/>
      <c r="D798" s="45"/>
      <c r="E798" s="45"/>
      <c r="F798" s="45"/>
    </row>
    <row r="799" ht="15.75" customHeight="1">
      <c r="A799" s="45"/>
      <c r="B799" s="45"/>
      <c r="C799" s="45"/>
      <c r="D799" s="45"/>
      <c r="E799" s="45"/>
      <c r="F799" s="45"/>
    </row>
    <row r="800" ht="15.75" customHeight="1">
      <c r="A800" s="45"/>
      <c r="B800" s="45"/>
      <c r="C800" s="45"/>
      <c r="D800" s="45"/>
      <c r="E800" s="45"/>
      <c r="F800" s="45"/>
    </row>
    <row r="801" ht="15.75" customHeight="1">
      <c r="A801" s="45"/>
      <c r="B801" s="45"/>
      <c r="C801" s="45"/>
      <c r="D801" s="45"/>
      <c r="E801" s="45"/>
      <c r="F801" s="45"/>
    </row>
    <row r="802" ht="15.75" customHeight="1">
      <c r="A802" s="45"/>
      <c r="B802" s="45"/>
      <c r="C802" s="45"/>
      <c r="D802" s="45"/>
      <c r="E802" s="45"/>
      <c r="F802" s="45"/>
    </row>
    <row r="803" ht="15.75" customHeight="1">
      <c r="A803" s="45"/>
      <c r="B803" s="45"/>
      <c r="C803" s="45"/>
      <c r="D803" s="45"/>
      <c r="E803" s="45"/>
      <c r="F803" s="45"/>
    </row>
    <row r="804" ht="15.75" customHeight="1">
      <c r="A804" s="45"/>
      <c r="B804" s="45"/>
      <c r="C804" s="45"/>
      <c r="D804" s="45"/>
      <c r="E804" s="45"/>
      <c r="F804" s="45"/>
    </row>
    <row r="805" ht="15.75" customHeight="1">
      <c r="A805" s="45"/>
      <c r="B805" s="45"/>
      <c r="C805" s="45"/>
      <c r="D805" s="45"/>
      <c r="E805" s="45"/>
      <c r="F805" s="45"/>
    </row>
    <row r="806" ht="15.75" customHeight="1">
      <c r="A806" s="45"/>
      <c r="B806" s="45"/>
      <c r="C806" s="45"/>
      <c r="D806" s="45"/>
      <c r="E806" s="45"/>
      <c r="F806" s="45"/>
    </row>
    <row r="807" ht="15.75" customHeight="1">
      <c r="A807" s="45"/>
      <c r="B807" s="45"/>
      <c r="C807" s="45"/>
      <c r="D807" s="45"/>
      <c r="E807" s="45"/>
      <c r="F807" s="45"/>
    </row>
    <row r="808" ht="15.75" customHeight="1">
      <c r="A808" s="45"/>
      <c r="B808" s="45"/>
      <c r="C808" s="45"/>
      <c r="D808" s="45"/>
      <c r="E808" s="45"/>
      <c r="F808" s="45"/>
    </row>
    <row r="809" ht="15.75" customHeight="1">
      <c r="A809" s="45"/>
      <c r="B809" s="45"/>
      <c r="C809" s="45"/>
      <c r="D809" s="45"/>
      <c r="E809" s="45"/>
      <c r="F809" s="45"/>
    </row>
    <row r="810" ht="15.75" customHeight="1">
      <c r="A810" s="45"/>
      <c r="B810" s="45"/>
      <c r="C810" s="45"/>
      <c r="D810" s="45"/>
      <c r="E810" s="45"/>
      <c r="F810" s="45"/>
    </row>
    <row r="811" ht="15.75" customHeight="1">
      <c r="A811" s="45"/>
      <c r="B811" s="45"/>
      <c r="C811" s="45"/>
      <c r="D811" s="45"/>
      <c r="E811" s="45"/>
      <c r="F811" s="45"/>
    </row>
    <row r="812" ht="15.75" customHeight="1">
      <c r="A812" s="45"/>
      <c r="B812" s="45"/>
      <c r="C812" s="45"/>
      <c r="D812" s="45"/>
      <c r="E812" s="45"/>
      <c r="F812" s="45"/>
    </row>
    <row r="813" ht="15.75" customHeight="1">
      <c r="A813" s="45"/>
      <c r="B813" s="45"/>
      <c r="C813" s="45"/>
      <c r="D813" s="45"/>
      <c r="E813" s="45"/>
      <c r="F813" s="45"/>
    </row>
    <row r="814" ht="15.75" customHeight="1">
      <c r="A814" s="45"/>
      <c r="B814" s="45"/>
      <c r="C814" s="45"/>
      <c r="D814" s="45"/>
      <c r="E814" s="45"/>
      <c r="F814" s="45"/>
    </row>
    <row r="815" ht="15.75" customHeight="1">
      <c r="A815" s="45"/>
      <c r="B815" s="45"/>
      <c r="C815" s="45"/>
      <c r="D815" s="45"/>
      <c r="E815" s="45"/>
      <c r="F815" s="45"/>
    </row>
    <row r="816" ht="15.75" customHeight="1">
      <c r="A816" s="45"/>
      <c r="B816" s="45"/>
      <c r="C816" s="45"/>
      <c r="D816" s="45"/>
      <c r="E816" s="45"/>
      <c r="F816" s="45"/>
    </row>
    <row r="817" ht="15.75" customHeight="1">
      <c r="A817" s="45"/>
      <c r="B817" s="45"/>
      <c r="C817" s="45"/>
      <c r="D817" s="45"/>
      <c r="E817" s="45"/>
      <c r="F817" s="45"/>
    </row>
    <row r="818" ht="15.75" customHeight="1">
      <c r="A818" s="45"/>
      <c r="B818" s="45"/>
      <c r="C818" s="45"/>
      <c r="D818" s="45"/>
      <c r="E818" s="45"/>
      <c r="F818" s="45"/>
    </row>
    <row r="819" ht="15.75" customHeight="1">
      <c r="A819" s="45"/>
      <c r="B819" s="45"/>
      <c r="C819" s="45"/>
      <c r="D819" s="45"/>
      <c r="E819" s="45"/>
      <c r="F819" s="45"/>
    </row>
    <row r="820" ht="15.75" customHeight="1">
      <c r="A820" s="45"/>
      <c r="B820" s="45"/>
      <c r="C820" s="45"/>
      <c r="D820" s="45"/>
      <c r="E820" s="45"/>
      <c r="F820" s="45"/>
    </row>
    <row r="821" ht="15.75" customHeight="1">
      <c r="A821" s="45"/>
      <c r="B821" s="45"/>
      <c r="C821" s="45"/>
      <c r="D821" s="45"/>
      <c r="E821" s="45"/>
      <c r="F821" s="45"/>
    </row>
    <row r="822" ht="15.75" customHeight="1">
      <c r="A822" s="45"/>
      <c r="B822" s="45"/>
      <c r="C822" s="45"/>
      <c r="D822" s="45"/>
      <c r="E822" s="45"/>
      <c r="F822" s="45"/>
    </row>
    <row r="823" ht="15.75" customHeight="1">
      <c r="A823" s="45"/>
      <c r="B823" s="45"/>
      <c r="C823" s="45"/>
      <c r="D823" s="45"/>
      <c r="E823" s="45"/>
      <c r="F823" s="45"/>
    </row>
    <row r="824" ht="15.75" customHeight="1">
      <c r="A824" s="45"/>
      <c r="B824" s="45"/>
      <c r="C824" s="45"/>
      <c r="D824" s="45"/>
      <c r="E824" s="45"/>
      <c r="F824" s="45"/>
    </row>
    <row r="825" ht="15.75" customHeight="1">
      <c r="A825" s="45"/>
      <c r="B825" s="45"/>
      <c r="C825" s="45"/>
      <c r="D825" s="45"/>
      <c r="E825" s="45"/>
      <c r="F825" s="45"/>
    </row>
    <row r="826" ht="15.75" customHeight="1">
      <c r="A826" s="45"/>
      <c r="B826" s="45"/>
      <c r="C826" s="45"/>
      <c r="D826" s="45"/>
      <c r="E826" s="45"/>
      <c r="F826" s="45"/>
    </row>
    <row r="827" ht="15.75" customHeight="1">
      <c r="A827" s="45"/>
      <c r="B827" s="45"/>
      <c r="C827" s="45"/>
      <c r="D827" s="45"/>
      <c r="E827" s="45"/>
      <c r="F827" s="45"/>
    </row>
    <row r="828" ht="15.75" customHeight="1">
      <c r="A828" s="45"/>
      <c r="B828" s="45"/>
      <c r="C828" s="45"/>
      <c r="D828" s="45"/>
      <c r="E828" s="45"/>
      <c r="F828" s="45"/>
    </row>
    <row r="829" ht="15.75" customHeight="1">
      <c r="A829" s="45"/>
      <c r="B829" s="45"/>
      <c r="C829" s="45"/>
      <c r="D829" s="45"/>
      <c r="E829" s="45"/>
      <c r="F829" s="45"/>
    </row>
    <row r="830" ht="15.75" customHeight="1">
      <c r="A830" s="45"/>
      <c r="B830" s="45"/>
      <c r="C830" s="45"/>
      <c r="D830" s="45"/>
      <c r="E830" s="45"/>
      <c r="F830" s="45"/>
    </row>
    <row r="831" ht="15.75" customHeight="1">
      <c r="A831" s="45"/>
      <c r="B831" s="45"/>
      <c r="C831" s="45"/>
      <c r="D831" s="45"/>
      <c r="E831" s="45"/>
      <c r="F831" s="45"/>
    </row>
    <row r="832" ht="15.75" customHeight="1">
      <c r="A832" s="45"/>
      <c r="B832" s="45"/>
      <c r="C832" s="45"/>
      <c r="D832" s="45"/>
      <c r="E832" s="45"/>
      <c r="F832" s="45"/>
    </row>
    <row r="833" ht="15.75" customHeight="1">
      <c r="A833" s="45"/>
      <c r="B833" s="45"/>
      <c r="C833" s="45"/>
      <c r="D833" s="45"/>
      <c r="E833" s="45"/>
      <c r="F833" s="45"/>
    </row>
    <row r="834" ht="15.75" customHeight="1">
      <c r="A834" s="45"/>
      <c r="B834" s="45"/>
      <c r="C834" s="45"/>
      <c r="D834" s="45"/>
      <c r="E834" s="45"/>
      <c r="F834" s="45"/>
    </row>
    <row r="835" ht="15.75" customHeight="1">
      <c r="A835" s="45"/>
      <c r="B835" s="45"/>
      <c r="C835" s="45"/>
      <c r="D835" s="45"/>
      <c r="E835" s="45"/>
      <c r="F835" s="45"/>
    </row>
    <row r="836" ht="15.75" customHeight="1">
      <c r="A836" s="45"/>
      <c r="B836" s="45"/>
      <c r="C836" s="45"/>
      <c r="D836" s="45"/>
      <c r="E836" s="45"/>
      <c r="F836" s="45"/>
    </row>
    <row r="837" ht="15.75" customHeight="1">
      <c r="A837" s="45"/>
      <c r="B837" s="45"/>
      <c r="C837" s="45"/>
      <c r="D837" s="45"/>
      <c r="E837" s="45"/>
      <c r="F837" s="45"/>
    </row>
    <row r="838" ht="15.75" customHeight="1">
      <c r="A838" s="45"/>
      <c r="B838" s="45"/>
      <c r="C838" s="45"/>
      <c r="D838" s="45"/>
      <c r="E838" s="45"/>
      <c r="F838" s="45"/>
    </row>
    <row r="839" ht="15.75" customHeight="1">
      <c r="A839" s="45"/>
      <c r="B839" s="45"/>
      <c r="C839" s="45"/>
      <c r="D839" s="45"/>
      <c r="E839" s="45"/>
      <c r="F839" s="45"/>
    </row>
    <row r="840" ht="15.75" customHeight="1">
      <c r="A840" s="45"/>
      <c r="B840" s="45"/>
      <c r="C840" s="45"/>
      <c r="D840" s="45"/>
      <c r="E840" s="45"/>
      <c r="F840" s="45"/>
    </row>
    <row r="841" ht="15.75" customHeight="1">
      <c r="A841" s="45"/>
      <c r="B841" s="45"/>
      <c r="C841" s="45"/>
      <c r="D841" s="45"/>
      <c r="E841" s="45"/>
      <c r="F841" s="45"/>
    </row>
    <row r="842" ht="15.75" customHeight="1">
      <c r="A842" s="45"/>
      <c r="B842" s="45"/>
      <c r="C842" s="45"/>
      <c r="D842" s="45"/>
      <c r="E842" s="45"/>
      <c r="F842" s="45"/>
    </row>
    <row r="843" ht="15.75" customHeight="1">
      <c r="A843" s="45"/>
      <c r="B843" s="45"/>
      <c r="C843" s="45"/>
      <c r="D843" s="45"/>
      <c r="E843" s="45"/>
      <c r="F843" s="45"/>
    </row>
    <row r="844" ht="15.75" customHeight="1">
      <c r="A844" s="45"/>
      <c r="B844" s="45"/>
      <c r="C844" s="45"/>
      <c r="D844" s="45"/>
      <c r="E844" s="45"/>
      <c r="F844" s="45"/>
    </row>
    <row r="845" ht="15.75" customHeight="1">
      <c r="A845" s="45"/>
      <c r="B845" s="45"/>
      <c r="C845" s="45"/>
      <c r="D845" s="45"/>
      <c r="E845" s="45"/>
      <c r="F845" s="45"/>
    </row>
    <row r="846" ht="15.75" customHeight="1">
      <c r="A846" s="45"/>
      <c r="B846" s="45"/>
      <c r="C846" s="45"/>
      <c r="D846" s="45"/>
      <c r="E846" s="45"/>
      <c r="F846" s="45"/>
    </row>
    <row r="847" ht="15.75" customHeight="1">
      <c r="A847" s="45"/>
      <c r="B847" s="45"/>
      <c r="C847" s="45"/>
      <c r="D847" s="45"/>
      <c r="E847" s="45"/>
      <c r="F847" s="45"/>
    </row>
    <row r="848" ht="15.75" customHeight="1">
      <c r="A848" s="45"/>
      <c r="B848" s="45"/>
      <c r="C848" s="45"/>
      <c r="D848" s="45"/>
      <c r="E848" s="45"/>
      <c r="F848" s="45"/>
    </row>
    <row r="849" ht="15.75" customHeight="1">
      <c r="A849" s="45"/>
      <c r="B849" s="45"/>
      <c r="C849" s="45"/>
      <c r="D849" s="45"/>
      <c r="E849" s="45"/>
      <c r="F849" s="45"/>
    </row>
    <row r="850" ht="15.75" customHeight="1">
      <c r="A850" s="45"/>
      <c r="B850" s="45"/>
      <c r="C850" s="45"/>
      <c r="D850" s="45"/>
      <c r="E850" s="45"/>
      <c r="F850" s="45"/>
    </row>
    <row r="851" ht="15.75" customHeight="1">
      <c r="A851" s="45"/>
      <c r="B851" s="45"/>
      <c r="C851" s="45"/>
      <c r="D851" s="45"/>
      <c r="E851" s="45"/>
      <c r="F851" s="45"/>
    </row>
    <row r="852" ht="15.75" customHeight="1">
      <c r="A852" s="45"/>
      <c r="B852" s="45"/>
      <c r="C852" s="45"/>
      <c r="D852" s="45"/>
      <c r="E852" s="45"/>
      <c r="F852" s="45"/>
    </row>
    <row r="853" ht="15.75" customHeight="1">
      <c r="A853" s="45"/>
      <c r="B853" s="45"/>
      <c r="C853" s="45"/>
      <c r="D853" s="45"/>
      <c r="E853" s="45"/>
      <c r="F853" s="45"/>
    </row>
    <row r="854" ht="15.75" customHeight="1">
      <c r="A854" s="45"/>
      <c r="B854" s="45"/>
      <c r="C854" s="45"/>
      <c r="D854" s="45"/>
      <c r="E854" s="45"/>
      <c r="F854" s="45"/>
    </row>
    <row r="855" ht="15.75" customHeight="1">
      <c r="A855" s="45"/>
      <c r="B855" s="45"/>
      <c r="C855" s="45"/>
      <c r="D855" s="45"/>
      <c r="E855" s="45"/>
      <c r="F855" s="45"/>
    </row>
    <row r="856" ht="15.75" customHeight="1">
      <c r="A856" s="45"/>
      <c r="B856" s="45"/>
      <c r="C856" s="45"/>
      <c r="D856" s="45"/>
      <c r="E856" s="45"/>
      <c r="F856" s="45"/>
    </row>
    <row r="857" ht="15.75" customHeight="1">
      <c r="A857" s="45"/>
      <c r="B857" s="45"/>
      <c r="C857" s="45"/>
      <c r="D857" s="45"/>
      <c r="E857" s="45"/>
      <c r="F857" s="45"/>
    </row>
    <row r="858" ht="15.75" customHeight="1">
      <c r="A858" s="45"/>
      <c r="B858" s="45"/>
      <c r="C858" s="45"/>
      <c r="D858" s="45"/>
      <c r="E858" s="45"/>
      <c r="F858" s="45"/>
    </row>
    <row r="859" ht="15.75" customHeight="1">
      <c r="A859" s="45"/>
      <c r="B859" s="45"/>
      <c r="C859" s="45"/>
      <c r="D859" s="45"/>
      <c r="E859" s="45"/>
      <c r="F859" s="45"/>
    </row>
    <row r="860" ht="15.75" customHeight="1">
      <c r="A860" s="45"/>
      <c r="B860" s="45"/>
      <c r="C860" s="45"/>
      <c r="D860" s="45"/>
      <c r="E860" s="45"/>
      <c r="F860" s="45"/>
    </row>
    <row r="861" ht="15.75" customHeight="1">
      <c r="A861" s="45"/>
      <c r="B861" s="45"/>
      <c r="C861" s="45"/>
      <c r="D861" s="45"/>
      <c r="E861" s="45"/>
      <c r="F861" s="45"/>
    </row>
    <row r="862" ht="15.75" customHeight="1">
      <c r="A862" s="45"/>
      <c r="B862" s="45"/>
      <c r="C862" s="45"/>
      <c r="D862" s="45"/>
      <c r="E862" s="45"/>
      <c r="F862" s="45"/>
    </row>
    <row r="863" ht="15.75" customHeight="1">
      <c r="A863" s="45"/>
      <c r="B863" s="45"/>
      <c r="C863" s="45"/>
      <c r="D863" s="45"/>
      <c r="E863" s="45"/>
      <c r="F863" s="45"/>
    </row>
    <row r="864" ht="15.75" customHeight="1">
      <c r="A864" s="45"/>
      <c r="B864" s="45"/>
      <c r="C864" s="45"/>
      <c r="D864" s="45"/>
      <c r="E864" s="45"/>
      <c r="F864" s="45"/>
    </row>
    <row r="865" ht="15.75" customHeight="1">
      <c r="A865" s="45"/>
      <c r="B865" s="45"/>
      <c r="C865" s="45"/>
      <c r="D865" s="45"/>
      <c r="E865" s="45"/>
      <c r="F865" s="45"/>
    </row>
    <row r="866" ht="15.75" customHeight="1">
      <c r="A866" s="45"/>
      <c r="B866" s="45"/>
      <c r="C866" s="45"/>
      <c r="D866" s="45"/>
      <c r="E866" s="45"/>
      <c r="F866" s="45"/>
    </row>
    <row r="867" ht="15.75" customHeight="1">
      <c r="A867" s="45"/>
      <c r="B867" s="45"/>
      <c r="C867" s="45"/>
      <c r="D867" s="45"/>
      <c r="E867" s="45"/>
      <c r="F867" s="45"/>
    </row>
    <row r="868" ht="15.75" customHeight="1">
      <c r="A868" s="45"/>
      <c r="B868" s="45"/>
      <c r="C868" s="45"/>
      <c r="D868" s="45"/>
      <c r="E868" s="45"/>
      <c r="F868" s="45"/>
    </row>
    <row r="869" ht="15.75" customHeight="1">
      <c r="A869" s="45"/>
      <c r="B869" s="45"/>
      <c r="C869" s="45"/>
      <c r="D869" s="45"/>
      <c r="E869" s="45"/>
      <c r="F869" s="45"/>
    </row>
    <row r="870" ht="15.75" customHeight="1">
      <c r="A870" s="45"/>
      <c r="B870" s="45"/>
      <c r="C870" s="45"/>
      <c r="D870" s="45"/>
      <c r="E870" s="45"/>
      <c r="F870" s="45"/>
    </row>
    <row r="871" ht="15.75" customHeight="1">
      <c r="A871" s="45"/>
      <c r="B871" s="45"/>
      <c r="C871" s="45"/>
      <c r="D871" s="45"/>
      <c r="E871" s="45"/>
      <c r="F871" s="45"/>
    </row>
    <row r="872" ht="15.75" customHeight="1">
      <c r="A872" s="45"/>
      <c r="B872" s="45"/>
      <c r="C872" s="45"/>
      <c r="D872" s="45"/>
      <c r="E872" s="45"/>
      <c r="F872" s="45"/>
    </row>
    <row r="873" ht="15.75" customHeight="1">
      <c r="A873" s="45"/>
      <c r="B873" s="45"/>
      <c r="C873" s="45"/>
      <c r="D873" s="45"/>
      <c r="E873" s="45"/>
      <c r="F873" s="45"/>
    </row>
    <row r="874" ht="15.75" customHeight="1">
      <c r="A874" s="45"/>
      <c r="B874" s="45"/>
      <c r="C874" s="45"/>
      <c r="D874" s="45"/>
      <c r="E874" s="45"/>
      <c r="F874" s="45"/>
    </row>
    <row r="875" ht="15.75" customHeight="1">
      <c r="A875" s="45"/>
      <c r="B875" s="45"/>
      <c r="C875" s="45"/>
      <c r="D875" s="45"/>
      <c r="E875" s="45"/>
      <c r="F875" s="45"/>
    </row>
    <row r="876" ht="15.75" customHeight="1">
      <c r="A876" s="45"/>
      <c r="B876" s="45"/>
      <c r="C876" s="45"/>
      <c r="D876" s="45"/>
      <c r="E876" s="45"/>
      <c r="F876" s="45"/>
    </row>
    <row r="877" ht="15.75" customHeight="1">
      <c r="A877" s="45"/>
      <c r="B877" s="45"/>
      <c r="C877" s="45"/>
      <c r="D877" s="45"/>
      <c r="E877" s="45"/>
      <c r="F877" s="45"/>
    </row>
    <row r="878" ht="15.75" customHeight="1">
      <c r="A878" s="45"/>
      <c r="B878" s="45"/>
      <c r="C878" s="45"/>
      <c r="D878" s="45"/>
      <c r="E878" s="45"/>
      <c r="F878" s="45"/>
    </row>
    <row r="879" ht="15.75" customHeight="1">
      <c r="A879" s="45"/>
      <c r="B879" s="45"/>
      <c r="C879" s="45"/>
      <c r="D879" s="45"/>
      <c r="E879" s="45"/>
      <c r="F879" s="45"/>
    </row>
    <row r="880" ht="15.75" customHeight="1">
      <c r="A880" s="45"/>
      <c r="B880" s="45"/>
      <c r="C880" s="45"/>
      <c r="D880" s="45"/>
      <c r="E880" s="45"/>
      <c r="F880" s="45"/>
    </row>
    <row r="881" ht="15.75" customHeight="1">
      <c r="A881" s="45"/>
      <c r="B881" s="45"/>
      <c r="C881" s="45"/>
      <c r="D881" s="45"/>
      <c r="E881" s="45"/>
      <c r="F881" s="45"/>
    </row>
    <row r="882" ht="15.75" customHeight="1">
      <c r="A882" s="45"/>
      <c r="B882" s="45"/>
      <c r="C882" s="45"/>
      <c r="D882" s="45"/>
      <c r="E882" s="45"/>
      <c r="F882" s="45"/>
    </row>
    <row r="883" ht="15.75" customHeight="1">
      <c r="A883" s="45"/>
      <c r="B883" s="45"/>
      <c r="C883" s="45"/>
      <c r="D883" s="45"/>
      <c r="E883" s="45"/>
      <c r="F883" s="45"/>
    </row>
    <row r="884" ht="15.75" customHeight="1">
      <c r="A884" s="45"/>
      <c r="B884" s="45"/>
      <c r="C884" s="45"/>
      <c r="D884" s="45"/>
      <c r="E884" s="45"/>
      <c r="F884" s="45"/>
    </row>
    <row r="885" ht="15.75" customHeight="1">
      <c r="A885" s="45"/>
      <c r="B885" s="45"/>
      <c r="C885" s="45"/>
      <c r="D885" s="45"/>
      <c r="E885" s="45"/>
      <c r="F885" s="45"/>
    </row>
    <row r="886" ht="15.75" customHeight="1">
      <c r="A886" s="45"/>
      <c r="B886" s="45"/>
      <c r="C886" s="45"/>
      <c r="D886" s="45"/>
      <c r="E886" s="45"/>
      <c r="F886" s="45"/>
    </row>
    <row r="887" ht="15.75" customHeight="1">
      <c r="A887" s="45"/>
      <c r="B887" s="45"/>
      <c r="C887" s="45"/>
      <c r="D887" s="45"/>
      <c r="E887" s="45"/>
      <c r="F887" s="45"/>
    </row>
    <row r="888" ht="15.75" customHeight="1">
      <c r="A888" s="45"/>
      <c r="B888" s="45"/>
      <c r="C888" s="45"/>
      <c r="D888" s="45"/>
      <c r="E888" s="45"/>
      <c r="F888" s="45"/>
    </row>
    <row r="889" ht="15.75" customHeight="1">
      <c r="A889" s="45"/>
      <c r="B889" s="45"/>
      <c r="C889" s="45"/>
      <c r="D889" s="45"/>
      <c r="E889" s="45"/>
      <c r="F889" s="45"/>
    </row>
    <row r="890" ht="15.75" customHeight="1">
      <c r="A890" s="45"/>
      <c r="B890" s="45"/>
      <c r="C890" s="45"/>
      <c r="D890" s="45"/>
      <c r="E890" s="45"/>
      <c r="F890" s="45"/>
    </row>
    <row r="891" ht="15.75" customHeight="1">
      <c r="A891" s="45"/>
      <c r="B891" s="45"/>
      <c r="C891" s="45"/>
      <c r="D891" s="45"/>
      <c r="E891" s="45"/>
      <c r="F891" s="45"/>
    </row>
    <row r="892" ht="15.75" customHeight="1">
      <c r="A892" s="45"/>
      <c r="B892" s="45"/>
      <c r="C892" s="45"/>
      <c r="D892" s="45"/>
      <c r="E892" s="45"/>
      <c r="F892" s="45"/>
    </row>
    <row r="893" ht="15.75" customHeight="1">
      <c r="A893" s="45"/>
      <c r="B893" s="45"/>
      <c r="C893" s="45"/>
      <c r="D893" s="45"/>
      <c r="E893" s="45"/>
      <c r="F893" s="45"/>
    </row>
    <row r="894" ht="15.75" customHeight="1">
      <c r="A894" s="45"/>
      <c r="B894" s="45"/>
      <c r="C894" s="45"/>
      <c r="D894" s="45"/>
      <c r="E894" s="45"/>
      <c r="F894" s="45"/>
    </row>
    <row r="895" ht="15.75" customHeight="1">
      <c r="A895" s="45"/>
      <c r="B895" s="45"/>
      <c r="C895" s="45"/>
      <c r="D895" s="45"/>
      <c r="E895" s="45"/>
      <c r="F895" s="45"/>
    </row>
    <row r="896" ht="15.75" customHeight="1">
      <c r="A896" s="45"/>
      <c r="B896" s="45"/>
      <c r="C896" s="45"/>
      <c r="D896" s="45"/>
      <c r="E896" s="45"/>
      <c r="F896" s="45"/>
    </row>
    <row r="897" ht="15.75" customHeight="1">
      <c r="A897" s="45"/>
      <c r="B897" s="45"/>
      <c r="C897" s="45"/>
      <c r="D897" s="45"/>
      <c r="E897" s="45"/>
      <c r="F897" s="45"/>
    </row>
    <row r="898" ht="15.75" customHeight="1">
      <c r="A898" s="45"/>
      <c r="B898" s="45"/>
      <c r="C898" s="45"/>
      <c r="D898" s="45"/>
      <c r="E898" s="45"/>
      <c r="F898" s="45"/>
    </row>
    <row r="899" ht="15.75" customHeight="1">
      <c r="A899" s="45"/>
      <c r="B899" s="45"/>
      <c r="C899" s="45"/>
      <c r="D899" s="45"/>
      <c r="E899" s="45"/>
      <c r="F899" s="45"/>
    </row>
    <row r="900" ht="15.75" customHeight="1">
      <c r="A900" s="45"/>
      <c r="B900" s="45"/>
      <c r="C900" s="45"/>
      <c r="D900" s="45"/>
      <c r="E900" s="45"/>
      <c r="F900" s="45"/>
    </row>
    <row r="901" ht="15.75" customHeight="1">
      <c r="A901" s="45"/>
      <c r="B901" s="45"/>
      <c r="C901" s="45"/>
      <c r="D901" s="45"/>
      <c r="E901" s="45"/>
      <c r="F901" s="45"/>
    </row>
    <row r="902" ht="15.75" customHeight="1">
      <c r="A902" s="45"/>
      <c r="B902" s="45"/>
      <c r="C902" s="45"/>
      <c r="D902" s="45"/>
      <c r="E902" s="45"/>
      <c r="F902" s="45"/>
    </row>
    <row r="903" ht="15.75" customHeight="1">
      <c r="A903" s="45"/>
      <c r="B903" s="45"/>
      <c r="C903" s="45"/>
      <c r="D903" s="45"/>
      <c r="E903" s="45"/>
      <c r="F903" s="45"/>
    </row>
    <row r="904" ht="15.75" customHeight="1">
      <c r="A904" s="45"/>
      <c r="B904" s="45"/>
      <c r="C904" s="45"/>
      <c r="D904" s="45"/>
      <c r="E904" s="45"/>
      <c r="F904" s="45"/>
    </row>
    <row r="905" ht="15.75" customHeight="1">
      <c r="A905" s="45"/>
      <c r="B905" s="45"/>
      <c r="C905" s="45"/>
      <c r="D905" s="45"/>
      <c r="E905" s="45"/>
      <c r="F905" s="45"/>
    </row>
    <row r="906" ht="15.75" customHeight="1">
      <c r="A906" s="45"/>
      <c r="B906" s="45"/>
      <c r="C906" s="45"/>
      <c r="D906" s="45"/>
      <c r="E906" s="45"/>
      <c r="F906" s="45"/>
    </row>
    <row r="907" ht="15.75" customHeight="1">
      <c r="A907" s="45"/>
      <c r="B907" s="45"/>
      <c r="C907" s="45"/>
      <c r="D907" s="45"/>
      <c r="E907" s="45"/>
      <c r="F907" s="45"/>
    </row>
    <row r="908" ht="15.75" customHeight="1">
      <c r="A908" s="45"/>
      <c r="B908" s="45"/>
      <c r="C908" s="45"/>
      <c r="D908" s="45"/>
      <c r="E908" s="45"/>
      <c r="F908" s="45"/>
    </row>
    <row r="909" ht="15.75" customHeight="1">
      <c r="A909" s="45"/>
      <c r="B909" s="45"/>
      <c r="C909" s="45"/>
      <c r="D909" s="45"/>
      <c r="E909" s="45"/>
      <c r="F909" s="45"/>
    </row>
    <row r="910" ht="15.75" customHeight="1">
      <c r="A910" s="45"/>
      <c r="B910" s="45"/>
      <c r="C910" s="45"/>
      <c r="D910" s="45"/>
      <c r="E910" s="45"/>
      <c r="F910" s="45"/>
    </row>
    <row r="911" ht="15.75" customHeight="1">
      <c r="A911" s="45"/>
      <c r="B911" s="45"/>
      <c r="C911" s="45"/>
      <c r="D911" s="45"/>
      <c r="E911" s="45"/>
      <c r="F911" s="45"/>
    </row>
    <row r="912" ht="15.75" customHeight="1">
      <c r="A912" s="45"/>
      <c r="B912" s="45"/>
      <c r="C912" s="45"/>
      <c r="D912" s="45"/>
      <c r="E912" s="45"/>
      <c r="F912" s="45"/>
    </row>
    <row r="913" ht="15.75" customHeight="1">
      <c r="A913" s="45"/>
      <c r="B913" s="45"/>
      <c r="C913" s="45"/>
      <c r="D913" s="45"/>
      <c r="E913" s="45"/>
      <c r="F913" s="45"/>
    </row>
    <row r="914" ht="15.75" customHeight="1">
      <c r="A914" s="45"/>
      <c r="B914" s="45"/>
      <c r="C914" s="45"/>
      <c r="D914" s="45"/>
      <c r="E914" s="45"/>
      <c r="F914" s="45"/>
    </row>
    <row r="915" ht="15.75" customHeight="1">
      <c r="A915" s="45"/>
      <c r="B915" s="45"/>
      <c r="C915" s="45"/>
      <c r="D915" s="45"/>
      <c r="E915" s="45"/>
      <c r="F915" s="45"/>
    </row>
    <row r="916" ht="15.75" customHeight="1">
      <c r="A916" s="45"/>
      <c r="B916" s="45"/>
      <c r="C916" s="45"/>
      <c r="D916" s="45"/>
      <c r="E916" s="45"/>
      <c r="F916" s="45"/>
    </row>
    <row r="917" ht="15.75" customHeight="1">
      <c r="A917" s="45"/>
      <c r="B917" s="45"/>
      <c r="C917" s="45"/>
      <c r="D917" s="45"/>
      <c r="E917" s="45"/>
      <c r="F917" s="45"/>
    </row>
    <row r="918" ht="15.75" customHeight="1">
      <c r="A918" s="45"/>
      <c r="B918" s="45"/>
      <c r="C918" s="45"/>
      <c r="D918" s="45"/>
      <c r="E918" s="45"/>
      <c r="F918" s="45"/>
    </row>
    <row r="919" ht="15.75" customHeight="1">
      <c r="A919" s="45"/>
      <c r="B919" s="45"/>
      <c r="C919" s="45"/>
      <c r="D919" s="45"/>
      <c r="E919" s="45"/>
      <c r="F919" s="45"/>
    </row>
    <row r="920" ht="15.75" customHeight="1">
      <c r="A920" s="45"/>
      <c r="B920" s="45"/>
      <c r="C920" s="45"/>
      <c r="D920" s="45"/>
      <c r="E920" s="45"/>
      <c r="F920" s="45"/>
    </row>
    <row r="921" ht="15.75" customHeight="1">
      <c r="A921" s="45"/>
      <c r="B921" s="45"/>
      <c r="C921" s="45"/>
      <c r="D921" s="45"/>
      <c r="E921" s="45"/>
      <c r="F921" s="45"/>
    </row>
    <row r="922" ht="15.75" customHeight="1">
      <c r="A922" s="45"/>
      <c r="B922" s="45"/>
      <c r="C922" s="45"/>
      <c r="D922" s="45"/>
      <c r="E922" s="45"/>
      <c r="F922" s="45"/>
    </row>
    <row r="923" ht="15.75" customHeight="1">
      <c r="A923" s="45"/>
      <c r="B923" s="45"/>
      <c r="C923" s="45"/>
      <c r="D923" s="45"/>
      <c r="E923" s="45"/>
      <c r="F923" s="45"/>
    </row>
    <row r="924" ht="15.75" customHeight="1">
      <c r="A924" s="45"/>
      <c r="B924" s="45"/>
      <c r="C924" s="45"/>
      <c r="D924" s="45"/>
      <c r="E924" s="45"/>
      <c r="F924" s="45"/>
    </row>
    <row r="925" ht="15.75" customHeight="1">
      <c r="A925" s="45"/>
      <c r="B925" s="45"/>
      <c r="C925" s="45"/>
      <c r="D925" s="45"/>
      <c r="E925" s="45"/>
      <c r="F925" s="45"/>
    </row>
    <row r="926" ht="15.75" customHeight="1">
      <c r="A926" s="45"/>
      <c r="B926" s="45"/>
      <c r="C926" s="45"/>
      <c r="D926" s="45"/>
      <c r="E926" s="45"/>
      <c r="F926" s="45"/>
    </row>
    <row r="927" ht="15.75" customHeight="1">
      <c r="A927" s="45"/>
      <c r="B927" s="45"/>
      <c r="C927" s="45"/>
      <c r="D927" s="45"/>
      <c r="E927" s="45"/>
      <c r="F927" s="45"/>
    </row>
    <row r="928" ht="15.75" customHeight="1">
      <c r="A928" s="45"/>
      <c r="B928" s="45"/>
      <c r="C928" s="45"/>
      <c r="D928" s="45"/>
      <c r="E928" s="45"/>
      <c r="F928" s="45"/>
    </row>
    <row r="929" ht="15.75" customHeight="1">
      <c r="A929" s="45"/>
      <c r="B929" s="45"/>
      <c r="C929" s="45"/>
      <c r="D929" s="45"/>
      <c r="E929" s="45"/>
      <c r="F929" s="45"/>
    </row>
    <row r="930" ht="15.75" customHeight="1">
      <c r="A930" s="45"/>
      <c r="B930" s="45"/>
      <c r="C930" s="45"/>
      <c r="D930" s="45"/>
      <c r="E930" s="45"/>
      <c r="F930" s="45"/>
    </row>
    <row r="931" ht="15.75" customHeight="1">
      <c r="A931" s="45"/>
      <c r="B931" s="45"/>
      <c r="C931" s="45"/>
      <c r="D931" s="45"/>
      <c r="E931" s="45"/>
      <c r="F931" s="45"/>
    </row>
    <row r="932" ht="15.75" customHeight="1">
      <c r="A932" s="45"/>
      <c r="B932" s="45"/>
      <c r="C932" s="45"/>
      <c r="D932" s="45"/>
      <c r="E932" s="45"/>
      <c r="F932" s="45"/>
    </row>
    <row r="933" ht="15.75" customHeight="1">
      <c r="A933" s="45"/>
      <c r="B933" s="45"/>
      <c r="C933" s="45"/>
      <c r="D933" s="45"/>
      <c r="E933" s="45"/>
      <c r="F933" s="45"/>
    </row>
    <row r="934" ht="15.75" customHeight="1">
      <c r="A934" s="45"/>
      <c r="B934" s="45"/>
      <c r="C934" s="45"/>
      <c r="D934" s="45"/>
      <c r="E934" s="45"/>
      <c r="F934" s="45"/>
    </row>
    <row r="935" ht="15.75" customHeight="1">
      <c r="A935" s="45"/>
      <c r="B935" s="45"/>
      <c r="C935" s="45"/>
      <c r="D935" s="45"/>
      <c r="E935" s="45"/>
      <c r="F935" s="45"/>
    </row>
    <row r="936" ht="15.75" customHeight="1">
      <c r="A936" s="45"/>
      <c r="B936" s="45"/>
      <c r="C936" s="45"/>
      <c r="D936" s="45"/>
      <c r="E936" s="45"/>
      <c r="F936" s="45"/>
    </row>
    <row r="937" ht="15.75" customHeight="1">
      <c r="A937" s="45"/>
      <c r="B937" s="45"/>
      <c r="C937" s="45"/>
      <c r="D937" s="45"/>
      <c r="E937" s="45"/>
      <c r="F937" s="45"/>
    </row>
    <row r="938" ht="15.75" customHeight="1">
      <c r="A938" s="45"/>
      <c r="B938" s="45"/>
      <c r="C938" s="45"/>
      <c r="D938" s="45"/>
      <c r="E938" s="45"/>
      <c r="F938" s="45"/>
    </row>
    <row r="939" ht="15.75" customHeight="1">
      <c r="A939" s="45"/>
      <c r="B939" s="45"/>
      <c r="C939" s="45"/>
      <c r="D939" s="45"/>
      <c r="E939" s="45"/>
      <c r="F939" s="45"/>
    </row>
    <row r="940" ht="15.75" customHeight="1">
      <c r="A940" s="45"/>
      <c r="B940" s="45"/>
      <c r="C940" s="45"/>
      <c r="D940" s="45"/>
      <c r="E940" s="45"/>
      <c r="F940" s="45"/>
    </row>
    <row r="941" ht="15.75" customHeight="1">
      <c r="A941" s="45"/>
      <c r="B941" s="45"/>
      <c r="C941" s="45"/>
      <c r="D941" s="45"/>
      <c r="E941" s="45"/>
      <c r="F941" s="45"/>
    </row>
    <row r="942" ht="15.75" customHeight="1">
      <c r="A942" s="45"/>
      <c r="B942" s="45"/>
      <c r="C942" s="45"/>
      <c r="D942" s="45"/>
      <c r="E942" s="45"/>
      <c r="F942" s="45"/>
    </row>
    <row r="943" ht="15.75" customHeight="1">
      <c r="A943" s="45"/>
      <c r="B943" s="45"/>
      <c r="C943" s="45"/>
      <c r="D943" s="45"/>
      <c r="E943" s="45"/>
      <c r="F943" s="45"/>
    </row>
    <row r="944" ht="15.75" customHeight="1">
      <c r="A944" s="45"/>
      <c r="B944" s="45"/>
      <c r="C944" s="45"/>
      <c r="D944" s="45"/>
      <c r="E944" s="45"/>
      <c r="F944" s="45"/>
    </row>
    <row r="945" ht="15.75" customHeight="1">
      <c r="A945" s="45"/>
      <c r="B945" s="45"/>
      <c r="C945" s="45"/>
      <c r="D945" s="45"/>
      <c r="E945" s="45"/>
      <c r="F945" s="45"/>
    </row>
    <row r="946" ht="15.75" customHeight="1">
      <c r="A946" s="45"/>
      <c r="B946" s="45"/>
      <c r="C946" s="45"/>
      <c r="D946" s="45"/>
      <c r="E946" s="45"/>
      <c r="F946" s="45"/>
    </row>
    <row r="947" ht="15.75" customHeight="1">
      <c r="A947" s="45"/>
      <c r="B947" s="45"/>
      <c r="C947" s="45"/>
      <c r="D947" s="45"/>
      <c r="E947" s="45"/>
      <c r="F947" s="45"/>
    </row>
    <row r="948" ht="15.75" customHeight="1">
      <c r="A948" s="45"/>
      <c r="B948" s="45"/>
      <c r="C948" s="45"/>
      <c r="D948" s="45"/>
      <c r="E948" s="45"/>
      <c r="F948" s="45"/>
    </row>
    <row r="949" ht="15.75" customHeight="1">
      <c r="A949" s="45"/>
      <c r="B949" s="45"/>
      <c r="C949" s="45"/>
      <c r="D949" s="45"/>
      <c r="E949" s="45"/>
      <c r="F949" s="45"/>
    </row>
    <row r="950" ht="15.75" customHeight="1">
      <c r="A950" s="45"/>
      <c r="B950" s="45"/>
      <c r="C950" s="45"/>
      <c r="D950" s="45"/>
      <c r="E950" s="45"/>
      <c r="F950" s="45"/>
    </row>
    <row r="951" ht="15.75" customHeight="1">
      <c r="A951" s="45"/>
      <c r="B951" s="45"/>
      <c r="C951" s="45"/>
      <c r="D951" s="45"/>
      <c r="E951" s="45"/>
      <c r="F951" s="45"/>
    </row>
    <row r="952" ht="15.75" customHeight="1">
      <c r="A952" s="45"/>
      <c r="B952" s="45"/>
      <c r="C952" s="45"/>
      <c r="D952" s="45"/>
      <c r="E952" s="45"/>
      <c r="F952" s="45"/>
    </row>
    <row r="953" ht="15.75" customHeight="1">
      <c r="A953" s="45"/>
      <c r="B953" s="45"/>
      <c r="C953" s="45"/>
      <c r="D953" s="45"/>
      <c r="E953" s="45"/>
      <c r="F953" s="45"/>
    </row>
    <row r="954" ht="15.75" customHeight="1">
      <c r="A954" s="45"/>
      <c r="B954" s="45"/>
      <c r="C954" s="45"/>
      <c r="D954" s="45"/>
      <c r="E954" s="45"/>
      <c r="F954" s="45"/>
    </row>
    <row r="955" ht="15.75" customHeight="1">
      <c r="A955" s="45"/>
      <c r="B955" s="45"/>
      <c r="C955" s="45"/>
      <c r="D955" s="45"/>
      <c r="E955" s="45"/>
      <c r="F955" s="45"/>
    </row>
    <row r="956" ht="15.75" customHeight="1">
      <c r="A956" s="45"/>
      <c r="B956" s="45"/>
      <c r="C956" s="45"/>
      <c r="D956" s="45"/>
      <c r="E956" s="45"/>
      <c r="F956" s="45"/>
    </row>
    <row r="957" ht="15.75" customHeight="1">
      <c r="A957" s="45"/>
      <c r="B957" s="45"/>
      <c r="C957" s="45"/>
      <c r="D957" s="45"/>
      <c r="E957" s="45"/>
      <c r="F957" s="45"/>
    </row>
    <row r="958" ht="15.75" customHeight="1">
      <c r="A958" s="45"/>
      <c r="B958" s="45"/>
      <c r="C958" s="45"/>
      <c r="D958" s="45"/>
      <c r="E958" s="45"/>
      <c r="F958" s="45"/>
    </row>
    <row r="959" ht="15.75" customHeight="1">
      <c r="A959" s="45"/>
      <c r="B959" s="45"/>
      <c r="C959" s="45"/>
      <c r="D959" s="45"/>
      <c r="E959" s="45"/>
      <c r="F959" s="45"/>
    </row>
    <row r="960" ht="15.75" customHeight="1">
      <c r="A960" s="45"/>
      <c r="B960" s="45"/>
      <c r="C960" s="45"/>
      <c r="D960" s="45"/>
      <c r="E960" s="45"/>
      <c r="F960" s="45"/>
    </row>
    <row r="961" ht="15.75" customHeight="1">
      <c r="A961" s="45"/>
      <c r="B961" s="45"/>
      <c r="C961" s="45"/>
      <c r="D961" s="45"/>
      <c r="E961" s="45"/>
      <c r="F961" s="45"/>
    </row>
    <row r="962" ht="15.75" customHeight="1">
      <c r="A962" s="45"/>
      <c r="B962" s="45"/>
      <c r="C962" s="45"/>
      <c r="D962" s="45"/>
      <c r="E962" s="45"/>
      <c r="F962" s="45"/>
    </row>
    <row r="963" ht="15.75" customHeight="1">
      <c r="A963" s="45"/>
      <c r="B963" s="45"/>
      <c r="C963" s="45"/>
      <c r="D963" s="45"/>
      <c r="E963" s="45"/>
      <c r="F963" s="45"/>
    </row>
    <row r="964" ht="15.75" customHeight="1">
      <c r="A964" s="45"/>
      <c r="B964" s="45"/>
      <c r="C964" s="45"/>
      <c r="D964" s="45"/>
      <c r="E964" s="45"/>
      <c r="F964" s="45"/>
    </row>
    <row r="965" ht="15.75" customHeight="1">
      <c r="A965" s="45"/>
      <c r="B965" s="45"/>
      <c r="C965" s="45"/>
      <c r="D965" s="45"/>
      <c r="E965" s="45"/>
      <c r="F965" s="45"/>
    </row>
    <row r="966" ht="15.75" customHeight="1">
      <c r="A966" s="45"/>
      <c r="B966" s="45"/>
      <c r="C966" s="45"/>
      <c r="D966" s="45"/>
      <c r="E966" s="45"/>
      <c r="F966" s="45"/>
    </row>
    <row r="967" ht="15.75" customHeight="1">
      <c r="A967" s="45"/>
      <c r="B967" s="45"/>
      <c r="C967" s="45"/>
      <c r="D967" s="45"/>
      <c r="E967" s="45"/>
      <c r="F967" s="45"/>
    </row>
    <row r="968" ht="15.75" customHeight="1">
      <c r="A968" s="45"/>
      <c r="B968" s="45"/>
      <c r="C968" s="45"/>
      <c r="D968" s="45"/>
      <c r="E968" s="45"/>
      <c r="F968" s="45"/>
    </row>
    <row r="969" ht="15.75" customHeight="1">
      <c r="A969" s="45"/>
      <c r="B969" s="45"/>
      <c r="C969" s="45"/>
      <c r="D969" s="45"/>
      <c r="E969" s="45"/>
      <c r="F969" s="45"/>
    </row>
    <row r="970" ht="15.75" customHeight="1">
      <c r="A970" s="45"/>
      <c r="B970" s="45"/>
      <c r="C970" s="45"/>
      <c r="D970" s="45"/>
      <c r="E970" s="45"/>
      <c r="F970" s="45"/>
    </row>
    <row r="971" ht="15.75" customHeight="1">
      <c r="A971" s="45"/>
      <c r="B971" s="45"/>
      <c r="C971" s="45"/>
      <c r="D971" s="45"/>
      <c r="E971" s="45"/>
      <c r="F971" s="45"/>
    </row>
    <row r="972" ht="15.75" customHeight="1">
      <c r="A972" s="45"/>
      <c r="B972" s="45"/>
      <c r="C972" s="45"/>
      <c r="D972" s="45"/>
      <c r="E972" s="45"/>
      <c r="F972" s="45"/>
    </row>
    <row r="973" ht="15.75" customHeight="1">
      <c r="A973" s="45"/>
      <c r="B973" s="45"/>
      <c r="C973" s="45"/>
      <c r="D973" s="45"/>
      <c r="E973" s="45"/>
      <c r="F973" s="45"/>
    </row>
    <row r="974" ht="15.75" customHeight="1">
      <c r="A974" s="45"/>
      <c r="B974" s="45"/>
      <c r="C974" s="45"/>
      <c r="D974" s="45"/>
      <c r="E974" s="45"/>
      <c r="F974" s="45"/>
    </row>
    <row r="975" ht="15.75" customHeight="1">
      <c r="A975" s="45"/>
      <c r="B975" s="45"/>
      <c r="C975" s="45"/>
      <c r="D975" s="45"/>
      <c r="E975" s="45"/>
      <c r="F975" s="45"/>
    </row>
    <row r="976" ht="15.75" customHeight="1">
      <c r="A976" s="45"/>
      <c r="B976" s="45"/>
      <c r="C976" s="45"/>
      <c r="D976" s="45"/>
      <c r="E976" s="45"/>
      <c r="F976" s="45"/>
    </row>
    <row r="977" ht="15.75" customHeight="1">
      <c r="A977" s="45"/>
      <c r="B977" s="45"/>
      <c r="C977" s="45"/>
      <c r="D977" s="45"/>
      <c r="E977" s="45"/>
      <c r="F977" s="45"/>
    </row>
    <row r="978" ht="15.75" customHeight="1">
      <c r="A978" s="45"/>
      <c r="B978" s="45"/>
      <c r="C978" s="45"/>
      <c r="D978" s="45"/>
      <c r="E978" s="45"/>
      <c r="F978" s="45"/>
    </row>
    <row r="979" ht="15.75" customHeight="1">
      <c r="A979" s="45"/>
      <c r="B979" s="45"/>
      <c r="C979" s="45"/>
      <c r="D979" s="45"/>
      <c r="E979" s="45"/>
      <c r="F979" s="45"/>
    </row>
    <row r="980" ht="15.75" customHeight="1">
      <c r="A980" s="45"/>
      <c r="B980" s="45"/>
      <c r="C980" s="45"/>
      <c r="D980" s="45"/>
      <c r="E980" s="45"/>
      <c r="F980" s="45"/>
    </row>
    <row r="981" ht="15.75" customHeight="1">
      <c r="A981" s="45"/>
      <c r="B981" s="45"/>
      <c r="C981" s="45"/>
      <c r="D981" s="45"/>
      <c r="E981" s="45"/>
      <c r="F981" s="45"/>
    </row>
    <row r="982" ht="15.75" customHeight="1">
      <c r="A982" s="45"/>
      <c r="B982" s="45"/>
      <c r="C982" s="45"/>
      <c r="D982" s="45"/>
      <c r="E982" s="45"/>
      <c r="F982" s="45"/>
    </row>
    <row r="983" ht="15.75" customHeight="1">
      <c r="A983" s="45"/>
      <c r="B983" s="45"/>
      <c r="C983" s="45"/>
      <c r="D983" s="45"/>
      <c r="E983" s="45"/>
      <c r="F983" s="45"/>
    </row>
    <row r="984" ht="15.75" customHeight="1">
      <c r="A984" s="45"/>
      <c r="B984" s="45"/>
      <c r="C984" s="45"/>
      <c r="D984" s="45"/>
      <c r="E984" s="45"/>
      <c r="F984" s="45"/>
    </row>
    <row r="985" ht="15.75" customHeight="1">
      <c r="A985" s="45"/>
      <c r="B985" s="45"/>
      <c r="C985" s="45"/>
      <c r="D985" s="45"/>
      <c r="E985" s="45"/>
      <c r="F985" s="45"/>
    </row>
    <row r="986" ht="15.75" customHeight="1">
      <c r="A986" s="45"/>
      <c r="B986" s="45"/>
      <c r="C986" s="45"/>
      <c r="D986" s="45"/>
      <c r="E986" s="45"/>
      <c r="F986" s="45"/>
    </row>
    <row r="987" ht="15.75" customHeight="1">
      <c r="A987" s="45"/>
      <c r="B987" s="45"/>
      <c r="C987" s="45"/>
      <c r="D987" s="45"/>
      <c r="E987" s="45"/>
      <c r="F987" s="45"/>
    </row>
    <row r="988" ht="15.75" customHeight="1">
      <c r="A988" s="45"/>
      <c r="B988" s="45"/>
      <c r="C988" s="45"/>
      <c r="D988" s="45"/>
      <c r="E988" s="45"/>
      <c r="F988" s="45"/>
    </row>
    <row r="989" ht="15.75" customHeight="1">
      <c r="A989" s="45"/>
      <c r="B989" s="45"/>
      <c r="C989" s="45"/>
      <c r="D989" s="45"/>
      <c r="E989" s="45"/>
      <c r="F989" s="45"/>
    </row>
    <row r="990" ht="15.75" customHeight="1">
      <c r="A990" s="45"/>
      <c r="B990" s="45"/>
      <c r="C990" s="45"/>
      <c r="D990" s="45"/>
      <c r="E990" s="45"/>
      <c r="F990" s="45"/>
    </row>
    <row r="991" ht="15.75" customHeight="1">
      <c r="A991" s="45"/>
      <c r="B991" s="45"/>
      <c r="C991" s="45"/>
      <c r="D991" s="45"/>
      <c r="E991" s="45"/>
      <c r="F991" s="45"/>
    </row>
    <row r="992" ht="15.75" customHeight="1">
      <c r="A992" s="45"/>
      <c r="B992" s="45"/>
      <c r="C992" s="45"/>
      <c r="D992" s="45"/>
      <c r="E992" s="45"/>
      <c r="F992" s="45"/>
    </row>
    <row r="993" ht="15.75" customHeight="1">
      <c r="A993" s="45"/>
      <c r="B993" s="45"/>
      <c r="C993" s="45"/>
      <c r="D993" s="45"/>
      <c r="E993" s="45"/>
      <c r="F993" s="45"/>
    </row>
    <row r="994" ht="15.75" customHeight="1">
      <c r="A994" s="45"/>
      <c r="B994" s="45"/>
      <c r="C994" s="45"/>
      <c r="D994" s="45"/>
      <c r="E994" s="45"/>
      <c r="F994" s="45"/>
    </row>
    <row r="995" ht="15.75" customHeight="1">
      <c r="A995" s="45"/>
      <c r="B995" s="45"/>
      <c r="C995" s="45"/>
      <c r="D995" s="45"/>
      <c r="E995" s="45"/>
      <c r="F995" s="45"/>
    </row>
    <row r="996" ht="15.75" customHeight="1">
      <c r="A996" s="45"/>
      <c r="B996" s="45"/>
      <c r="C996" s="45"/>
      <c r="D996" s="45"/>
      <c r="E996" s="45"/>
      <c r="F996" s="45"/>
    </row>
    <row r="997" ht="15.75" customHeight="1">
      <c r="A997" s="45"/>
      <c r="B997" s="45"/>
      <c r="C997" s="45"/>
      <c r="D997" s="45"/>
      <c r="E997" s="45"/>
      <c r="F997" s="45"/>
    </row>
    <row r="998" ht="15.75" customHeight="1">
      <c r="A998" s="45"/>
      <c r="B998" s="45"/>
      <c r="C998" s="45"/>
      <c r="D998" s="45"/>
      <c r="E998" s="45"/>
      <c r="F998" s="45"/>
    </row>
    <row r="999" ht="15.75" customHeight="1">
      <c r="A999" s="45"/>
      <c r="B999" s="45"/>
      <c r="C999" s="45"/>
      <c r="D999" s="45"/>
      <c r="E999" s="45"/>
      <c r="F999" s="45"/>
    </row>
    <row r="1000" ht="15.75" customHeight="1">
      <c r="A1000" s="45"/>
      <c r="B1000" s="45"/>
      <c r="C1000" s="45"/>
      <c r="D1000" s="45"/>
      <c r="E1000" s="45"/>
      <c r="F1000" s="45"/>
    </row>
  </sheetData>
  <mergeCells count="85">
    <mergeCell ref="C53:E53"/>
    <mergeCell ref="A55:F55"/>
    <mergeCell ref="C56:E56"/>
    <mergeCell ref="C57:E57"/>
    <mergeCell ref="D58:E58"/>
    <mergeCell ref="C59:E59"/>
    <mergeCell ref="C61:E61"/>
    <mergeCell ref="C62:E62"/>
    <mergeCell ref="D63:E63"/>
    <mergeCell ref="C64:E64"/>
    <mergeCell ref="A66:F66"/>
    <mergeCell ref="C67:E67"/>
    <mergeCell ref="C68:E68"/>
    <mergeCell ref="D69:E69"/>
    <mergeCell ref="D79:E79"/>
    <mergeCell ref="C80:E80"/>
    <mergeCell ref="C82:E82"/>
    <mergeCell ref="C83:E83"/>
    <mergeCell ref="C84:E84"/>
    <mergeCell ref="A86:F86"/>
    <mergeCell ref="C87:E87"/>
    <mergeCell ref="C96:E96"/>
    <mergeCell ref="C98:E98"/>
    <mergeCell ref="C99:E99"/>
    <mergeCell ref="D100:E100"/>
    <mergeCell ref="C101:E101"/>
    <mergeCell ref="A103:F103"/>
    <mergeCell ref="A105:F105"/>
    <mergeCell ref="A106:F106"/>
    <mergeCell ref="C88:E88"/>
    <mergeCell ref="D89:E89"/>
    <mergeCell ref="C90:E90"/>
    <mergeCell ref="A92:F92"/>
    <mergeCell ref="C93:E93"/>
    <mergeCell ref="C94:E94"/>
    <mergeCell ref="D95:E95"/>
    <mergeCell ref="A1:F1"/>
    <mergeCell ref="A2:F2"/>
    <mergeCell ref="A4:F4"/>
    <mergeCell ref="C5:E5"/>
    <mergeCell ref="C6:E6"/>
    <mergeCell ref="D7:E7"/>
    <mergeCell ref="C8:E8"/>
    <mergeCell ref="C10:E10"/>
    <mergeCell ref="C11:E11"/>
    <mergeCell ref="D12:E12"/>
    <mergeCell ref="C13:E13"/>
    <mergeCell ref="C15:E15"/>
    <mergeCell ref="C16:E16"/>
    <mergeCell ref="D17:E17"/>
    <mergeCell ref="C18:E18"/>
    <mergeCell ref="A20:F20"/>
    <mergeCell ref="C21:E21"/>
    <mergeCell ref="C22:E22"/>
    <mergeCell ref="D23:E23"/>
    <mergeCell ref="C24:E24"/>
    <mergeCell ref="C26:E26"/>
    <mergeCell ref="C27:E27"/>
    <mergeCell ref="D28:E28"/>
    <mergeCell ref="C29:E29"/>
    <mergeCell ref="C31:E31"/>
    <mergeCell ref="C32:E32"/>
    <mergeCell ref="D33:E33"/>
    <mergeCell ref="C34:E34"/>
    <mergeCell ref="C36:E36"/>
    <mergeCell ref="C37:E37"/>
    <mergeCell ref="D38:E38"/>
    <mergeCell ref="C39:E39"/>
    <mergeCell ref="A41:F41"/>
    <mergeCell ref="C42:E42"/>
    <mergeCell ref="C43:E43"/>
    <mergeCell ref="D44:E44"/>
    <mergeCell ref="C45:E45"/>
    <mergeCell ref="C47:E47"/>
    <mergeCell ref="C48:E48"/>
    <mergeCell ref="C49:E49"/>
    <mergeCell ref="C51:E51"/>
    <mergeCell ref="C52:E52"/>
    <mergeCell ref="C70:E70"/>
    <mergeCell ref="C72:E72"/>
    <mergeCell ref="C73:E73"/>
    <mergeCell ref="D74:E74"/>
    <mergeCell ref="C75:E75"/>
    <mergeCell ref="C77:E77"/>
    <mergeCell ref="C78:E78"/>
  </mergeCells>
  <printOptions/>
  <pageMargins bottom="1.0" footer="0.0" header="0.0" left="0.75" right="0.75" top="1.0"/>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FA3"/>
    <pageSetUpPr/>
  </sheetPr>
  <sheetViews>
    <sheetView workbookViewId="0"/>
  </sheetViews>
  <sheetFormatPr customHeight="1" defaultColWidth="14.43" defaultRowHeight="15.0"/>
  <cols>
    <col customWidth="1" min="1" max="4" width="20.43"/>
    <col customWidth="1" min="5" max="6" width="8.71"/>
  </cols>
  <sheetData>
    <row r="1" ht="15.0" customHeight="1">
      <c r="A1" s="337" t="s">
        <v>510</v>
      </c>
      <c r="B1" s="52"/>
      <c r="C1" s="52"/>
      <c r="D1" s="30"/>
      <c r="E1" s="45"/>
      <c r="F1" s="45"/>
    </row>
    <row r="2">
      <c r="A2" s="45"/>
      <c r="B2" s="45"/>
      <c r="C2" s="45"/>
      <c r="D2" s="45"/>
      <c r="E2" s="45"/>
      <c r="F2" s="45"/>
    </row>
    <row r="3" ht="15.0" customHeight="1">
      <c r="A3" s="338" t="s">
        <v>166</v>
      </c>
      <c r="B3" s="338" t="s">
        <v>38</v>
      </c>
      <c r="C3" s="338" t="s">
        <v>41</v>
      </c>
      <c r="D3" s="338" t="s">
        <v>44</v>
      </c>
      <c r="E3" s="45"/>
      <c r="F3" s="45"/>
    </row>
    <row r="4" ht="15.0" customHeight="1">
      <c r="A4" s="339" t="s">
        <v>511</v>
      </c>
      <c r="B4" s="340">
        <v>19.51</v>
      </c>
      <c r="C4" s="340">
        <v>15.61</v>
      </c>
      <c r="D4" s="340">
        <v>11.71</v>
      </c>
      <c r="E4" s="45"/>
      <c r="F4" s="45"/>
    </row>
    <row r="5" ht="15.0" customHeight="1">
      <c r="A5" s="338" t="s">
        <v>17</v>
      </c>
      <c r="B5" s="341">
        <v>14.49</v>
      </c>
      <c r="C5" s="341">
        <v>11.59</v>
      </c>
      <c r="D5" s="341">
        <v>8.69</v>
      </c>
      <c r="E5" s="45"/>
      <c r="F5" s="45"/>
    </row>
    <row r="6" ht="15.0" customHeight="1">
      <c r="A6" s="339" t="s">
        <v>512</v>
      </c>
      <c r="B6" s="340">
        <v>11.68</v>
      </c>
      <c r="C6" s="340">
        <v>9.34</v>
      </c>
      <c r="D6" s="340">
        <v>7.01</v>
      </c>
      <c r="E6" s="45"/>
      <c r="F6" s="45"/>
    </row>
    <row r="7" ht="15.0" customHeight="1">
      <c r="A7" s="338" t="s">
        <v>513</v>
      </c>
      <c r="B7" s="341">
        <v>10.15</v>
      </c>
      <c r="C7" s="341">
        <v>8.12</v>
      </c>
      <c r="D7" s="341">
        <v>6.09</v>
      </c>
      <c r="E7" s="45"/>
      <c r="F7" s="45"/>
    </row>
    <row r="8">
      <c r="A8" s="45"/>
      <c r="B8" s="45"/>
      <c r="C8" s="45"/>
      <c r="D8" s="45"/>
      <c r="E8" s="45"/>
      <c r="F8" s="45"/>
    </row>
    <row r="9">
      <c r="A9" s="45"/>
      <c r="B9" s="45"/>
      <c r="C9" s="45"/>
      <c r="D9" s="45"/>
      <c r="E9" s="45"/>
      <c r="F9" s="45"/>
    </row>
    <row r="10">
      <c r="A10" s="45"/>
      <c r="B10" s="45"/>
      <c r="C10" s="45"/>
      <c r="D10" s="45"/>
      <c r="E10" s="45"/>
      <c r="F10" s="45"/>
    </row>
    <row r="11">
      <c r="A11" s="45"/>
      <c r="B11" s="45"/>
      <c r="C11" s="45"/>
      <c r="D11" s="45"/>
      <c r="E11" s="45"/>
      <c r="F11" s="45"/>
    </row>
    <row r="12">
      <c r="A12" s="45"/>
      <c r="B12" s="45"/>
      <c r="C12" s="45"/>
      <c r="D12" s="45"/>
      <c r="E12" s="45"/>
      <c r="F12" s="45"/>
    </row>
    <row r="13">
      <c r="A13" s="45"/>
      <c r="B13" s="45"/>
      <c r="C13" s="45"/>
      <c r="D13" s="45"/>
      <c r="E13" s="45"/>
      <c r="F13" s="45"/>
    </row>
    <row r="14">
      <c r="A14" s="45"/>
      <c r="B14" s="45"/>
      <c r="C14" s="45"/>
      <c r="D14" s="45"/>
      <c r="E14" s="45"/>
      <c r="F14" s="45"/>
    </row>
    <row r="15">
      <c r="A15" s="45"/>
      <c r="B15" s="45"/>
      <c r="C15" s="45"/>
      <c r="D15" s="45"/>
      <c r="E15" s="45"/>
      <c r="F15" s="45"/>
    </row>
    <row r="16">
      <c r="A16" s="45"/>
      <c r="B16" s="45"/>
      <c r="C16" s="45"/>
      <c r="D16" s="45"/>
      <c r="E16" s="45"/>
      <c r="F16" s="45"/>
    </row>
    <row r="17">
      <c r="A17" s="45"/>
      <c r="B17" s="45"/>
      <c r="C17" s="45"/>
      <c r="D17" s="45"/>
      <c r="E17" s="45"/>
      <c r="F17" s="45"/>
    </row>
    <row r="18">
      <c r="A18" s="45"/>
      <c r="B18" s="45"/>
      <c r="C18" s="45"/>
      <c r="D18" s="45"/>
      <c r="E18" s="45"/>
      <c r="F18" s="45"/>
    </row>
    <row r="19">
      <c r="A19" s="45"/>
      <c r="B19" s="45"/>
      <c r="C19" s="45"/>
      <c r="D19" s="45"/>
      <c r="E19" s="45"/>
      <c r="F19" s="45"/>
    </row>
    <row r="20">
      <c r="A20" s="45"/>
      <c r="B20" s="45"/>
      <c r="C20" s="45"/>
      <c r="D20" s="45"/>
      <c r="E20" s="45"/>
      <c r="F20" s="45"/>
    </row>
    <row r="21" ht="15.75" customHeight="1">
      <c r="A21" s="45"/>
      <c r="B21" s="45"/>
      <c r="C21" s="45"/>
      <c r="D21" s="45"/>
      <c r="E21" s="45"/>
      <c r="F21" s="45"/>
    </row>
    <row r="22" ht="15.75" customHeight="1">
      <c r="A22" s="45"/>
      <c r="B22" s="45"/>
      <c r="C22" s="45"/>
      <c r="D22" s="45"/>
      <c r="E22" s="45"/>
      <c r="F22" s="45"/>
    </row>
    <row r="23" ht="15.75" customHeight="1">
      <c r="A23" s="45"/>
      <c r="B23" s="45"/>
      <c r="C23" s="45"/>
      <c r="D23" s="45"/>
      <c r="E23" s="45"/>
      <c r="F23" s="45"/>
    </row>
    <row r="24" ht="15.75" customHeight="1">
      <c r="A24" s="45"/>
      <c r="B24" s="45"/>
      <c r="C24" s="45"/>
      <c r="D24" s="45"/>
      <c r="E24" s="45"/>
      <c r="F24" s="45"/>
    </row>
    <row r="25" ht="15.75" customHeight="1">
      <c r="A25" s="45"/>
      <c r="B25" s="45"/>
      <c r="C25" s="45"/>
      <c r="D25" s="45"/>
      <c r="E25" s="45"/>
      <c r="F25" s="45"/>
    </row>
    <row r="26" ht="15.75" customHeight="1">
      <c r="A26" s="45"/>
      <c r="B26" s="45"/>
      <c r="C26" s="45"/>
      <c r="D26" s="45"/>
      <c r="E26" s="45"/>
      <c r="F26" s="45"/>
    </row>
    <row r="27" ht="15.75" customHeight="1">
      <c r="A27" s="45"/>
      <c r="B27" s="45"/>
      <c r="C27" s="45"/>
      <c r="D27" s="45"/>
      <c r="E27" s="45"/>
      <c r="F27" s="45"/>
    </row>
    <row r="28" ht="15.75" customHeight="1">
      <c r="A28" s="45"/>
      <c r="B28" s="45"/>
      <c r="C28" s="45"/>
      <c r="D28" s="45"/>
      <c r="E28" s="45"/>
      <c r="F28" s="45"/>
    </row>
    <row r="29" ht="15.75" customHeight="1">
      <c r="A29" s="45"/>
      <c r="B29" s="45"/>
      <c r="C29" s="45"/>
      <c r="D29" s="45"/>
      <c r="E29" s="45"/>
      <c r="F29" s="45"/>
    </row>
    <row r="30" ht="15.75" customHeight="1">
      <c r="A30" s="45"/>
      <c r="B30" s="45"/>
      <c r="C30" s="45"/>
      <c r="D30" s="45"/>
      <c r="E30" s="45"/>
      <c r="F30" s="45"/>
    </row>
    <row r="31" ht="15.75" customHeight="1">
      <c r="A31" s="45"/>
      <c r="B31" s="45"/>
      <c r="C31" s="45"/>
      <c r="D31" s="45"/>
      <c r="E31" s="45"/>
      <c r="F31" s="45"/>
    </row>
    <row r="32" ht="15.75" customHeight="1">
      <c r="A32" s="45"/>
      <c r="B32" s="45"/>
      <c r="C32" s="45"/>
      <c r="D32" s="45"/>
      <c r="E32" s="45"/>
      <c r="F32" s="45"/>
    </row>
    <row r="33" ht="15.75" customHeight="1">
      <c r="A33" s="45"/>
      <c r="B33" s="45"/>
      <c r="C33" s="45"/>
      <c r="D33" s="45"/>
      <c r="E33" s="45"/>
      <c r="F33" s="45"/>
    </row>
    <row r="34" ht="15.75" customHeight="1">
      <c r="A34" s="45"/>
      <c r="B34" s="45"/>
      <c r="C34" s="45"/>
      <c r="D34" s="45"/>
      <c r="E34" s="45"/>
      <c r="F34" s="45"/>
    </row>
    <row r="35" ht="15.75" customHeight="1">
      <c r="A35" s="45"/>
      <c r="B35" s="45"/>
      <c r="C35" s="45"/>
      <c r="D35" s="45"/>
      <c r="E35" s="45"/>
      <c r="F35" s="45"/>
    </row>
    <row r="36" ht="15.75" customHeight="1">
      <c r="A36" s="45"/>
      <c r="B36" s="45"/>
      <c r="C36" s="45"/>
      <c r="D36" s="45"/>
      <c r="E36" s="45"/>
      <c r="F36" s="45"/>
    </row>
    <row r="37" ht="15.75" customHeight="1">
      <c r="A37" s="45"/>
      <c r="B37" s="45"/>
      <c r="C37" s="45"/>
      <c r="D37" s="45"/>
      <c r="E37" s="45"/>
      <c r="F37" s="45"/>
    </row>
    <row r="38" ht="15.75" customHeight="1">
      <c r="A38" s="45"/>
      <c r="B38" s="45"/>
      <c r="C38" s="45"/>
      <c r="D38" s="45"/>
      <c r="E38" s="45"/>
      <c r="F38" s="45"/>
    </row>
    <row r="39" ht="15.75" customHeight="1">
      <c r="A39" s="45"/>
      <c r="B39" s="45"/>
      <c r="C39" s="45"/>
      <c r="D39" s="45"/>
      <c r="E39" s="45"/>
      <c r="F39" s="45"/>
    </row>
    <row r="40" ht="15.75" customHeight="1">
      <c r="A40" s="45"/>
      <c r="B40" s="45"/>
      <c r="C40" s="45"/>
      <c r="D40" s="45"/>
      <c r="E40" s="45"/>
      <c r="F40" s="45"/>
    </row>
    <row r="41" ht="15.75" customHeight="1">
      <c r="A41" s="45"/>
      <c r="B41" s="45"/>
      <c r="C41" s="45"/>
      <c r="D41" s="45"/>
      <c r="E41" s="45"/>
      <c r="F41" s="45"/>
    </row>
    <row r="42" ht="15.75" customHeight="1">
      <c r="A42" s="45"/>
      <c r="B42" s="45"/>
      <c r="C42" s="45"/>
      <c r="D42" s="45"/>
      <c r="E42" s="45"/>
      <c r="F42" s="45"/>
    </row>
    <row r="43" ht="15.75" customHeight="1">
      <c r="A43" s="45"/>
      <c r="B43" s="45"/>
      <c r="C43" s="45"/>
      <c r="D43" s="45"/>
      <c r="E43" s="45"/>
      <c r="F43" s="45"/>
    </row>
    <row r="44" ht="15.75" customHeight="1">
      <c r="A44" s="45"/>
      <c r="B44" s="45"/>
      <c r="C44" s="45"/>
      <c r="D44" s="45"/>
      <c r="E44" s="45"/>
      <c r="F44" s="45"/>
    </row>
    <row r="45" ht="15.75" customHeight="1">
      <c r="A45" s="45"/>
      <c r="B45" s="45"/>
      <c r="C45" s="45"/>
      <c r="D45" s="45"/>
      <c r="E45" s="45"/>
      <c r="F45" s="45"/>
    </row>
    <row r="46" ht="15.75" customHeight="1">
      <c r="A46" s="45"/>
      <c r="B46" s="45"/>
      <c r="C46" s="45"/>
      <c r="D46" s="45"/>
      <c r="E46" s="45"/>
      <c r="F46" s="45"/>
    </row>
    <row r="47" ht="15.75" customHeight="1">
      <c r="A47" s="45"/>
      <c r="B47" s="45"/>
      <c r="C47" s="45"/>
      <c r="D47" s="45"/>
      <c r="E47" s="45"/>
      <c r="F47" s="45"/>
    </row>
    <row r="48" ht="15.75" customHeight="1">
      <c r="A48" s="45"/>
      <c r="B48" s="45"/>
      <c r="C48" s="45"/>
      <c r="D48" s="45"/>
      <c r="E48" s="45"/>
      <c r="F48" s="45"/>
    </row>
    <row r="49" ht="15.75" customHeight="1">
      <c r="A49" s="45"/>
      <c r="B49" s="45"/>
      <c r="C49" s="45"/>
      <c r="D49" s="45"/>
      <c r="E49" s="45"/>
      <c r="F49" s="45"/>
    </row>
    <row r="50" ht="15.75" customHeight="1">
      <c r="A50" s="45"/>
      <c r="B50" s="45"/>
      <c r="C50" s="45"/>
      <c r="D50" s="45"/>
      <c r="E50" s="45"/>
      <c r="F50" s="45"/>
    </row>
    <row r="51" ht="15.75" customHeight="1">
      <c r="A51" s="45"/>
      <c r="B51" s="45"/>
      <c r="C51" s="45"/>
      <c r="D51" s="45"/>
      <c r="E51" s="45"/>
      <c r="F51" s="45"/>
    </row>
    <row r="52" ht="15.75" customHeight="1">
      <c r="A52" s="45"/>
      <c r="B52" s="45"/>
      <c r="C52" s="45"/>
      <c r="D52" s="45"/>
      <c r="E52" s="45"/>
      <c r="F52" s="45"/>
    </row>
    <row r="53" ht="15.75" customHeight="1">
      <c r="A53" s="45"/>
      <c r="B53" s="45"/>
      <c r="C53" s="45"/>
      <c r="D53" s="45"/>
      <c r="E53" s="45"/>
      <c r="F53" s="45"/>
    </row>
    <row r="54" ht="15.75" customHeight="1">
      <c r="A54" s="45"/>
      <c r="B54" s="45"/>
      <c r="C54" s="45"/>
      <c r="D54" s="45"/>
      <c r="E54" s="45"/>
      <c r="F54" s="45"/>
    </row>
    <row r="55" ht="15.75" customHeight="1">
      <c r="A55" s="45"/>
      <c r="B55" s="45"/>
      <c r="C55" s="45"/>
      <c r="D55" s="45"/>
      <c r="E55" s="45"/>
      <c r="F55" s="45"/>
    </row>
    <row r="56" ht="15.75" customHeight="1">
      <c r="A56" s="45"/>
      <c r="B56" s="45"/>
      <c r="C56" s="45"/>
      <c r="D56" s="45"/>
      <c r="E56" s="45"/>
      <c r="F56" s="45"/>
    </row>
    <row r="57" ht="15.75" customHeight="1">
      <c r="A57" s="45"/>
      <c r="B57" s="45"/>
      <c r="C57" s="45"/>
      <c r="D57" s="45"/>
      <c r="E57" s="45"/>
      <c r="F57" s="45"/>
    </row>
    <row r="58" ht="15.75" customHeight="1">
      <c r="A58" s="45"/>
      <c r="B58" s="45"/>
      <c r="C58" s="45"/>
      <c r="D58" s="45"/>
      <c r="E58" s="45"/>
      <c r="F58" s="45"/>
    </row>
    <row r="59" ht="15.75" customHeight="1">
      <c r="A59" s="45"/>
      <c r="B59" s="45"/>
      <c r="C59" s="45"/>
      <c r="D59" s="45"/>
      <c r="E59" s="45"/>
      <c r="F59" s="45"/>
    </row>
    <row r="60" ht="15.75" customHeight="1">
      <c r="A60" s="45"/>
      <c r="B60" s="45"/>
      <c r="C60" s="45"/>
      <c r="D60" s="45"/>
      <c r="E60" s="45"/>
      <c r="F60" s="45"/>
    </row>
    <row r="61" ht="15.75" customHeight="1">
      <c r="A61" s="45"/>
      <c r="B61" s="45"/>
      <c r="C61" s="45"/>
      <c r="D61" s="45"/>
      <c r="E61" s="45"/>
      <c r="F61" s="45"/>
    </row>
    <row r="62" ht="15.75" customHeight="1">
      <c r="A62" s="45"/>
      <c r="B62" s="45"/>
      <c r="C62" s="45"/>
      <c r="D62" s="45"/>
      <c r="E62" s="45"/>
      <c r="F62" s="45"/>
    </row>
    <row r="63" ht="15.75" customHeight="1">
      <c r="A63" s="45"/>
      <c r="B63" s="45"/>
      <c r="C63" s="45"/>
      <c r="D63" s="45"/>
      <c r="E63" s="45"/>
      <c r="F63" s="45"/>
    </row>
    <row r="64" ht="15.75" customHeight="1">
      <c r="A64" s="45"/>
      <c r="B64" s="45"/>
      <c r="C64" s="45"/>
      <c r="D64" s="45"/>
      <c r="E64" s="45"/>
      <c r="F64" s="45"/>
    </row>
    <row r="65" ht="15.75" customHeight="1">
      <c r="A65" s="45"/>
      <c r="B65" s="45"/>
      <c r="C65" s="45"/>
      <c r="D65" s="45"/>
      <c r="E65" s="45"/>
      <c r="F65" s="45"/>
    </row>
    <row r="66" ht="15.75" customHeight="1">
      <c r="A66" s="45"/>
      <c r="B66" s="45"/>
      <c r="C66" s="45"/>
      <c r="D66" s="45"/>
      <c r="E66" s="45"/>
      <c r="F66" s="45"/>
    </row>
    <row r="67" ht="15.75" customHeight="1">
      <c r="A67" s="45"/>
      <c r="B67" s="45"/>
      <c r="C67" s="45"/>
      <c r="D67" s="45"/>
      <c r="E67" s="45"/>
      <c r="F67" s="45"/>
    </row>
    <row r="68" ht="15.75" customHeight="1">
      <c r="A68" s="45"/>
      <c r="B68" s="45"/>
      <c r="C68" s="45"/>
      <c r="D68" s="45"/>
      <c r="E68" s="45"/>
      <c r="F68" s="45"/>
    </row>
    <row r="69" ht="15.75" customHeight="1">
      <c r="A69" s="45"/>
      <c r="B69" s="45"/>
      <c r="C69" s="45"/>
      <c r="D69" s="45"/>
      <c r="E69" s="45"/>
      <c r="F69" s="45"/>
    </row>
    <row r="70" ht="15.75" customHeight="1">
      <c r="A70" s="45"/>
      <c r="B70" s="45"/>
      <c r="C70" s="45"/>
      <c r="D70" s="45"/>
      <c r="E70" s="45"/>
      <c r="F70" s="45"/>
    </row>
    <row r="71" ht="15.75" customHeight="1">
      <c r="A71" s="45"/>
      <c r="B71" s="45"/>
      <c r="C71" s="45"/>
      <c r="D71" s="45"/>
      <c r="E71" s="45"/>
      <c r="F71" s="45"/>
    </row>
    <row r="72" ht="15.75" customHeight="1">
      <c r="A72" s="45"/>
      <c r="B72" s="45"/>
      <c r="C72" s="45"/>
      <c r="D72" s="45"/>
      <c r="E72" s="45"/>
      <c r="F72" s="45"/>
    </row>
    <row r="73" ht="15.75" customHeight="1">
      <c r="A73" s="45"/>
      <c r="B73" s="45"/>
      <c r="C73" s="45"/>
      <c r="D73" s="45"/>
      <c r="E73" s="45"/>
      <c r="F73" s="45"/>
    </row>
    <row r="74" ht="15.75" customHeight="1">
      <c r="A74" s="45"/>
      <c r="B74" s="45"/>
      <c r="C74" s="45"/>
      <c r="D74" s="45"/>
      <c r="E74" s="45"/>
      <c r="F74" s="45"/>
    </row>
    <row r="75" ht="15.75" customHeight="1">
      <c r="A75" s="45"/>
      <c r="B75" s="45"/>
      <c r="C75" s="45"/>
      <c r="D75" s="45"/>
      <c r="E75" s="45"/>
      <c r="F75" s="45"/>
    </row>
    <row r="76" ht="15.75" customHeight="1">
      <c r="A76" s="45"/>
      <c r="B76" s="45"/>
      <c r="C76" s="45"/>
      <c r="D76" s="45"/>
      <c r="E76" s="45"/>
      <c r="F76" s="45"/>
    </row>
    <row r="77" ht="15.75" customHeight="1">
      <c r="A77" s="45"/>
      <c r="B77" s="45"/>
      <c r="C77" s="45"/>
      <c r="D77" s="45"/>
      <c r="E77" s="45"/>
      <c r="F77" s="45"/>
    </row>
    <row r="78" ht="15.75" customHeight="1">
      <c r="A78" s="45"/>
      <c r="B78" s="45"/>
      <c r="C78" s="45"/>
      <c r="D78" s="45"/>
      <c r="E78" s="45"/>
      <c r="F78" s="45"/>
    </row>
    <row r="79" ht="15.75" customHeight="1">
      <c r="A79" s="45"/>
      <c r="B79" s="45"/>
      <c r="C79" s="45"/>
      <c r="D79" s="45"/>
      <c r="E79" s="45"/>
      <c r="F79" s="45"/>
    </row>
    <row r="80" ht="15.75" customHeight="1">
      <c r="A80" s="45"/>
      <c r="B80" s="45"/>
      <c r="C80" s="45"/>
      <c r="D80" s="45"/>
      <c r="E80" s="45"/>
      <c r="F80" s="45"/>
    </row>
    <row r="81" ht="15.75" customHeight="1">
      <c r="A81" s="45"/>
      <c r="B81" s="45"/>
      <c r="C81" s="45"/>
      <c r="D81" s="45"/>
      <c r="E81" s="45"/>
      <c r="F81" s="45"/>
    </row>
    <row r="82" ht="15.75" customHeight="1">
      <c r="A82" s="45"/>
      <c r="B82" s="45"/>
      <c r="C82" s="45"/>
      <c r="D82" s="45"/>
      <c r="E82" s="45"/>
      <c r="F82" s="45"/>
    </row>
    <row r="83" ht="15.75" customHeight="1">
      <c r="A83" s="45"/>
      <c r="B83" s="45"/>
      <c r="C83" s="45"/>
      <c r="D83" s="45"/>
      <c r="E83" s="45"/>
      <c r="F83" s="45"/>
    </row>
    <row r="84" ht="15.75" customHeight="1">
      <c r="A84" s="45"/>
      <c r="B84" s="45"/>
      <c r="C84" s="45"/>
      <c r="D84" s="45"/>
      <c r="E84" s="45"/>
      <c r="F84" s="45"/>
    </row>
    <row r="85" ht="15.75" customHeight="1">
      <c r="A85" s="45"/>
      <c r="B85" s="45"/>
      <c r="C85" s="45"/>
      <c r="D85" s="45"/>
      <c r="E85" s="45"/>
      <c r="F85" s="45"/>
    </row>
    <row r="86" ht="15.75" customHeight="1">
      <c r="A86" s="45"/>
      <c r="B86" s="45"/>
      <c r="C86" s="45"/>
      <c r="D86" s="45"/>
      <c r="E86" s="45"/>
      <c r="F86" s="45"/>
    </row>
    <row r="87" ht="15.75" customHeight="1">
      <c r="A87" s="45"/>
      <c r="B87" s="45"/>
      <c r="C87" s="45"/>
      <c r="D87" s="45"/>
      <c r="E87" s="45"/>
      <c r="F87" s="45"/>
    </row>
    <row r="88" ht="15.75" customHeight="1">
      <c r="A88" s="45"/>
      <c r="B88" s="45"/>
      <c r="C88" s="45"/>
      <c r="D88" s="45"/>
      <c r="E88" s="45"/>
      <c r="F88" s="45"/>
    </row>
    <row r="89" ht="15.75" customHeight="1">
      <c r="A89" s="45"/>
      <c r="B89" s="45"/>
      <c r="C89" s="45"/>
      <c r="D89" s="45"/>
      <c r="E89" s="45"/>
      <c r="F89" s="45"/>
    </row>
    <row r="90" ht="15.75" customHeight="1">
      <c r="A90" s="45"/>
      <c r="B90" s="45"/>
      <c r="C90" s="45"/>
      <c r="D90" s="45"/>
      <c r="E90" s="45"/>
      <c r="F90" s="45"/>
    </row>
    <row r="91" ht="15.75" customHeight="1">
      <c r="A91" s="45"/>
      <c r="B91" s="45"/>
      <c r="C91" s="45"/>
      <c r="D91" s="45"/>
      <c r="E91" s="45"/>
      <c r="F91" s="45"/>
    </row>
    <row r="92" ht="15.75" customHeight="1">
      <c r="A92" s="45"/>
      <c r="B92" s="45"/>
      <c r="C92" s="45"/>
      <c r="D92" s="45"/>
      <c r="E92" s="45"/>
      <c r="F92" s="45"/>
    </row>
    <row r="93" ht="15.75" customHeight="1">
      <c r="A93" s="45"/>
      <c r="B93" s="45"/>
      <c r="C93" s="45"/>
      <c r="D93" s="45"/>
      <c r="E93" s="45"/>
      <c r="F93" s="45"/>
    </row>
    <row r="94" ht="15.75" customHeight="1">
      <c r="A94" s="45"/>
      <c r="B94" s="45"/>
      <c r="C94" s="45"/>
      <c r="D94" s="45"/>
      <c r="E94" s="45"/>
      <c r="F94" s="45"/>
    </row>
    <row r="95" ht="15.75" customHeight="1">
      <c r="A95" s="45"/>
      <c r="B95" s="45"/>
      <c r="C95" s="45"/>
      <c r="D95" s="45"/>
      <c r="E95" s="45"/>
      <c r="F95" s="45"/>
    </row>
    <row r="96" ht="15.75" customHeight="1">
      <c r="A96" s="45"/>
      <c r="B96" s="45"/>
      <c r="C96" s="45"/>
      <c r="D96" s="45"/>
      <c r="E96" s="45"/>
      <c r="F96" s="45"/>
    </row>
    <row r="97" ht="15.75" customHeight="1">
      <c r="A97" s="45"/>
      <c r="B97" s="45"/>
      <c r="C97" s="45"/>
      <c r="D97" s="45"/>
      <c r="E97" s="45"/>
      <c r="F97" s="45"/>
    </row>
    <row r="98" ht="15.75" customHeight="1">
      <c r="A98" s="45"/>
      <c r="B98" s="45"/>
      <c r="C98" s="45"/>
      <c r="D98" s="45"/>
      <c r="E98" s="45"/>
      <c r="F98" s="45"/>
    </row>
    <row r="99" ht="15.75" customHeight="1">
      <c r="A99" s="45"/>
      <c r="B99" s="45"/>
      <c r="C99" s="45"/>
      <c r="D99" s="45"/>
      <c r="E99" s="45"/>
      <c r="F99" s="45"/>
    </row>
    <row r="100" ht="15.75" customHeight="1">
      <c r="A100" s="45"/>
      <c r="B100" s="45"/>
      <c r="C100" s="45"/>
      <c r="D100" s="45"/>
      <c r="E100" s="45"/>
      <c r="F100" s="45"/>
    </row>
    <row r="101" ht="15.75" customHeight="1">
      <c r="A101" s="45"/>
      <c r="B101" s="45"/>
      <c r="C101" s="45"/>
      <c r="D101" s="45"/>
      <c r="E101" s="45"/>
      <c r="F101" s="45"/>
    </row>
    <row r="102" ht="15.75" customHeight="1">
      <c r="A102" s="45"/>
      <c r="B102" s="45"/>
      <c r="C102" s="45"/>
      <c r="D102" s="45"/>
      <c r="E102" s="45"/>
      <c r="F102" s="45"/>
    </row>
    <row r="103" ht="15.75" customHeight="1">
      <c r="A103" s="45"/>
      <c r="B103" s="45"/>
      <c r="C103" s="45"/>
      <c r="D103" s="45"/>
      <c r="E103" s="45"/>
      <c r="F103" s="45"/>
    </row>
    <row r="104" ht="15.75" customHeight="1">
      <c r="A104" s="45"/>
      <c r="B104" s="45"/>
      <c r="C104" s="45"/>
      <c r="D104" s="45"/>
      <c r="E104" s="45"/>
      <c r="F104" s="45"/>
    </row>
    <row r="105" ht="15.75" customHeight="1">
      <c r="A105" s="45"/>
      <c r="B105" s="45"/>
      <c r="C105" s="45"/>
      <c r="D105" s="45"/>
      <c r="E105" s="45"/>
      <c r="F105" s="45"/>
    </row>
    <row r="106" ht="15.75" customHeight="1">
      <c r="A106" s="45"/>
      <c r="B106" s="45"/>
      <c r="C106" s="45"/>
      <c r="D106" s="45"/>
      <c r="E106" s="45"/>
      <c r="F106" s="45"/>
    </row>
    <row r="107" ht="15.75" customHeight="1">
      <c r="A107" s="45"/>
      <c r="B107" s="45"/>
      <c r="C107" s="45"/>
      <c r="D107" s="45"/>
      <c r="E107" s="45"/>
      <c r="F107" s="45"/>
    </row>
    <row r="108" ht="15.75" customHeight="1">
      <c r="A108" s="45"/>
      <c r="B108" s="45"/>
      <c r="C108" s="45"/>
      <c r="D108" s="45"/>
      <c r="E108" s="45"/>
      <c r="F108" s="45"/>
    </row>
    <row r="109" ht="15.75" customHeight="1">
      <c r="A109" s="45"/>
      <c r="B109" s="45"/>
      <c r="C109" s="45"/>
      <c r="D109" s="45"/>
      <c r="E109" s="45"/>
      <c r="F109" s="45"/>
    </row>
    <row r="110" ht="15.75" customHeight="1">
      <c r="A110" s="45"/>
      <c r="B110" s="45"/>
      <c r="C110" s="45"/>
      <c r="D110" s="45"/>
      <c r="E110" s="45"/>
      <c r="F110" s="45"/>
    </row>
    <row r="111" ht="15.75" customHeight="1">
      <c r="A111" s="45"/>
      <c r="B111" s="45"/>
      <c r="C111" s="45"/>
      <c r="D111" s="45"/>
      <c r="E111" s="45"/>
      <c r="F111" s="45"/>
    </row>
    <row r="112" ht="15.75" customHeight="1">
      <c r="A112" s="45"/>
      <c r="B112" s="45"/>
      <c r="C112" s="45"/>
      <c r="D112" s="45"/>
      <c r="E112" s="45"/>
      <c r="F112" s="45"/>
    </row>
    <row r="113" ht="15.75" customHeight="1">
      <c r="A113" s="45"/>
      <c r="B113" s="45"/>
      <c r="C113" s="45"/>
      <c r="D113" s="45"/>
      <c r="E113" s="45"/>
      <c r="F113" s="45"/>
    </row>
    <row r="114" ht="15.75" customHeight="1">
      <c r="A114" s="45"/>
      <c r="B114" s="45"/>
      <c r="C114" s="45"/>
      <c r="D114" s="45"/>
      <c r="E114" s="45"/>
      <c r="F114" s="45"/>
    </row>
    <row r="115" ht="15.75" customHeight="1">
      <c r="A115" s="45"/>
      <c r="B115" s="45"/>
      <c r="C115" s="45"/>
      <c r="D115" s="45"/>
      <c r="E115" s="45"/>
      <c r="F115" s="45"/>
    </row>
    <row r="116" ht="15.75" customHeight="1">
      <c r="A116" s="45"/>
      <c r="B116" s="45"/>
      <c r="C116" s="45"/>
      <c r="D116" s="45"/>
      <c r="E116" s="45"/>
      <c r="F116" s="45"/>
    </row>
    <row r="117" ht="15.75" customHeight="1">
      <c r="A117" s="45"/>
      <c r="B117" s="45"/>
      <c r="C117" s="45"/>
      <c r="D117" s="45"/>
      <c r="E117" s="45"/>
      <c r="F117" s="45"/>
    </row>
    <row r="118" ht="15.75" customHeight="1">
      <c r="A118" s="45"/>
      <c r="B118" s="45"/>
      <c r="C118" s="45"/>
      <c r="D118" s="45"/>
      <c r="E118" s="45"/>
      <c r="F118" s="45"/>
    </row>
    <row r="119" ht="15.75" customHeight="1">
      <c r="A119" s="45"/>
      <c r="B119" s="45"/>
      <c r="C119" s="45"/>
      <c r="D119" s="45"/>
      <c r="E119" s="45"/>
      <c r="F119" s="45"/>
    </row>
    <row r="120" ht="15.75" customHeight="1">
      <c r="A120" s="45"/>
      <c r="B120" s="45"/>
      <c r="C120" s="45"/>
      <c r="D120" s="45"/>
      <c r="E120" s="45"/>
      <c r="F120" s="45"/>
    </row>
    <row r="121" ht="15.75" customHeight="1">
      <c r="A121" s="45"/>
      <c r="B121" s="45"/>
      <c r="C121" s="45"/>
      <c r="D121" s="45"/>
      <c r="E121" s="45"/>
      <c r="F121" s="45"/>
    </row>
    <row r="122" ht="15.75" customHeight="1">
      <c r="A122" s="45"/>
      <c r="B122" s="45"/>
      <c r="C122" s="45"/>
      <c r="D122" s="45"/>
      <c r="E122" s="45"/>
      <c r="F122" s="45"/>
    </row>
    <row r="123" ht="15.75" customHeight="1">
      <c r="A123" s="45"/>
      <c r="B123" s="45"/>
      <c r="C123" s="45"/>
      <c r="D123" s="45"/>
      <c r="E123" s="45"/>
      <c r="F123" s="45"/>
    </row>
    <row r="124" ht="15.75" customHeight="1">
      <c r="A124" s="45"/>
      <c r="B124" s="45"/>
      <c r="C124" s="45"/>
      <c r="D124" s="45"/>
      <c r="E124" s="45"/>
      <c r="F124" s="45"/>
    </row>
    <row r="125" ht="15.75" customHeight="1">
      <c r="A125" s="45"/>
      <c r="B125" s="45"/>
      <c r="C125" s="45"/>
      <c r="D125" s="45"/>
      <c r="E125" s="45"/>
      <c r="F125" s="45"/>
    </row>
    <row r="126" ht="15.75" customHeight="1">
      <c r="A126" s="45"/>
      <c r="B126" s="45"/>
      <c r="C126" s="45"/>
      <c r="D126" s="45"/>
      <c r="E126" s="45"/>
      <c r="F126" s="45"/>
    </row>
    <row r="127" ht="15.75" customHeight="1">
      <c r="A127" s="45"/>
      <c r="B127" s="45"/>
      <c r="C127" s="45"/>
      <c r="D127" s="45"/>
      <c r="E127" s="45"/>
      <c r="F127" s="45"/>
    </row>
    <row r="128" ht="15.75" customHeight="1">
      <c r="A128" s="45"/>
      <c r="B128" s="45"/>
      <c r="C128" s="45"/>
      <c r="D128" s="45"/>
      <c r="E128" s="45"/>
      <c r="F128" s="45"/>
    </row>
    <row r="129" ht="15.75" customHeight="1">
      <c r="A129" s="45"/>
      <c r="B129" s="45"/>
      <c r="C129" s="45"/>
      <c r="D129" s="45"/>
      <c r="E129" s="45"/>
      <c r="F129" s="45"/>
    </row>
    <row r="130" ht="15.75" customHeight="1">
      <c r="A130" s="45"/>
      <c r="B130" s="45"/>
      <c r="C130" s="45"/>
      <c r="D130" s="45"/>
      <c r="E130" s="45"/>
      <c r="F130" s="45"/>
    </row>
    <row r="131" ht="15.75" customHeight="1">
      <c r="A131" s="45"/>
      <c r="B131" s="45"/>
      <c r="C131" s="45"/>
      <c r="D131" s="45"/>
      <c r="E131" s="45"/>
      <c r="F131" s="45"/>
    </row>
    <row r="132" ht="15.75" customHeight="1">
      <c r="A132" s="45"/>
      <c r="B132" s="45"/>
      <c r="C132" s="45"/>
      <c r="D132" s="45"/>
      <c r="E132" s="45"/>
      <c r="F132" s="45"/>
    </row>
    <row r="133" ht="15.75" customHeight="1">
      <c r="A133" s="45"/>
      <c r="B133" s="45"/>
      <c r="C133" s="45"/>
      <c r="D133" s="45"/>
      <c r="E133" s="45"/>
      <c r="F133" s="45"/>
    </row>
    <row r="134" ht="15.75" customHeight="1">
      <c r="A134" s="45"/>
      <c r="B134" s="45"/>
      <c r="C134" s="45"/>
      <c r="D134" s="45"/>
      <c r="E134" s="45"/>
      <c r="F134" s="45"/>
    </row>
    <row r="135" ht="15.75" customHeight="1">
      <c r="A135" s="45"/>
      <c r="B135" s="45"/>
      <c r="C135" s="45"/>
      <c r="D135" s="45"/>
      <c r="E135" s="45"/>
      <c r="F135" s="45"/>
    </row>
    <row r="136" ht="15.75" customHeight="1">
      <c r="A136" s="45"/>
      <c r="B136" s="45"/>
      <c r="C136" s="45"/>
      <c r="D136" s="45"/>
      <c r="E136" s="45"/>
      <c r="F136" s="45"/>
    </row>
    <row r="137" ht="15.75" customHeight="1">
      <c r="A137" s="45"/>
      <c r="B137" s="45"/>
      <c r="C137" s="45"/>
      <c r="D137" s="45"/>
      <c r="E137" s="45"/>
      <c r="F137" s="45"/>
    </row>
    <row r="138" ht="15.75" customHeight="1">
      <c r="A138" s="45"/>
      <c r="B138" s="45"/>
      <c r="C138" s="45"/>
      <c r="D138" s="45"/>
      <c r="E138" s="45"/>
      <c r="F138" s="45"/>
    </row>
    <row r="139" ht="15.75" customHeight="1">
      <c r="A139" s="45"/>
      <c r="B139" s="45"/>
      <c r="C139" s="45"/>
      <c r="D139" s="45"/>
      <c r="E139" s="45"/>
      <c r="F139" s="45"/>
    </row>
    <row r="140" ht="15.75" customHeight="1">
      <c r="A140" s="45"/>
      <c r="B140" s="45"/>
      <c r="C140" s="45"/>
      <c r="D140" s="45"/>
      <c r="E140" s="45"/>
      <c r="F140" s="45"/>
    </row>
    <row r="141" ht="15.75" customHeight="1">
      <c r="A141" s="45"/>
      <c r="B141" s="45"/>
      <c r="C141" s="45"/>
      <c r="D141" s="45"/>
      <c r="E141" s="45"/>
      <c r="F141" s="45"/>
    </row>
    <row r="142" ht="15.75" customHeight="1">
      <c r="A142" s="45"/>
      <c r="B142" s="45"/>
      <c r="C142" s="45"/>
      <c r="D142" s="45"/>
      <c r="E142" s="45"/>
      <c r="F142" s="45"/>
    </row>
    <row r="143" ht="15.75" customHeight="1">
      <c r="A143" s="45"/>
      <c r="B143" s="45"/>
      <c r="C143" s="45"/>
      <c r="D143" s="45"/>
      <c r="E143" s="45"/>
      <c r="F143" s="45"/>
    </row>
    <row r="144" ht="15.75" customHeight="1">
      <c r="A144" s="45"/>
      <c r="B144" s="45"/>
      <c r="C144" s="45"/>
      <c r="D144" s="45"/>
      <c r="E144" s="45"/>
      <c r="F144" s="45"/>
    </row>
    <row r="145" ht="15.75" customHeight="1">
      <c r="A145" s="45"/>
      <c r="B145" s="45"/>
      <c r="C145" s="45"/>
      <c r="D145" s="45"/>
      <c r="E145" s="45"/>
      <c r="F145" s="45"/>
    </row>
    <row r="146" ht="15.75" customHeight="1">
      <c r="A146" s="45"/>
      <c r="B146" s="45"/>
      <c r="C146" s="45"/>
      <c r="D146" s="45"/>
      <c r="E146" s="45"/>
      <c r="F146" s="45"/>
    </row>
    <row r="147" ht="15.75" customHeight="1">
      <c r="A147" s="45"/>
      <c r="B147" s="45"/>
      <c r="C147" s="45"/>
      <c r="D147" s="45"/>
      <c r="E147" s="45"/>
      <c r="F147" s="45"/>
    </row>
    <row r="148" ht="15.75" customHeight="1">
      <c r="A148" s="45"/>
      <c r="B148" s="45"/>
      <c r="C148" s="45"/>
      <c r="D148" s="45"/>
      <c r="E148" s="45"/>
      <c r="F148" s="45"/>
    </row>
    <row r="149" ht="15.75" customHeight="1">
      <c r="A149" s="45"/>
      <c r="B149" s="45"/>
      <c r="C149" s="45"/>
      <c r="D149" s="45"/>
      <c r="E149" s="45"/>
      <c r="F149" s="45"/>
    </row>
    <row r="150" ht="15.75" customHeight="1">
      <c r="A150" s="45"/>
      <c r="B150" s="45"/>
      <c r="C150" s="45"/>
      <c r="D150" s="45"/>
      <c r="E150" s="45"/>
      <c r="F150" s="45"/>
    </row>
    <row r="151" ht="15.75" customHeight="1">
      <c r="A151" s="45"/>
      <c r="B151" s="45"/>
      <c r="C151" s="45"/>
      <c r="D151" s="45"/>
      <c r="E151" s="45"/>
      <c r="F151" s="45"/>
    </row>
    <row r="152" ht="15.75" customHeight="1">
      <c r="A152" s="45"/>
      <c r="B152" s="45"/>
      <c r="C152" s="45"/>
      <c r="D152" s="45"/>
      <c r="E152" s="45"/>
      <c r="F152" s="45"/>
    </row>
    <row r="153" ht="15.75" customHeight="1">
      <c r="A153" s="45"/>
      <c r="B153" s="45"/>
      <c r="C153" s="45"/>
      <c r="D153" s="45"/>
      <c r="E153" s="45"/>
      <c r="F153" s="45"/>
    </row>
    <row r="154" ht="15.75" customHeight="1">
      <c r="A154" s="45"/>
      <c r="B154" s="45"/>
      <c r="C154" s="45"/>
      <c r="D154" s="45"/>
      <c r="E154" s="45"/>
      <c r="F154" s="45"/>
    </row>
    <row r="155" ht="15.75" customHeight="1">
      <c r="A155" s="45"/>
      <c r="B155" s="45"/>
      <c r="C155" s="45"/>
      <c r="D155" s="45"/>
      <c r="E155" s="45"/>
      <c r="F155" s="45"/>
    </row>
    <row r="156" ht="15.75" customHeight="1">
      <c r="A156" s="45"/>
      <c r="B156" s="45"/>
      <c r="C156" s="45"/>
      <c r="D156" s="45"/>
      <c r="E156" s="45"/>
      <c r="F156" s="45"/>
    </row>
    <row r="157" ht="15.75" customHeight="1">
      <c r="A157" s="45"/>
      <c r="B157" s="45"/>
      <c r="C157" s="45"/>
      <c r="D157" s="45"/>
      <c r="E157" s="45"/>
      <c r="F157" s="45"/>
    </row>
    <row r="158" ht="15.75" customHeight="1">
      <c r="A158" s="45"/>
      <c r="B158" s="45"/>
      <c r="C158" s="45"/>
      <c r="D158" s="45"/>
      <c r="E158" s="45"/>
      <c r="F158" s="45"/>
    </row>
    <row r="159" ht="15.75" customHeight="1">
      <c r="A159" s="45"/>
      <c r="B159" s="45"/>
      <c r="C159" s="45"/>
      <c r="D159" s="45"/>
      <c r="E159" s="45"/>
      <c r="F159" s="45"/>
    </row>
    <row r="160" ht="15.75" customHeight="1">
      <c r="A160" s="45"/>
      <c r="B160" s="45"/>
      <c r="C160" s="45"/>
      <c r="D160" s="45"/>
      <c r="E160" s="45"/>
      <c r="F160" s="45"/>
    </row>
    <row r="161" ht="15.75" customHeight="1">
      <c r="A161" s="45"/>
      <c r="B161" s="45"/>
      <c r="C161" s="45"/>
      <c r="D161" s="45"/>
      <c r="E161" s="45"/>
      <c r="F161" s="45"/>
    </row>
    <row r="162" ht="15.75" customHeight="1">
      <c r="A162" s="45"/>
      <c r="B162" s="45"/>
      <c r="C162" s="45"/>
      <c r="D162" s="45"/>
      <c r="E162" s="45"/>
      <c r="F162" s="45"/>
    </row>
    <row r="163" ht="15.75" customHeight="1">
      <c r="A163" s="45"/>
      <c r="B163" s="45"/>
      <c r="C163" s="45"/>
      <c r="D163" s="45"/>
      <c r="E163" s="45"/>
      <c r="F163" s="45"/>
    </row>
    <row r="164" ht="15.75" customHeight="1">
      <c r="A164" s="45"/>
      <c r="B164" s="45"/>
      <c r="C164" s="45"/>
      <c r="D164" s="45"/>
      <c r="E164" s="45"/>
      <c r="F164" s="45"/>
    </row>
    <row r="165" ht="15.75" customHeight="1">
      <c r="A165" s="45"/>
      <c r="B165" s="45"/>
      <c r="C165" s="45"/>
      <c r="D165" s="45"/>
      <c r="E165" s="45"/>
      <c r="F165" s="45"/>
    </row>
    <row r="166" ht="15.75" customHeight="1">
      <c r="A166" s="45"/>
      <c r="B166" s="45"/>
      <c r="C166" s="45"/>
      <c r="D166" s="45"/>
      <c r="E166" s="45"/>
      <c r="F166" s="45"/>
    </row>
    <row r="167" ht="15.75" customHeight="1">
      <c r="A167" s="45"/>
      <c r="B167" s="45"/>
      <c r="C167" s="45"/>
      <c r="D167" s="45"/>
      <c r="E167" s="45"/>
      <c r="F167" s="45"/>
    </row>
    <row r="168" ht="15.75" customHeight="1">
      <c r="A168" s="45"/>
      <c r="B168" s="45"/>
      <c r="C168" s="45"/>
      <c r="D168" s="45"/>
      <c r="E168" s="45"/>
      <c r="F168" s="45"/>
    </row>
    <row r="169" ht="15.75" customHeight="1">
      <c r="A169" s="45"/>
      <c r="B169" s="45"/>
      <c r="C169" s="45"/>
      <c r="D169" s="45"/>
      <c r="E169" s="45"/>
      <c r="F169" s="45"/>
    </row>
    <row r="170" ht="15.75" customHeight="1">
      <c r="A170" s="45"/>
      <c r="B170" s="45"/>
      <c r="C170" s="45"/>
      <c r="D170" s="45"/>
      <c r="E170" s="45"/>
      <c r="F170" s="45"/>
    </row>
    <row r="171" ht="15.75" customHeight="1">
      <c r="A171" s="45"/>
      <c r="B171" s="45"/>
      <c r="C171" s="45"/>
      <c r="D171" s="45"/>
      <c r="E171" s="45"/>
      <c r="F171" s="45"/>
    </row>
    <row r="172" ht="15.75" customHeight="1">
      <c r="A172" s="45"/>
      <c r="B172" s="45"/>
      <c r="C172" s="45"/>
      <c r="D172" s="45"/>
      <c r="E172" s="45"/>
      <c r="F172" s="45"/>
    </row>
    <row r="173" ht="15.75" customHeight="1">
      <c r="A173" s="45"/>
      <c r="B173" s="45"/>
      <c r="C173" s="45"/>
      <c r="D173" s="45"/>
      <c r="E173" s="45"/>
      <c r="F173" s="45"/>
    </row>
    <row r="174" ht="15.75" customHeight="1">
      <c r="A174" s="45"/>
      <c r="B174" s="45"/>
      <c r="C174" s="45"/>
      <c r="D174" s="45"/>
      <c r="E174" s="45"/>
      <c r="F174" s="45"/>
    </row>
    <row r="175" ht="15.75" customHeight="1">
      <c r="A175" s="45"/>
      <c r="B175" s="45"/>
      <c r="C175" s="45"/>
      <c r="D175" s="45"/>
      <c r="E175" s="45"/>
      <c r="F175" s="45"/>
    </row>
    <row r="176" ht="15.75" customHeight="1">
      <c r="A176" s="45"/>
      <c r="B176" s="45"/>
      <c r="C176" s="45"/>
      <c r="D176" s="45"/>
      <c r="E176" s="45"/>
      <c r="F176" s="45"/>
    </row>
    <row r="177" ht="15.75" customHeight="1">
      <c r="A177" s="45"/>
      <c r="B177" s="45"/>
      <c r="C177" s="45"/>
      <c r="D177" s="45"/>
      <c r="E177" s="45"/>
      <c r="F177" s="45"/>
    </row>
    <row r="178" ht="15.75" customHeight="1">
      <c r="A178" s="45"/>
      <c r="B178" s="45"/>
      <c r="C178" s="45"/>
      <c r="D178" s="45"/>
      <c r="E178" s="45"/>
      <c r="F178" s="45"/>
    </row>
    <row r="179" ht="15.75" customHeight="1">
      <c r="A179" s="45"/>
      <c r="B179" s="45"/>
      <c r="C179" s="45"/>
      <c r="D179" s="45"/>
      <c r="E179" s="45"/>
      <c r="F179" s="45"/>
    </row>
    <row r="180" ht="15.75" customHeight="1">
      <c r="A180" s="45"/>
      <c r="B180" s="45"/>
      <c r="C180" s="45"/>
      <c r="D180" s="45"/>
      <c r="E180" s="45"/>
      <c r="F180" s="45"/>
    </row>
    <row r="181" ht="15.75" customHeight="1">
      <c r="A181" s="45"/>
      <c r="B181" s="45"/>
      <c r="C181" s="45"/>
      <c r="D181" s="45"/>
      <c r="E181" s="45"/>
      <c r="F181" s="45"/>
    </row>
    <row r="182" ht="15.75" customHeight="1">
      <c r="A182" s="45"/>
      <c r="B182" s="45"/>
      <c r="C182" s="45"/>
      <c r="D182" s="45"/>
      <c r="E182" s="45"/>
      <c r="F182" s="45"/>
    </row>
    <row r="183" ht="15.75" customHeight="1">
      <c r="A183" s="45"/>
      <c r="B183" s="45"/>
      <c r="C183" s="45"/>
      <c r="D183" s="45"/>
      <c r="E183" s="45"/>
      <c r="F183" s="45"/>
    </row>
    <row r="184" ht="15.75" customHeight="1">
      <c r="A184" s="45"/>
      <c r="B184" s="45"/>
      <c r="C184" s="45"/>
      <c r="D184" s="45"/>
      <c r="E184" s="45"/>
      <c r="F184" s="45"/>
    </row>
    <row r="185" ht="15.75" customHeight="1">
      <c r="A185" s="45"/>
      <c r="B185" s="45"/>
      <c r="C185" s="45"/>
      <c r="D185" s="45"/>
      <c r="E185" s="45"/>
      <c r="F185" s="45"/>
    </row>
    <row r="186" ht="15.75" customHeight="1">
      <c r="A186" s="45"/>
      <c r="B186" s="45"/>
      <c r="C186" s="45"/>
      <c r="D186" s="45"/>
      <c r="E186" s="45"/>
      <c r="F186" s="45"/>
    </row>
    <row r="187" ht="15.75" customHeight="1">
      <c r="A187" s="45"/>
      <c r="B187" s="45"/>
      <c r="C187" s="45"/>
      <c r="D187" s="45"/>
      <c r="E187" s="45"/>
      <c r="F187" s="45"/>
    </row>
    <row r="188" ht="15.75" customHeight="1">
      <c r="A188" s="45"/>
      <c r="B188" s="45"/>
      <c r="C188" s="45"/>
      <c r="D188" s="45"/>
      <c r="E188" s="45"/>
      <c r="F188" s="45"/>
    </row>
    <row r="189" ht="15.75" customHeight="1">
      <c r="A189" s="45"/>
      <c r="B189" s="45"/>
      <c r="C189" s="45"/>
      <c r="D189" s="45"/>
      <c r="E189" s="45"/>
      <c r="F189" s="45"/>
    </row>
    <row r="190" ht="15.75" customHeight="1">
      <c r="A190" s="45"/>
      <c r="B190" s="45"/>
      <c r="C190" s="45"/>
      <c r="D190" s="45"/>
      <c r="E190" s="45"/>
      <c r="F190" s="45"/>
    </row>
    <row r="191" ht="15.75" customHeight="1">
      <c r="A191" s="45"/>
      <c r="B191" s="45"/>
      <c r="C191" s="45"/>
      <c r="D191" s="45"/>
      <c r="E191" s="45"/>
      <c r="F191" s="45"/>
    </row>
    <row r="192" ht="15.75" customHeight="1">
      <c r="A192" s="45"/>
      <c r="B192" s="45"/>
      <c r="C192" s="45"/>
      <c r="D192" s="45"/>
      <c r="E192" s="45"/>
      <c r="F192" s="45"/>
    </row>
    <row r="193" ht="15.75" customHeight="1">
      <c r="A193" s="45"/>
      <c r="B193" s="45"/>
      <c r="C193" s="45"/>
      <c r="D193" s="45"/>
      <c r="E193" s="45"/>
      <c r="F193" s="45"/>
    </row>
    <row r="194" ht="15.75" customHeight="1">
      <c r="A194" s="45"/>
      <c r="B194" s="45"/>
      <c r="C194" s="45"/>
      <c r="D194" s="45"/>
      <c r="E194" s="45"/>
      <c r="F194" s="45"/>
    </row>
    <row r="195" ht="15.75" customHeight="1">
      <c r="A195" s="45"/>
      <c r="B195" s="45"/>
      <c r="C195" s="45"/>
      <c r="D195" s="45"/>
      <c r="E195" s="45"/>
      <c r="F195" s="45"/>
    </row>
    <row r="196" ht="15.75" customHeight="1">
      <c r="A196" s="45"/>
      <c r="B196" s="45"/>
      <c r="C196" s="45"/>
      <c r="D196" s="45"/>
      <c r="E196" s="45"/>
      <c r="F196" s="45"/>
    </row>
    <row r="197" ht="15.75" customHeight="1">
      <c r="A197" s="45"/>
      <c r="B197" s="45"/>
      <c r="C197" s="45"/>
      <c r="D197" s="45"/>
      <c r="E197" s="45"/>
      <c r="F197" s="45"/>
    </row>
    <row r="198" ht="15.75" customHeight="1">
      <c r="A198" s="45"/>
      <c r="B198" s="45"/>
      <c r="C198" s="45"/>
      <c r="D198" s="45"/>
      <c r="E198" s="45"/>
      <c r="F198" s="45"/>
    </row>
    <row r="199" ht="15.75" customHeight="1">
      <c r="A199" s="45"/>
      <c r="B199" s="45"/>
      <c r="C199" s="45"/>
      <c r="D199" s="45"/>
      <c r="E199" s="45"/>
      <c r="F199" s="45"/>
    </row>
    <row r="200" ht="15.75" customHeight="1">
      <c r="A200" s="45"/>
      <c r="B200" s="45"/>
      <c r="C200" s="45"/>
      <c r="D200" s="45"/>
      <c r="E200" s="45"/>
      <c r="F200" s="45"/>
    </row>
    <row r="201" ht="15.75" customHeight="1">
      <c r="A201" s="45"/>
      <c r="B201" s="45"/>
      <c r="C201" s="45"/>
      <c r="D201" s="45"/>
      <c r="E201" s="45"/>
      <c r="F201" s="45"/>
    </row>
    <row r="202" ht="15.75" customHeight="1">
      <c r="A202" s="45"/>
      <c r="B202" s="45"/>
      <c r="C202" s="45"/>
      <c r="D202" s="45"/>
      <c r="E202" s="45"/>
      <c r="F202" s="45"/>
    </row>
    <row r="203" ht="15.75" customHeight="1">
      <c r="A203" s="45"/>
      <c r="B203" s="45"/>
      <c r="C203" s="45"/>
      <c r="D203" s="45"/>
      <c r="E203" s="45"/>
      <c r="F203" s="45"/>
    </row>
    <row r="204" ht="15.75" customHeight="1">
      <c r="A204" s="45"/>
      <c r="B204" s="45"/>
      <c r="C204" s="45"/>
      <c r="D204" s="45"/>
      <c r="E204" s="45"/>
      <c r="F204" s="45"/>
    </row>
    <row r="205" ht="15.75" customHeight="1">
      <c r="A205" s="45"/>
      <c r="B205" s="45"/>
      <c r="C205" s="45"/>
      <c r="D205" s="45"/>
      <c r="E205" s="45"/>
      <c r="F205" s="45"/>
    </row>
    <row r="206" ht="15.75" customHeight="1">
      <c r="A206" s="45"/>
      <c r="B206" s="45"/>
      <c r="C206" s="45"/>
      <c r="D206" s="45"/>
      <c r="E206" s="45"/>
      <c r="F206" s="45"/>
    </row>
    <row r="207" ht="15.75" customHeight="1">
      <c r="A207" s="45"/>
      <c r="B207" s="45"/>
      <c r="C207" s="45"/>
      <c r="D207" s="45"/>
      <c r="E207" s="45"/>
      <c r="F207" s="45"/>
    </row>
    <row r="208" ht="15.75" customHeight="1">
      <c r="A208" s="45"/>
      <c r="B208" s="45"/>
      <c r="C208" s="45"/>
      <c r="D208" s="45"/>
      <c r="E208" s="45"/>
      <c r="F208" s="45"/>
    </row>
    <row r="209" ht="15.75" customHeight="1">
      <c r="A209" s="45"/>
      <c r="B209" s="45"/>
      <c r="C209" s="45"/>
      <c r="D209" s="45"/>
      <c r="E209" s="45"/>
      <c r="F209" s="45"/>
    </row>
    <row r="210" ht="15.75" customHeight="1">
      <c r="A210" s="45"/>
      <c r="B210" s="45"/>
      <c r="C210" s="45"/>
      <c r="D210" s="45"/>
      <c r="E210" s="45"/>
      <c r="F210" s="45"/>
    </row>
    <row r="211" ht="15.75" customHeight="1">
      <c r="A211" s="45"/>
      <c r="B211" s="45"/>
      <c r="C211" s="45"/>
      <c r="D211" s="45"/>
      <c r="E211" s="45"/>
      <c r="F211" s="45"/>
    </row>
    <row r="212" ht="15.75" customHeight="1">
      <c r="A212" s="45"/>
      <c r="B212" s="45"/>
      <c r="C212" s="45"/>
      <c r="D212" s="45"/>
      <c r="E212" s="45"/>
      <c r="F212" s="45"/>
    </row>
    <row r="213" ht="15.75" customHeight="1">
      <c r="A213" s="45"/>
      <c r="B213" s="45"/>
      <c r="C213" s="45"/>
      <c r="D213" s="45"/>
      <c r="E213" s="45"/>
      <c r="F213" s="45"/>
    </row>
    <row r="214" ht="15.75" customHeight="1">
      <c r="A214" s="45"/>
      <c r="B214" s="45"/>
      <c r="C214" s="45"/>
      <c r="D214" s="45"/>
      <c r="E214" s="45"/>
      <c r="F214" s="45"/>
    </row>
    <row r="215" ht="15.75" customHeight="1">
      <c r="A215" s="45"/>
      <c r="B215" s="45"/>
      <c r="C215" s="45"/>
      <c r="D215" s="45"/>
      <c r="E215" s="45"/>
      <c r="F215" s="45"/>
    </row>
    <row r="216" ht="15.75" customHeight="1">
      <c r="A216" s="45"/>
      <c r="B216" s="45"/>
      <c r="C216" s="45"/>
      <c r="D216" s="45"/>
      <c r="E216" s="45"/>
      <c r="F216" s="45"/>
    </row>
    <row r="217" ht="15.75" customHeight="1">
      <c r="A217" s="45"/>
      <c r="B217" s="45"/>
      <c r="C217" s="45"/>
      <c r="D217" s="45"/>
      <c r="E217" s="45"/>
      <c r="F217" s="45"/>
    </row>
    <row r="218" ht="15.75" customHeight="1">
      <c r="A218" s="45"/>
      <c r="B218" s="45"/>
      <c r="C218" s="45"/>
      <c r="D218" s="45"/>
      <c r="E218" s="45"/>
      <c r="F218" s="45"/>
    </row>
    <row r="219" ht="15.75" customHeight="1">
      <c r="A219" s="45"/>
      <c r="B219" s="45"/>
      <c r="C219" s="45"/>
      <c r="D219" s="45"/>
      <c r="E219" s="45"/>
      <c r="F219" s="45"/>
    </row>
    <row r="220" ht="15.75" customHeight="1">
      <c r="A220" s="45"/>
      <c r="B220" s="45"/>
      <c r="C220" s="45"/>
      <c r="D220" s="45"/>
      <c r="E220" s="45"/>
      <c r="F220" s="45"/>
    </row>
    <row r="221" ht="15.75" customHeight="1">
      <c r="A221" s="45"/>
      <c r="B221" s="45"/>
      <c r="C221" s="45"/>
      <c r="D221" s="45"/>
      <c r="E221" s="45"/>
      <c r="F221" s="45"/>
    </row>
    <row r="222" ht="15.75" customHeight="1">
      <c r="A222" s="45"/>
      <c r="B222" s="45"/>
      <c r="C222" s="45"/>
      <c r="D222" s="45"/>
      <c r="E222" s="45"/>
      <c r="F222" s="45"/>
    </row>
    <row r="223" ht="15.75" customHeight="1">
      <c r="A223" s="45"/>
      <c r="B223" s="45"/>
      <c r="C223" s="45"/>
      <c r="D223" s="45"/>
      <c r="E223" s="45"/>
      <c r="F223" s="45"/>
    </row>
    <row r="224" ht="15.75" customHeight="1">
      <c r="A224" s="45"/>
      <c r="B224" s="45"/>
      <c r="C224" s="45"/>
      <c r="D224" s="45"/>
      <c r="E224" s="45"/>
      <c r="F224" s="45"/>
    </row>
    <row r="225" ht="15.75" customHeight="1">
      <c r="A225" s="45"/>
      <c r="B225" s="45"/>
      <c r="C225" s="45"/>
      <c r="D225" s="45"/>
      <c r="E225" s="45"/>
      <c r="F225" s="45"/>
    </row>
    <row r="226" ht="15.75" customHeight="1">
      <c r="A226" s="45"/>
      <c r="B226" s="45"/>
      <c r="C226" s="45"/>
      <c r="D226" s="45"/>
      <c r="E226" s="45"/>
      <c r="F226" s="45"/>
    </row>
    <row r="227" ht="15.75" customHeight="1">
      <c r="A227" s="45"/>
      <c r="B227" s="45"/>
      <c r="C227" s="45"/>
      <c r="D227" s="45"/>
      <c r="E227" s="45"/>
      <c r="F227" s="45"/>
    </row>
    <row r="228" ht="15.75" customHeight="1">
      <c r="A228" s="45"/>
      <c r="B228" s="45"/>
      <c r="C228" s="45"/>
      <c r="D228" s="45"/>
      <c r="E228" s="45"/>
      <c r="F228" s="45"/>
    </row>
    <row r="229" ht="15.75" customHeight="1">
      <c r="A229" s="45"/>
      <c r="B229" s="45"/>
      <c r="C229" s="45"/>
      <c r="D229" s="45"/>
      <c r="E229" s="45"/>
      <c r="F229" s="45"/>
    </row>
    <row r="230" ht="15.75" customHeight="1">
      <c r="A230" s="45"/>
      <c r="B230" s="45"/>
      <c r="C230" s="45"/>
      <c r="D230" s="45"/>
      <c r="E230" s="45"/>
      <c r="F230" s="45"/>
    </row>
    <row r="231" ht="15.75" customHeight="1">
      <c r="A231" s="45"/>
      <c r="B231" s="45"/>
      <c r="C231" s="45"/>
      <c r="D231" s="45"/>
      <c r="E231" s="45"/>
      <c r="F231" s="45"/>
    </row>
    <row r="232" ht="15.75" customHeight="1">
      <c r="A232" s="45"/>
      <c r="B232" s="45"/>
      <c r="C232" s="45"/>
      <c r="D232" s="45"/>
      <c r="E232" s="45"/>
      <c r="F232" s="45"/>
    </row>
    <row r="233" ht="15.75" customHeight="1">
      <c r="A233" s="45"/>
      <c r="B233" s="45"/>
      <c r="C233" s="45"/>
      <c r="D233" s="45"/>
      <c r="E233" s="45"/>
      <c r="F233" s="45"/>
    </row>
    <row r="234" ht="15.75" customHeight="1">
      <c r="A234" s="45"/>
      <c r="B234" s="45"/>
      <c r="C234" s="45"/>
      <c r="D234" s="45"/>
      <c r="E234" s="45"/>
      <c r="F234" s="45"/>
    </row>
    <row r="235" ht="15.75" customHeight="1">
      <c r="A235" s="45"/>
      <c r="B235" s="45"/>
      <c r="C235" s="45"/>
      <c r="D235" s="45"/>
      <c r="E235" s="45"/>
      <c r="F235" s="45"/>
    </row>
    <row r="236" ht="15.75" customHeight="1">
      <c r="A236" s="45"/>
      <c r="B236" s="45"/>
      <c r="C236" s="45"/>
      <c r="D236" s="45"/>
      <c r="E236" s="45"/>
      <c r="F236" s="45"/>
    </row>
    <row r="237" ht="15.75" customHeight="1">
      <c r="A237" s="45"/>
      <c r="B237" s="45"/>
      <c r="C237" s="45"/>
      <c r="D237" s="45"/>
      <c r="E237" s="45"/>
      <c r="F237" s="45"/>
    </row>
    <row r="238" ht="15.75" customHeight="1">
      <c r="A238" s="45"/>
      <c r="B238" s="45"/>
      <c r="C238" s="45"/>
      <c r="D238" s="45"/>
      <c r="E238" s="45"/>
      <c r="F238" s="45"/>
    </row>
    <row r="239" ht="15.75" customHeight="1">
      <c r="A239" s="45"/>
      <c r="B239" s="45"/>
      <c r="C239" s="45"/>
      <c r="D239" s="45"/>
      <c r="E239" s="45"/>
      <c r="F239" s="45"/>
    </row>
    <row r="240" ht="15.75" customHeight="1">
      <c r="A240" s="45"/>
      <c r="B240" s="45"/>
      <c r="C240" s="45"/>
      <c r="D240" s="45"/>
      <c r="E240" s="45"/>
      <c r="F240" s="45"/>
    </row>
    <row r="241" ht="15.75" customHeight="1">
      <c r="A241" s="45"/>
      <c r="B241" s="45"/>
      <c r="C241" s="45"/>
      <c r="D241" s="45"/>
      <c r="E241" s="45"/>
      <c r="F241" s="45"/>
    </row>
    <row r="242" ht="15.75" customHeight="1">
      <c r="A242" s="45"/>
      <c r="B242" s="45"/>
      <c r="C242" s="45"/>
      <c r="D242" s="45"/>
      <c r="E242" s="45"/>
      <c r="F242" s="45"/>
    </row>
    <row r="243" ht="15.75" customHeight="1">
      <c r="A243" s="45"/>
      <c r="B243" s="45"/>
      <c r="C243" s="45"/>
      <c r="D243" s="45"/>
      <c r="E243" s="45"/>
      <c r="F243" s="45"/>
    </row>
    <row r="244" ht="15.75" customHeight="1">
      <c r="A244" s="45"/>
      <c r="B244" s="45"/>
      <c r="C244" s="45"/>
      <c r="D244" s="45"/>
      <c r="E244" s="45"/>
      <c r="F244" s="45"/>
    </row>
    <row r="245" ht="15.75" customHeight="1">
      <c r="A245" s="45"/>
      <c r="B245" s="45"/>
      <c r="C245" s="45"/>
      <c r="D245" s="45"/>
      <c r="E245" s="45"/>
      <c r="F245" s="45"/>
    </row>
    <row r="246" ht="15.75" customHeight="1">
      <c r="A246" s="45"/>
      <c r="B246" s="45"/>
      <c r="C246" s="45"/>
      <c r="D246" s="45"/>
      <c r="E246" s="45"/>
      <c r="F246" s="45"/>
    </row>
    <row r="247" ht="15.75" customHeight="1">
      <c r="A247" s="45"/>
      <c r="B247" s="45"/>
      <c r="C247" s="45"/>
      <c r="D247" s="45"/>
      <c r="E247" s="45"/>
      <c r="F247" s="45"/>
    </row>
    <row r="248" ht="15.75" customHeight="1">
      <c r="A248" s="45"/>
      <c r="B248" s="45"/>
      <c r="C248" s="45"/>
      <c r="D248" s="45"/>
      <c r="E248" s="45"/>
      <c r="F248" s="45"/>
    </row>
    <row r="249" ht="15.75" customHeight="1">
      <c r="A249" s="45"/>
      <c r="B249" s="45"/>
      <c r="C249" s="45"/>
      <c r="D249" s="45"/>
      <c r="E249" s="45"/>
      <c r="F249" s="45"/>
    </row>
    <row r="250" ht="15.75" customHeight="1">
      <c r="A250" s="45"/>
      <c r="B250" s="45"/>
      <c r="C250" s="45"/>
      <c r="D250" s="45"/>
      <c r="E250" s="45"/>
      <c r="F250" s="45"/>
    </row>
    <row r="251" ht="15.75" customHeight="1">
      <c r="A251" s="45"/>
      <c r="B251" s="45"/>
      <c r="C251" s="45"/>
      <c r="D251" s="45"/>
      <c r="E251" s="45"/>
      <c r="F251" s="45"/>
    </row>
    <row r="252" ht="15.75" customHeight="1">
      <c r="A252" s="45"/>
      <c r="B252" s="45"/>
      <c r="C252" s="45"/>
      <c r="D252" s="45"/>
      <c r="E252" s="45"/>
      <c r="F252" s="45"/>
    </row>
    <row r="253" ht="15.75" customHeight="1">
      <c r="A253" s="45"/>
      <c r="B253" s="45"/>
      <c r="C253" s="45"/>
      <c r="D253" s="45"/>
      <c r="E253" s="45"/>
      <c r="F253" s="45"/>
    </row>
    <row r="254" ht="15.75" customHeight="1">
      <c r="A254" s="45"/>
      <c r="B254" s="45"/>
      <c r="C254" s="45"/>
      <c r="D254" s="45"/>
      <c r="E254" s="45"/>
      <c r="F254" s="45"/>
    </row>
    <row r="255" ht="15.75" customHeight="1">
      <c r="A255" s="45"/>
      <c r="B255" s="45"/>
      <c r="C255" s="45"/>
      <c r="D255" s="45"/>
      <c r="E255" s="45"/>
      <c r="F255" s="45"/>
    </row>
    <row r="256" ht="15.75" customHeight="1">
      <c r="A256" s="45"/>
      <c r="B256" s="45"/>
      <c r="C256" s="45"/>
      <c r="D256" s="45"/>
      <c r="E256" s="45"/>
      <c r="F256" s="45"/>
    </row>
    <row r="257" ht="15.75" customHeight="1">
      <c r="A257" s="45"/>
      <c r="B257" s="45"/>
      <c r="C257" s="45"/>
      <c r="D257" s="45"/>
      <c r="E257" s="45"/>
      <c r="F257" s="45"/>
    </row>
    <row r="258" ht="15.75" customHeight="1">
      <c r="A258" s="45"/>
      <c r="B258" s="45"/>
      <c r="C258" s="45"/>
      <c r="D258" s="45"/>
      <c r="E258" s="45"/>
      <c r="F258" s="45"/>
    </row>
    <row r="259" ht="15.75" customHeight="1">
      <c r="A259" s="45"/>
      <c r="B259" s="45"/>
      <c r="C259" s="45"/>
      <c r="D259" s="45"/>
      <c r="E259" s="45"/>
      <c r="F259" s="45"/>
    </row>
    <row r="260" ht="15.75" customHeight="1">
      <c r="A260" s="45"/>
      <c r="B260" s="45"/>
      <c r="C260" s="45"/>
      <c r="D260" s="45"/>
      <c r="E260" s="45"/>
      <c r="F260" s="45"/>
    </row>
    <row r="261" ht="15.75" customHeight="1">
      <c r="A261" s="45"/>
      <c r="B261" s="45"/>
      <c r="C261" s="45"/>
      <c r="D261" s="45"/>
      <c r="E261" s="45"/>
      <c r="F261" s="45"/>
    </row>
    <row r="262" ht="15.75" customHeight="1">
      <c r="A262" s="45"/>
      <c r="B262" s="45"/>
      <c r="C262" s="45"/>
      <c r="D262" s="45"/>
      <c r="E262" s="45"/>
      <c r="F262" s="45"/>
    </row>
    <row r="263" ht="15.75" customHeight="1">
      <c r="A263" s="45"/>
      <c r="B263" s="45"/>
      <c r="C263" s="45"/>
      <c r="D263" s="45"/>
      <c r="E263" s="45"/>
      <c r="F263" s="45"/>
    </row>
    <row r="264" ht="15.75" customHeight="1">
      <c r="A264" s="45"/>
      <c r="B264" s="45"/>
      <c r="C264" s="45"/>
      <c r="D264" s="45"/>
      <c r="E264" s="45"/>
      <c r="F264" s="45"/>
    </row>
    <row r="265" ht="15.75" customHeight="1">
      <c r="A265" s="45"/>
      <c r="B265" s="45"/>
      <c r="C265" s="45"/>
      <c r="D265" s="45"/>
      <c r="E265" s="45"/>
      <c r="F265" s="45"/>
    </row>
    <row r="266" ht="15.75" customHeight="1">
      <c r="A266" s="45"/>
      <c r="B266" s="45"/>
      <c r="C266" s="45"/>
      <c r="D266" s="45"/>
      <c r="E266" s="45"/>
      <c r="F266" s="45"/>
    </row>
    <row r="267" ht="15.75" customHeight="1">
      <c r="A267" s="45"/>
      <c r="B267" s="45"/>
      <c r="C267" s="45"/>
      <c r="D267" s="45"/>
      <c r="E267" s="45"/>
      <c r="F267" s="45"/>
    </row>
    <row r="268" ht="15.75" customHeight="1">
      <c r="A268" s="45"/>
      <c r="B268" s="45"/>
      <c r="C268" s="45"/>
      <c r="D268" s="45"/>
      <c r="E268" s="45"/>
      <c r="F268" s="45"/>
    </row>
    <row r="269" ht="15.75" customHeight="1">
      <c r="A269" s="45"/>
      <c r="B269" s="45"/>
      <c r="C269" s="45"/>
      <c r="D269" s="45"/>
      <c r="E269" s="45"/>
      <c r="F269" s="45"/>
    </row>
    <row r="270" ht="15.75" customHeight="1">
      <c r="A270" s="45"/>
      <c r="B270" s="45"/>
      <c r="C270" s="45"/>
      <c r="D270" s="45"/>
      <c r="E270" s="45"/>
      <c r="F270" s="45"/>
    </row>
    <row r="271" ht="15.75" customHeight="1">
      <c r="A271" s="45"/>
      <c r="B271" s="45"/>
      <c r="C271" s="45"/>
      <c r="D271" s="45"/>
      <c r="E271" s="45"/>
      <c r="F271" s="45"/>
    </row>
    <row r="272" ht="15.75" customHeight="1">
      <c r="A272" s="45"/>
      <c r="B272" s="45"/>
      <c r="C272" s="45"/>
      <c r="D272" s="45"/>
      <c r="E272" s="45"/>
      <c r="F272" s="45"/>
    </row>
    <row r="273" ht="15.75" customHeight="1">
      <c r="A273" s="45"/>
      <c r="B273" s="45"/>
      <c r="C273" s="45"/>
      <c r="D273" s="45"/>
      <c r="E273" s="45"/>
      <c r="F273" s="45"/>
    </row>
    <row r="274" ht="15.75" customHeight="1">
      <c r="A274" s="45"/>
      <c r="B274" s="45"/>
      <c r="C274" s="45"/>
      <c r="D274" s="45"/>
      <c r="E274" s="45"/>
      <c r="F274" s="45"/>
    </row>
    <row r="275" ht="15.75" customHeight="1">
      <c r="A275" s="45"/>
      <c r="B275" s="45"/>
      <c r="C275" s="45"/>
      <c r="D275" s="45"/>
      <c r="E275" s="45"/>
      <c r="F275" s="45"/>
    </row>
    <row r="276" ht="15.75" customHeight="1">
      <c r="A276" s="45"/>
      <c r="B276" s="45"/>
      <c r="C276" s="45"/>
      <c r="D276" s="45"/>
      <c r="E276" s="45"/>
      <c r="F276" s="45"/>
    </row>
    <row r="277" ht="15.75" customHeight="1">
      <c r="A277" s="45"/>
      <c r="B277" s="45"/>
      <c r="C277" s="45"/>
      <c r="D277" s="45"/>
      <c r="E277" s="45"/>
      <c r="F277" s="45"/>
    </row>
    <row r="278" ht="15.75" customHeight="1">
      <c r="A278" s="45"/>
      <c r="B278" s="45"/>
      <c r="C278" s="45"/>
      <c r="D278" s="45"/>
      <c r="E278" s="45"/>
      <c r="F278" s="45"/>
    </row>
    <row r="279" ht="15.75" customHeight="1">
      <c r="A279" s="45"/>
      <c r="B279" s="45"/>
      <c r="C279" s="45"/>
      <c r="D279" s="45"/>
      <c r="E279" s="45"/>
      <c r="F279" s="45"/>
    </row>
    <row r="280" ht="15.75" customHeight="1">
      <c r="A280" s="45"/>
      <c r="B280" s="45"/>
      <c r="C280" s="45"/>
      <c r="D280" s="45"/>
      <c r="E280" s="45"/>
      <c r="F280" s="45"/>
    </row>
    <row r="281" ht="15.75" customHeight="1">
      <c r="A281" s="45"/>
      <c r="B281" s="45"/>
      <c r="C281" s="45"/>
      <c r="D281" s="45"/>
      <c r="E281" s="45"/>
      <c r="F281" s="45"/>
    </row>
    <row r="282" ht="15.75" customHeight="1">
      <c r="A282" s="45"/>
      <c r="B282" s="45"/>
      <c r="C282" s="45"/>
      <c r="D282" s="45"/>
      <c r="E282" s="45"/>
      <c r="F282" s="45"/>
    </row>
    <row r="283" ht="15.75" customHeight="1">
      <c r="A283" s="45"/>
      <c r="B283" s="45"/>
      <c r="C283" s="45"/>
      <c r="D283" s="45"/>
      <c r="E283" s="45"/>
      <c r="F283" s="45"/>
    </row>
    <row r="284" ht="15.75" customHeight="1">
      <c r="A284" s="45"/>
      <c r="B284" s="45"/>
      <c r="C284" s="45"/>
      <c r="D284" s="45"/>
      <c r="E284" s="45"/>
      <c r="F284" s="45"/>
    </row>
    <row r="285" ht="15.75" customHeight="1">
      <c r="A285" s="45"/>
      <c r="B285" s="45"/>
      <c r="C285" s="45"/>
      <c r="D285" s="45"/>
      <c r="E285" s="45"/>
      <c r="F285" s="45"/>
    </row>
    <row r="286" ht="15.75" customHeight="1">
      <c r="A286" s="45"/>
      <c r="B286" s="45"/>
      <c r="C286" s="45"/>
      <c r="D286" s="45"/>
      <c r="E286" s="45"/>
      <c r="F286" s="45"/>
    </row>
    <row r="287" ht="15.75" customHeight="1">
      <c r="A287" s="45"/>
      <c r="B287" s="45"/>
      <c r="C287" s="45"/>
      <c r="D287" s="45"/>
      <c r="E287" s="45"/>
      <c r="F287" s="45"/>
    </row>
    <row r="288" ht="15.75" customHeight="1">
      <c r="A288" s="45"/>
      <c r="B288" s="45"/>
      <c r="C288" s="45"/>
      <c r="D288" s="45"/>
      <c r="E288" s="45"/>
      <c r="F288" s="45"/>
    </row>
    <row r="289" ht="15.75" customHeight="1">
      <c r="A289" s="45"/>
      <c r="B289" s="45"/>
      <c r="C289" s="45"/>
      <c r="D289" s="45"/>
      <c r="E289" s="45"/>
      <c r="F289" s="45"/>
    </row>
    <row r="290" ht="15.75" customHeight="1">
      <c r="A290" s="45"/>
      <c r="B290" s="45"/>
      <c r="C290" s="45"/>
      <c r="D290" s="45"/>
      <c r="E290" s="45"/>
      <c r="F290" s="45"/>
    </row>
    <row r="291" ht="15.75" customHeight="1">
      <c r="A291" s="45"/>
      <c r="B291" s="45"/>
      <c r="C291" s="45"/>
      <c r="D291" s="45"/>
      <c r="E291" s="45"/>
      <c r="F291" s="45"/>
    </row>
    <row r="292" ht="15.75" customHeight="1">
      <c r="A292" s="45"/>
      <c r="B292" s="45"/>
      <c r="C292" s="45"/>
      <c r="D292" s="45"/>
      <c r="E292" s="45"/>
      <c r="F292" s="45"/>
    </row>
    <row r="293" ht="15.75" customHeight="1">
      <c r="A293" s="45"/>
      <c r="B293" s="45"/>
      <c r="C293" s="45"/>
      <c r="D293" s="45"/>
      <c r="E293" s="45"/>
      <c r="F293" s="45"/>
    </row>
    <row r="294" ht="15.75" customHeight="1">
      <c r="A294" s="45"/>
      <c r="B294" s="45"/>
      <c r="C294" s="45"/>
      <c r="D294" s="45"/>
      <c r="E294" s="45"/>
      <c r="F294" s="45"/>
    </row>
    <row r="295" ht="15.75" customHeight="1">
      <c r="A295" s="45"/>
      <c r="B295" s="45"/>
      <c r="C295" s="45"/>
      <c r="D295" s="45"/>
      <c r="E295" s="45"/>
      <c r="F295" s="45"/>
    </row>
    <row r="296" ht="15.75" customHeight="1">
      <c r="A296" s="45"/>
      <c r="B296" s="45"/>
      <c r="C296" s="45"/>
      <c r="D296" s="45"/>
      <c r="E296" s="45"/>
      <c r="F296" s="45"/>
    </row>
    <row r="297" ht="15.75" customHeight="1">
      <c r="A297" s="45"/>
      <c r="B297" s="45"/>
      <c r="C297" s="45"/>
      <c r="D297" s="45"/>
      <c r="E297" s="45"/>
      <c r="F297" s="45"/>
    </row>
    <row r="298" ht="15.75" customHeight="1">
      <c r="A298" s="45"/>
      <c r="B298" s="45"/>
      <c r="C298" s="45"/>
      <c r="D298" s="45"/>
      <c r="E298" s="45"/>
      <c r="F298" s="45"/>
    </row>
    <row r="299" ht="15.75" customHeight="1">
      <c r="A299" s="45"/>
      <c r="B299" s="45"/>
      <c r="C299" s="45"/>
      <c r="D299" s="45"/>
      <c r="E299" s="45"/>
      <c r="F299" s="45"/>
    </row>
    <row r="300" ht="15.75" customHeight="1">
      <c r="A300" s="45"/>
      <c r="B300" s="45"/>
      <c r="C300" s="45"/>
      <c r="D300" s="45"/>
      <c r="E300" s="45"/>
      <c r="F300" s="45"/>
    </row>
    <row r="301" ht="15.75" customHeight="1">
      <c r="A301" s="45"/>
      <c r="B301" s="45"/>
      <c r="C301" s="45"/>
      <c r="D301" s="45"/>
      <c r="E301" s="45"/>
      <c r="F301" s="45"/>
    </row>
    <row r="302" ht="15.75" customHeight="1">
      <c r="A302" s="45"/>
      <c r="B302" s="45"/>
      <c r="C302" s="45"/>
      <c r="D302" s="45"/>
      <c r="E302" s="45"/>
      <c r="F302" s="45"/>
    </row>
    <row r="303" ht="15.75" customHeight="1">
      <c r="A303" s="45"/>
      <c r="B303" s="45"/>
      <c r="C303" s="45"/>
      <c r="D303" s="45"/>
      <c r="E303" s="45"/>
      <c r="F303" s="45"/>
    </row>
    <row r="304" ht="15.75" customHeight="1">
      <c r="A304" s="45"/>
      <c r="B304" s="45"/>
      <c r="C304" s="45"/>
      <c r="D304" s="45"/>
      <c r="E304" s="45"/>
      <c r="F304" s="45"/>
    </row>
    <row r="305" ht="15.75" customHeight="1">
      <c r="A305" s="45"/>
      <c r="B305" s="45"/>
      <c r="C305" s="45"/>
      <c r="D305" s="45"/>
      <c r="E305" s="45"/>
      <c r="F305" s="45"/>
    </row>
    <row r="306" ht="15.75" customHeight="1">
      <c r="A306" s="45"/>
      <c r="B306" s="45"/>
      <c r="C306" s="45"/>
      <c r="D306" s="45"/>
      <c r="E306" s="45"/>
      <c r="F306" s="45"/>
    </row>
    <row r="307" ht="15.75" customHeight="1">
      <c r="A307" s="45"/>
      <c r="B307" s="45"/>
      <c r="C307" s="45"/>
      <c r="D307" s="45"/>
      <c r="E307" s="45"/>
      <c r="F307" s="45"/>
    </row>
    <row r="308" ht="15.75" customHeight="1">
      <c r="A308" s="45"/>
      <c r="B308" s="45"/>
      <c r="C308" s="45"/>
      <c r="D308" s="45"/>
      <c r="E308" s="45"/>
      <c r="F308" s="45"/>
    </row>
    <row r="309" ht="15.75" customHeight="1">
      <c r="A309" s="45"/>
      <c r="B309" s="45"/>
      <c r="C309" s="45"/>
      <c r="D309" s="45"/>
      <c r="E309" s="45"/>
      <c r="F309" s="45"/>
    </row>
    <row r="310" ht="15.75" customHeight="1">
      <c r="A310" s="45"/>
      <c r="B310" s="45"/>
      <c r="C310" s="45"/>
      <c r="D310" s="45"/>
      <c r="E310" s="45"/>
      <c r="F310" s="45"/>
    </row>
    <row r="311" ht="15.75" customHeight="1">
      <c r="A311" s="45"/>
      <c r="B311" s="45"/>
      <c r="C311" s="45"/>
      <c r="D311" s="45"/>
      <c r="E311" s="45"/>
      <c r="F311" s="45"/>
    </row>
    <row r="312" ht="15.75" customHeight="1">
      <c r="A312" s="45"/>
      <c r="B312" s="45"/>
      <c r="C312" s="45"/>
      <c r="D312" s="45"/>
      <c r="E312" s="45"/>
      <c r="F312" s="45"/>
    </row>
    <row r="313" ht="15.75" customHeight="1">
      <c r="A313" s="45"/>
      <c r="B313" s="45"/>
      <c r="C313" s="45"/>
      <c r="D313" s="45"/>
      <c r="E313" s="45"/>
      <c r="F313" s="45"/>
    </row>
    <row r="314" ht="15.75" customHeight="1">
      <c r="A314" s="45"/>
      <c r="B314" s="45"/>
      <c r="C314" s="45"/>
      <c r="D314" s="45"/>
      <c r="E314" s="45"/>
      <c r="F314" s="45"/>
    </row>
    <row r="315" ht="15.75" customHeight="1">
      <c r="A315" s="45"/>
      <c r="B315" s="45"/>
      <c r="C315" s="45"/>
      <c r="D315" s="45"/>
      <c r="E315" s="45"/>
      <c r="F315" s="45"/>
    </row>
    <row r="316" ht="15.75" customHeight="1">
      <c r="A316" s="45"/>
      <c r="B316" s="45"/>
      <c r="C316" s="45"/>
      <c r="D316" s="45"/>
      <c r="E316" s="45"/>
      <c r="F316" s="45"/>
    </row>
    <row r="317" ht="15.75" customHeight="1">
      <c r="A317" s="45"/>
      <c r="B317" s="45"/>
      <c r="C317" s="45"/>
      <c r="D317" s="45"/>
      <c r="E317" s="45"/>
      <c r="F317" s="45"/>
    </row>
    <row r="318" ht="15.75" customHeight="1">
      <c r="A318" s="45"/>
      <c r="B318" s="45"/>
      <c r="C318" s="45"/>
      <c r="D318" s="45"/>
      <c r="E318" s="45"/>
      <c r="F318" s="45"/>
    </row>
    <row r="319" ht="15.75" customHeight="1">
      <c r="A319" s="45"/>
      <c r="B319" s="45"/>
      <c r="C319" s="45"/>
      <c r="D319" s="45"/>
      <c r="E319" s="45"/>
      <c r="F319" s="45"/>
    </row>
    <row r="320" ht="15.75" customHeight="1">
      <c r="A320" s="45"/>
      <c r="B320" s="45"/>
      <c r="C320" s="45"/>
      <c r="D320" s="45"/>
      <c r="E320" s="45"/>
      <c r="F320" s="45"/>
    </row>
    <row r="321" ht="15.75" customHeight="1">
      <c r="A321" s="45"/>
      <c r="B321" s="45"/>
      <c r="C321" s="45"/>
      <c r="D321" s="45"/>
      <c r="E321" s="45"/>
      <c r="F321" s="45"/>
    </row>
    <row r="322" ht="15.75" customHeight="1">
      <c r="A322" s="45"/>
      <c r="B322" s="45"/>
      <c r="C322" s="45"/>
      <c r="D322" s="45"/>
      <c r="E322" s="45"/>
      <c r="F322" s="45"/>
    </row>
    <row r="323" ht="15.75" customHeight="1">
      <c r="A323" s="45"/>
      <c r="B323" s="45"/>
      <c r="C323" s="45"/>
      <c r="D323" s="45"/>
      <c r="E323" s="45"/>
      <c r="F323" s="45"/>
    </row>
    <row r="324" ht="15.75" customHeight="1">
      <c r="A324" s="45"/>
      <c r="B324" s="45"/>
      <c r="C324" s="45"/>
      <c r="D324" s="45"/>
      <c r="E324" s="45"/>
      <c r="F324" s="45"/>
    </row>
    <row r="325" ht="15.75" customHeight="1">
      <c r="A325" s="45"/>
      <c r="B325" s="45"/>
      <c r="C325" s="45"/>
      <c r="D325" s="45"/>
      <c r="E325" s="45"/>
      <c r="F325" s="45"/>
    </row>
    <row r="326" ht="15.75" customHeight="1">
      <c r="A326" s="45"/>
      <c r="B326" s="45"/>
      <c r="C326" s="45"/>
      <c r="D326" s="45"/>
      <c r="E326" s="45"/>
      <c r="F326" s="45"/>
    </row>
    <row r="327" ht="15.75" customHeight="1">
      <c r="A327" s="45"/>
      <c r="B327" s="45"/>
      <c r="C327" s="45"/>
      <c r="D327" s="45"/>
      <c r="E327" s="45"/>
      <c r="F327" s="45"/>
    </row>
    <row r="328" ht="15.75" customHeight="1">
      <c r="A328" s="45"/>
      <c r="B328" s="45"/>
      <c r="C328" s="45"/>
      <c r="D328" s="45"/>
      <c r="E328" s="45"/>
      <c r="F328" s="45"/>
    </row>
    <row r="329" ht="15.75" customHeight="1">
      <c r="A329" s="45"/>
      <c r="B329" s="45"/>
      <c r="C329" s="45"/>
      <c r="D329" s="45"/>
      <c r="E329" s="45"/>
      <c r="F329" s="45"/>
    </row>
    <row r="330" ht="15.75" customHeight="1">
      <c r="A330" s="45"/>
      <c r="B330" s="45"/>
      <c r="C330" s="45"/>
      <c r="D330" s="45"/>
      <c r="E330" s="45"/>
      <c r="F330" s="45"/>
    </row>
    <row r="331" ht="15.75" customHeight="1">
      <c r="A331" s="45"/>
      <c r="B331" s="45"/>
      <c r="C331" s="45"/>
      <c r="D331" s="45"/>
      <c r="E331" s="45"/>
      <c r="F331" s="45"/>
    </row>
    <row r="332" ht="15.75" customHeight="1">
      <c r="A332" s="45"/>
      <c r="B332" s="45"/>
      <c r="C332" s="45"/>
      <c r="D332" s="45"/>
      <c r="E332" s="45"/>
      <c r="F332" s="45"/>
    </row>
    <row r="333" ht="15.75" customHeight="1">
      <c r="A333" s="45"/>
      <c r="B333" s="45"/>
      <c r="C333" s="45"/>
      <c r="D333" s="45"/>
      <c r="E333" s="45"/>
      <c r="F333" s="45"/>
    </row>
    <row r="334" ht="15.75" customHeight="1">
      <c r="A334" s="45"/>
      <c r="B334" s="45"/>
      <c r="C334" s="45"/>
      <c r="D334" s="45"/>
      <c r="E334" s="45"/>
      <c r="F334" s="45"/>
    </row>
    <row r="335" ht="15.75" customHeight="1">
      <c r="A335" s="45"/>
      <c r="B335" s="45"/>
      <c r="C335" s="45"/>
      <c r="D335" s="45"/>
      <c r="E335" s="45"/>
      <c r="F335" s="45"/>
    </row>
    <row r="336" ht="15.75" customHeight="1">
      <c r="A336" s="45"/>
      <c r="B336" s="45"/>
      <c r="C336" s="45"/>
      <c r="D336" s="45"/>
      <c r="E336" s="45"/>
      <c r="F336" s="45"/>
    </row>
    <row r="337" ht="15.75" customHeight="1">
      <c r="A337" s="45"/>
      <c r="B337" s="45"/>
      <c r="C337" s="45"/>
      <c r="D337" s="45"/>
      <c r="E337" s="45"/>
      <c r="F337" s="45"/>
    </row>
    <row r="338" ht="15.75" customHeight="1">
      <c r="A338" s="45"/>
      <c r="B338" s="45"/>
      <c r="C338" s="45"/>
      <c r="D338" s="45"/>
      <c r="E338" s="45"/>
      <c r="F338" s="45"/>
    </row>
    <row r="339" ht="15.75" customHeight="1">
      <c r="A339" s="45"/>
      <c r="B339" s="45"/>
      <c r="C339" s="45"/>
      <c r="D339" s="45"/>
      <c r="E339" s="45"/>
      <c r="F339" s="45"/>
    </row>
    <row r="340" ht="15.75" customHeight="1">
      <c r="A340" s="45"/>
      <c r="B340" s="45"/>
      <c r="C340" s="45"/>
      <c r="D340" s="45"/>
      <c r="E340" s="45"/>
      <c r="F340" s="45"/>
    </row>
    <row r="341" ht="15.75" customHeight="1">
      <c r="A341" s="45"/>
      <c r="B341" s="45"/>
      <c r="C341" s="45"/>
      <c r="D341" s="45"/>
      <c r="E341" s="45"/>
      <c r="F341" s="45"/>
    </row>
    <row r="342" ht="15.75" customHeight="1">
      <c r="A342" s="45"/>
      <c r="B342" s="45"/>
      <c r="C342" s="45"/>
      <c r="D342" s="45"/>
      <c r="E342" s="45"/>
      <c r="F342" s="45"/>
    </row>
    <row r="343" ht="15.75" customHeight="1">
      <c r="A343" s="45"/>
      <c r="B343" s="45"/>
      <c r="C343" s="45"/>
      <c r="D343" s="45"/>
      <c r="E343" s="45"/>
      <c r="F343" s="45"/>
    </row>
    <row r="344" ht="15.75" customHeight="1">
      <c r="A344" s="45"/>
      <c r="B344" s="45"/>
      <c r="C344" s="45"/>
      <c r="D344" s="45"/>
      <c r="E344" s="45"/>
      <c r="F344" s="45"/>
    </row>
    <row r="345" ht="15.75" customHeight="1">
      <c r="A345" s="45"/>
      <c r="B345" s="45"/>
      <c r="C345" s="45"/>
      <c r="D345" s="45"/>
      <c r="E345" s="45"/>
      <c r="F345" s="45"/>
    </row>
    <row r="346" ht="15.75" customHeight="1">
      <c r="A346" s="45"/>
      <c r="B346" s="45"/>
      <c r="C346" s="45"/>
      <c r="D346" s="45"/>
      <c r="E346" s="45"/>
      <c r="F346" s="45"/>
    </row>
    <row r="347" ht="15.75" customHeight="1">
      <c r="A347" s="45"/>
      <c r="B347" s="45"/>
      <c r="C347" s="45"/>
      <c r="D347" s="45"/>
      <c r="E347" s="45"/>
      <c r="F347" s="45"/>
    </row>
    <row r="348" ht="15.75" customHeight="1">
      <c r="A348" s="45"/>
      <c r="B348" s="45"/>
      <c r="C348" s="45"/>
      <c r="D348" s="45"/>
      <c r="E348" s="45"/>
      <c r="F348" s="45"/>
    </row>
    <row r="349" ht="15.75" customHeight="1">
      <c r="A349" s="45"/>
      <c r="B349" s="45"/>
      <c r="C349" s="45"/>
      <c r="D349" s="45"/>
      <c r="E349" s="45"/>
      <c r="F349" s="45"/>
    </row>
    <row r="350" ht="15.75" customHeight="1">
      <c r="A350" s="45"/>
      <c r="B350" s="45"/>
      <c r="C350" s="45"/>
      <c r="D350" s="45"/>
      <c r="E350" s="45"/>
      <c r="F350" s="45"/>
    </row>
    <row r="351" ht="15.75" customHeight="1">
      <c r="A351" s="45"/>
      <c r="B351" s="45"/>
      <c r="C351" s="45"/>
      <c r="D351" s="45"/>
      <c r="E351" s="45"/>
      <c r="F351" s="45"/>
    </row>
    <row r="352" ht="15.75" customHeight="1">
      <c r="A352" s="45"/>
      <c r="B352" s="45"/>
      <c r="C352" s="45"/>
      <c r="D352" s="45"/>
      <c r="E352" s="45"/>
      <c r="F352" s="45"/>
    </row>
    <row r="353" ht="15.75" customHeight="1">
      <c r="A353" s="45"/>
      <c r="B353" s="45"/>
      <c r="C353" s="45"/>
      <c r="D353" s="45"/>
      <c r="E353" s="45"/>
      <c r="F353" s="45"/>
    </row>
    <row r="354" ht="15.75" customHeight="1">
      <c r="A354" s="45"/>
      <c r="B354" s="45"/>
      <c r="C354" s="45"/>
      <c r="D354" s="45"/>
      <c r="E354" s="45"/>
      <c r="F354" s="45"/>
    </row>
    <row r="355" ht="15.75" customHeight="1">
      <c r="A355" s="45"/>
      <c r="B355" s="45"/>
      <c r="C355" s="45"/>
      <c r="D355" s="45"/>
      <c r="E355" s="45"/>
      <c r="F355" s="45"/>
    </row>
    <row r="356" ht="15.75" customHeight="1">
      <c r="A356" s="45"/>
      <c r="B356" s="45"/>
      <c r="C356" s="45"/>
      <c r="D356" s="45"/>
      <c r="E356" s="45"/>
      <c r="F356" s="45"/>
    </row>
    <row r="357" ht="15.75" customHeight="1">
      <c r="A357" s="45"/>
      <c r="B357" s="45"/>
      <c r="C357" s="45"/>
      <c r="D357" s="45"/>
      <c r="E357" s="45"/>
      <c r="F357" s="45"/>
    </row>
    <row r="358" ht="15.75" customHeight="1">
      <c r="A358" s="45"/>
      <c r="B358" s="45"/>
      <c r="C358" s="45"/>
      <c r="D358" s="45"/>
      <c r="E358" s="45"/>
      <c r="F358" s="45"/>
    </row>
    <row r="359" ht="15.75" customHeight="1">
      <c r="A359" s="45"/>
      <c r="B359" s="45"/>
      <c r="C359" s="45"/>
      <c r="D359" s="45"/>
      <c r="E359" s="45"/>
      <c r="F359" s="45"/>
    </row>
    <row r="360" ht="15.75" customHeight="1">
      <c r="A360" s="45"/>
      <c r="B360" s="45"/>
      <c r="C360" s="45"/>
      <c r="D360" s="45"/>
      <c r="E360" s="45"/>
      <c r="F360" s="45"/>
    </row>
    <row r="361" ht="15.75" customHeight="1">
      <c r="A361" s="45"/>
      <c r="B361" s="45"/>
      <c r="C361" s="45"/>
      <c r="D361" s="45"/>
      <c r="E361" s="45"/>
      <c r="F361" s="45"/>
    </row>
    <row r="362" ht="15.75" customHeight="1">
      <c r="A362" s="45"/>
      <c r="B362" s="45"/>
      <c r="C362" s="45"/>
      <c r="D362" s="45"/>
      <c r="E362" s="45"/>
      <c r="F362" s="45"/>
    </row>
    <row r="363" ht="15.75" customHeight="1">
      <c r="A363" s="45"/>
      <c r="B363" s="45"/>
      <c r="C363" s="45"/>
      <c r="D363" s="45"/>
      <c r="E363" s="45"/>
      <c r="F363" s="45"/>
    </row>
    <row r="364" ht="15.75" customHeight="1">
      <c r="A364" s="45"/>
      <c r="B364" s="45"/>
      <c r="C364" s="45"/>
      <c r="D364" s="45"/>
      <c r="E364" s="45"/>
      <c r="F364" s="45"/>
    </row>
    <row r="365" ht="15.75" customHeight="1">
      <c r="A365" s="45"/>
      <c r="B365" s="45"/>
      <c r="C365" s="45"/>
      <c r="D365" s="45"/>
      <c r="E365" s="45"/>
      <c r="F365" s="45"/>
    </row>
    <row r="366" ht="15.75" customHeight="1">
      <c r="A366" s="45"/>
      <c r="B366" s="45"/>
      <c r="C366" s="45"/>
      <c r="D366" s="45"/>
      <c r="E366" s="45"/>
      <c r="F366" s="45"/>
    </row>
    <row r="367" ht="15.75" customHeight="1">
      <c r="A367" s="45"/>
      <c r="B367" s="45"/>
      <c r="C367" s="45"/>
      <c r="D367" s="45"/>
      <c r="E367" s="45"/>
      <c r="F367" s="45"/>
    </row>
    <row r="368" ht="15.75" customHeight="1">
      <c r="A368" s="45"/>
      <c r="B368" s="45"/>
      <c r="C368" s="45"/>
      <c r="D368" s="45"/>
      <c r="E368" s="45"/>
      <c r="F368" s="45"/>
    </row>
    <row r="369" ht="15.75" customHeight="1">
      <c r="A369" s="45"/>
      <c r="B369" s="45"/>
      <c r="C369" s="45"/>
      <c r="D369" s="45"/>
      <c r="E369" s="45"/>
      <c r="F369" s="45"/>
    </row>
    <row r="370" ht="15.75" customHeight="1">
      <c r="A370" s="45"/>
      <c r="B370" s="45"/>
      <c r="C370" s="45"/>
      <c r="D370" s="45"/>
      <c r="E370" s="45"/>
      <c r="F370" s="45"/>
    </row>
    <row r="371" ht="15.75" customHeight="1">
      <c r="A371" s="45"/>
      <c r="B371" s="45"/>
      <c r="C371" s="45"/>
      <c r="D371" s="45"/>
      <c r="E371" s="45"/>
      <c r="F371" s="45"/>
    </row>
    <row r="372" ht="15.75" customHeight="1">
      <c r="A372" s="45"/>
      <c r="B372" s="45"/>
      <c r="C372" s="45"/>
      <c r="D372" s="45"/>
      <c r="E372" s="45"/>
      <c r="F372" s="45"/>
    </row>
    <row r="373" ht="15.75" customHeight="1">
      <c r="A373" s="45"/>
      <c r="B373" s="45"/>
      <c r="C373" s="45"/>
      <c r="D373" s="45"/>
      <c r="E373" s="45"/>
      <c r="F373" s="45"/>
    </row>
    <row r="374" ht="15.75" customHeight="1">
      <c r="A374" s="45"/>
      <c r="B374" s="45"/>
      <c r="C374" s="45"/>
      <c r="D374" s="45"/>
      <c r="E374" s="45"/>
      <c r="F374" s="45"/>
    </row>
    <row r="375" ht="15.75" customHeight="1">
      <c r="A375" s="45"/>
      <c r="B375" s="45"/>
      <c r="C375" s="45"/>
      <c r="D375" s="45"/>
      <c r="E375" s="45"/>
      <c r="F375" s="45"/>
    </row>
    <row r="376" ht="15.75" customHeight="1">
      <c r="A376" s="45"/>
      <c r="B376" s="45"/>
      <c r="C376" s="45"/>
      <c r="D376" s="45"/>
      <c r="E376" s="45"/>
      <c r="F376" s="45"/>
    </row>
    <row r="377" ht="15.75" customHeight="1">
      <c r="A377" s="45"/>
      <c r="B377" s="45"/>
      <c r="C377" s="45"/>
      <c r="D377" s="45"/>
      <c r="E377" s="45"/>
      <c r="F377" s="45"/>
    </row>
    <row r="378" ht="15.75" customHeight="1">
      <c r="A378" s="45"/>
      <c r="B378" s="45"/>
      <c r="C378" s="45"/>
      <c r="D378" s="45"/>
      <c r="E378" s="45"/>
      <c r="F378" s="45"/>
    </row>
    <row r="379" ht="15.75" customHeight="1">
      <c r="A379" s="45"/>
      <c r="B379" s="45"/>
      <c r="C379" s="45"/>
      <c r="D379" s="45"/>
      <c r="E379" s="45"/>
      <c r="F379" s="45"/>
    </row>
    <row r="380" ht="15.75" customHeight="1">
      <c r="A380" s="45"/>
      <c r="B380" s="45"/>
      <c r="C380" s="45"/>
      <c r="D380" s="45"/>
      <c r="E380" s="45"/>
      <c r="F380" s="45"/>
    </row>
    <row r="381" ht="15.75" customHeight="1">
      <c r="A381" s="45"/>
      <c r="B381" s="45"/>
      <c r="C381" s="45"/>
      <c r="D381" s="45"/>
      <c r="E381" s="45"/>
      <c r="F381" s="45"/>
    </row>
    <row r="382" ht="15.75" customHeight="1">
      <c r="A382" s="45"/>
      <c r="B382" s="45"/>
      <c r="C382" s="45"/>
      <c r="D382" s="45"/>
      <c r="E382" s="45"/>
      <c r="F382" s="45"/>
    </row>
    <row r="383" ht="15.75" customHeight="1">
      <c r="A383" s="45"/>
      <c r="B383" s="45"/>
      <c r="C383" s="45"/>
      <c r="D383" s="45"/>
      <c r="E383" s="45"/>
      <c r="F383" s="45"/>
    </row>
    <row r="384" ht="15.75" customHeight="1">
      <c r="A384" s="45"/>
      <c r="B384" s="45"/>
      <c r="C384" s="45"/>
      <c r="D384" s="45"/>
      <c r="E384" s="45"/>
      <c r="F384" s="45"/>
    </row>
    <row r="385" ht="15.75" customHeight="1">
      <c r="A385" s="45"/>
      <c r="B385" s="45"/>
      <c r="C385" s="45"/>
      <c r="D385" s="45"/>
      <c r="E385" s="45"/>
      <c r="F385" s="45"/>
    </row>
    <row r="386" ht="15.75" customHeight="1">
      <c r="A386" s="45"/>
      <c r="B386" s="45"/>
      <c r="C386" s="45"/>
      <c r="D386" s="45"/>
      <c r="E386" s="45"/>
      <c r="F386" s="45"/>
    </row>
    <row r="387" ht="15.75" customHeight="1">
      <c r="A387" s="45"/>
      <c r="B387" s="45"/>
      <c r="C387" s="45"/>
      <c r="D387" s="45"/>
      <c r="E387" s="45"/>
      <c r="F387" s="45"/>
    </row>
    <row r="388" ht="15.75" customHeight="1">
      <c r="A388" s="45"/>
      <c r="B388" s="45"/>
      <c r="C388" s="45"/>
      <c r="D388" s="45"/>
      <c r="E388" s="45"/>
      <c r="F388" s="45"/>
    </row>
    <row r="389" ht="15.75" customHeight="1">
      <c r="A389" s="45"/>
      <c r="B389" s="45"/>
      <c r="C389" s="45"/>
      <c r="D389" s="45"/>
      <c r="E389" s="45"/>
      <c r="F389" s="45"/>
    </row>
    <row r="390" ht="15.75" customHeight="1">
      <c r="A390" s="45"/>
      <c r="B390" s="45"/>
      <c r="C390" s="45"/>
      <c r="D390" s="45"/>
      <c r="E390" s="45"/>
      <c r="F390" s="45"/>
    </row>
    <row r="391" ht="15.75" customHeight="1">
      <c r="A391" s="45"/>
      <c r="B391" s="45"/>
      <c r="C391" s="45"/>
      <c r="D391" s="45"/>
      <c r="E391" s="45"/>
      <c r="F391" s="45"/>
    </row>
    <row r="392" ht="15.75" customHeight="1">
      <c r="A392" s="45"/>
      <c r="B392" s="45"/>
      <c r="C392" s="45"/>
      <c r="D392" s="45"/>
      <c r="E392" s="45"/>
      <c r="F392" s="45"/>
    </row>
    <row r="393" ht="15.75" customHeight="1">
      <c r="A393" s="45"/>
      <c r="B393" s="45"/>
      <c r="C393" s="45"/>
      <c r="D393" s="45"/>
      <c r="E393" s="45"/>
      <c r="F393" s="45"/>
    </row>
    <row r="394" ht="15.75" customHeight="1">
      <c r="A394" s="45"/>
      <c r="B394" s="45"/>
      <c r="C394" s="45"/>
      <c r="D394" s="45"/>
      <c r="E394" s="45"/>
      <c r="F394" s="45"/>
    </row>
    <row r="395" ht="15.75" customHeight="1">
      <c r="A395" s="45"/>
      <c r="B395" s="45"/>
      <c r="C395" s="45"/>
      <c r="D395" s="45"/>
      <c r="E395" s="45"/>
      <c r="F395" s="45"/>
    </row>
    <row r="396" ht="15.75" customHeight="1">
      <c r="A396" s="45"/>
      <c r="B396" s="45"/>
      <c r="C396" s="45"/>
      <c r="D396" s="45"/>
      <c r="E396" s="45"/>
      <c r="F396" s="45"/>
    </row>
    <row r="397" ht="15.75" customHeight="1">
      <c r="A397" s="45"/>
      <c r="B397" s="45"/>
      <c r="C397" s="45"/>
      <c r="D397" s="45"/>
      <c r="E397" s="45"/>
      <c r="F397" s="45"/>
    </row>
    <row r="398" ht="15.75" customHeight="1">
      <c r="A398" s="45"/>
      <c r="B398" s="45"/>
      <c r="C398" s="45"/>
      <c r="D398" s="45"/>
      <c r="E398" s="45"/>
      <c r="F398" s="45"/>
    </row>
    <row r="399" ht="15.75" customHeight="1">
      <c r="A399" s="45"/>
      <c r="B399" s="45"/>
      <c r="C399" s="45"/>
      <c r="D399" s="45"/>
      <c r="E399" s="45"/>
      <c r="F399" s="45"/>
    </row>
    <row r="400" ht="15.75" customHeight="1">
      <c r="A400" s="45"/>
      <c r="B400" s="45"/>
      <c r="C400" s="45"/>
      <c r="D400" s="45"/>
      <c r="E400" s="45"/>
      <c r="F400" s="45"/>
    </row>
    <row r="401" ht="15.75" customHeight="1">
      <c r="A401" s="45"/>
      <c r="B401" s="45"/>
      <c r="C401" s="45"/>
      <c r="D401" s="45"/>
      <c r="E401" s="45"/>
      <c r="F401" s="45"/>
    </row>
    <row r="402" ht="15.75" customHeight="1">
      <c r="A402" s="45"/>
      <c r="B402" s="45"/>
      <c r="C402" s="45"/>
      <c r="D402" s="45"/>
      <c r="E402" s="45"/>
      <c r="F402" s="45"/>
    </row>
    <row r="403" ht="15.75" customHeight="1">
      <c r="A403" s="45"/>
      <c r="B403" s="45"/>
      <c r="C403" s="45"/>
      <c r="D403" s="45"/>
      <c r="E403" s="45"/>
      <c r="F403" s="45"/>
    </row>
    <row r="404" ht="15.75" customHeight="1">
      <c r="A404" s="45"/>
      <c r="B404" s="45"/>
      <c r="C404" s="45"/>
      <c r="D404" s="45"/>
      <c r="E404" s="45"/>
      <c r="F404" s="45"/>
    </row>
    <row r="405" ht="15.75" customHeight="1">
      <c r="A405" s="45"/>
      <c r="B405" s="45"/>
      <c r="C405" s="45"/>
      <c r="D405" s="45"/>
      <c r="E405" s="45"/>
      <c r="F405" s="45"/>
    </row>
    <row r="406" ht="15.75" customHeight="1">
      <c r="A406" s="45"/>
      <c r="B406" s="45"/>
      <c r="C406" s="45"/>
      <c r="D406" s="45"/>
      <c r="E406" s="45"/>
      <c r="F406" s="45"/>
    </row>
    <row r="407" ht="15.75" customHeight="1">
      <c r="A407" s="45"/>
      <c r="B407" s="45"/>
      <c r="C407" s="45"/>
      <c r="D407" s="45"/>
      <c r="E407" s="45"/>
      <c r="F407" s="45"/>
    </row>
    <row r="408" ht="15.75" customHeight="1">
      <c r="A408" s="45"/>
      <c r="B408" s="45"/>
      <c r="C408" s="45"/>
      <c r="D408" s="45"/>
      <c r="E408" s="45"/>
      <c r="F408" s="45"/>
    </row>
    <row r="409" ht="15.75" customHeight="1">
      <c r="A409" s="45"/>
      <c r="B409" s="45"/>
      <c r="C409" s="45"/>
      <c r="D409" s="45"/>
      <c r="E409" s="45"/>
      <c r="F409" s="45"/>
    </row>
    <row r="410" ht="15.75" customHeight="1">
      <c r="A410" s="45"/>
      <c r="B410" s="45"/>
      <c r="C410" s="45"/>
      <c r="D410" s="45"/>
      <c r="E410" s="45"/>
      <c r="F410" s="45"/>
    </row>
    <row r="411" ht="15.75" customHeight="1">
      <c r="A411" s="45"/>
      <c r="B411" s="45"/>
      <c r="C411" s="45"/>
      <c r="D411" s="45"/>
      <c r="E411" s="45"/>
      <c r="F411" s="45"/>
    </row>
    <row r="412" ht="15.75" customHeight="1">
      <c r="A412" s="45"/>
      <c r="B412" s="45"/>
      <c r="C412" s="45"/>
      <c r="D412" s="45"/>
      <c r="E412" s="45"/>
      <c r="F412" s="45"/>
    </row>
    <row r="413" ht="15.75" customHeight="1">
      <c r="A413" s="45"/>
      <c r="B413" s="45"/>
      <c r="C413" s="45"/>
      <c r="D413" s="45"/>
      <c r="E413" s="45"/>
      <c r="F413" s="45"/>
    </row>
    <row r="414" ht="15.75" customHeight="1">
      <c r="A414" s="45"/>
      <c r="B414" s="45"/>
      <c r="C414" s="45"/>
      <c r="D414" s="45"/>
      <c r="E414" s="45"/>
      <c r="F414" s="45"/>
    </row>
    <row r="415" ht="15.75" customHeight="1">
      <c r="A415" s="45"/>
      <c r="B415" s="45"/>
      <c r="C415" s="45"/>
      <c r="D415" s="45"/>
      <c r="E415" s="45"/>
      <c r="F415" s="45"/>
    </row>
    <row r="416" ht="15.75" customHeight="1">
      <c r="A416" s="45"/>
      <c r="B416" s="45"/>
      <c r="C416" s="45"/>
      <c r="D416" s="45"/>
      <c r="E416" s="45"/>
      <c r="F416" s="45"/>
    </row>
    <row r="417" ht="15.75" customHeight="1">
      <c r="A417" s="45"/>
      <c r="B417" s="45"/>
      <c r="C417" s="45"/>
      <c r="D417" s="45"/>
      <c r="E417" s="45"/>
      <c r="F417" s="45"/>
    </row>
    <row r="418" ht="15.75" customHeight="1">
      <c r="A418" s="45"/>
      <c r="B418" s="45"/>
      <c r="C418" s="45"/>
      <c r="D418" s="45"/>
      <c r="E418" s="45"/>
      <c r="F418" s="45"/>
    </row>
    <row r="419" ht="15.75" customHeight="1">
      <c r="A419" s="45"/>
      <c r="B419" s="45"/>
      <c r="C419" s="45"/>
      <c r="D419" s="45"/>
      <c r="E419" s="45"/>
      <c r="F419" s="45"/>
    </row>
    <row r="420" ht="15.75" customHeight="1">
      <c r="A420" s="45"/>
      <c r="B420" s="45"/>
      <c r="C420" s="45"/>
      <c r="D420" s="45"/>
      <c r="E420" s="45"/>
      <c r="F420" s="45"/>
    </row>
    <row r="421" ht="15.75" customHeight="1">
      <c r="A421" s="45"/>
      <c r="B421" s="45"/>
      <c r="C421" s="45"/>
      <c r="D421" s="45"/>
      <c r="E421" s="45"/>
      <c r="F421" s="45"/>
    </row>
    <row r="422" ht="15.75" customHeight="1">
      <c r="A422" s="45"/>
      <c r="B422" s="45"/>
      <c r="C422" s="45"/>
      <c r="D422" s="45"/>
      <c r="E422" s="45"/>
      <c r="F422" s="45"/>
    </row>
    <row r="423" ht="15.75" customHeight="1">
      <c r="A423" s="45"/>
      <c r="B423" s="45"/>
      <c r="C423" s="45"/>
      <c r="D423" s="45"/>
      <c r="E423" s="45"/>
      <c r="F423" s="45"/>
    </row>
    <row r="424" ht="15.75" customHeight="1">
      <c r="A424" s="45"/>
      <c r="B424" s="45"/>
      <c r="C424" s="45"/>
      <c r="D424" s="45"/>
      <c r="E424" s="45"/>
      <c r="F424" s="45"/>
    </row>
    <row r="425" ht="15.75" customHeight="1">
      <c r="A425" s="45"/>
      <c r="B425" s="45"/>
      <c r="C425" s="45"/>
      <c r="D425" s="45"/>
      <c r="E425" s="45"/>
      <c r="F425" s="45"/>
    </row>
    <row r="426" ht="15.75" customHeight="1">
      <c r="A426" s="45"/>
      <c r="B426" s="45"/>
      <c r="C426" s="45"/>
      <c r="D426" s="45"/>
      <c r="E426" s="45"/>
      <c r="F426" s="45"/>
    </row>
    <row r="427" ht="15.75" customHeight="1">
      <c r="A427" s="45"/>
      <c r="B427" s="45"/>
      <c r="C427" s="45"/>
      <c r="D427" s="45"/>
      <c r="E427" s="45"/>
      <c r="F427" s="45"/>
    </row>
    <row r="428" ht="15.75" customHeight="1">
      <c r="A428" s="45"/>
      <c r="B428" s="45"/>
      <c r="C428" s="45"/>
      <c r="D428" s="45"/>
      <c r="E428" s="45"/>
      <c r="F428" s="45"/>
    </row>
    <row r="429" ht="15.75" customHeight="1">
      <c r="A429" s="45"/>
      <c r="B429" s="45"/>
      <c r="C429" s="45"/>
      <c r="D429" s="45"/>
      <c r="E429" s="45"/>
      <c r="F429" s="45"/>
    </row>
    <row r="430" ht="15.75" customHeight="1">
      <c r="A430" s="45"/>
      <c r="B430" s="45"/>
      <c r="C430" s="45"/>
      <c r="D430" s="45"/>
      <c r="E430" s="45"/>
      <c r="F430" s="45"/>
    </row>
    <row r="431" ht="15.75" customHeight="1">
      <c r="A431" s="45"/>
      <c r="B431" s="45"/>
      <c r="C431" s="45"/>
      <c r="D431" s="45"/>
      <c r="E431" s="45"/>
      <c r="F431" s="45"/>
    </row>
    <row r="432" ht="15.75" customHeight="1">
      <c r="A432" s="45"/>
      <c r="B432" s="45"/>
      <c r="C432" s="45"/>
      <c r="D432" s="45"/>
      <c r="E432" s="45"/>
      <c r="F432" s="45"/>
    </row>
    <row r="433" ht="15.75" customHeight="1">
      <c r="A433" s="45"/>
      <c r="B433" s="45"/>
      <c r="C433" s="45"/>
      <c r="D433" s="45"/>
      <c r="E433" s="45"/>
      <c r="F433" s="45"/>
    </row>
    <row r="434" ht="15.75" customHeight="1">
      <c r="A434" s="45"/>
      <c r="B434" s="45"/>
      <c r="C434" s="45"/>
      <c r="D434" s="45"/>
      <c r="E434" s="45"/>
      <c r="F434" s="45"/>
    </row>
    <row r="435" ht="15.75" customHeight="1">
      <c r="A435" s="45"/>
      <c r="B435" s="45"/>
      <c r="C435" s="45"/>
      <c r="D435" s="45"/>
      <c r="E435" s="45"/>
      <c r="F435" s="45"/>
    </row>
    <row r="436" ht="15.75" customHeight="1">
      <c r="A436" s="45"/>
      <c r="B436" s="45"/>
      <c r="C436" s="45"/>
      <c r="D436" s="45"/>
      <c r="E436" s="45"/>
      <c r="F436" s="45"/>
    </row>
    <row r="437" ht="15.75" customHeight="1">
      <c r="A437" s="45"/>
      <c r="B437" s="45"/>
      <c r="C437" s="45"/>
      <c r="D437" s="45"/>
      <c r="E437" s="45"/>
      <c r="F437" s="45"/>
    </row>
    <row r="438" ht="15.75" customHeight="1">
      <c r="A438" s="45"/>
      <c r="B438" s="45"/>
      <c r="C438" s="45"/>
      <c r="D438" s="45"/>
      <c r="E438" s="45"/>
      <c r="F438" s="45"/>
    </row>
    <row r="439" ht="15.75" customHeight="1">
      <c r="A439" s="45"/>
      <c r="B439" s="45"/>
      <c r="C439" s="45"/>
      <c r="D439" s="45"/>
      <c r="E439" s="45"/>
      <c r="F439" s="45"/>
    </row>
    <row r="440" ht="15.75" customHeight="1">
      <c r="A440" s="45"/>
      <c r="B440" s="45"/>
      <c r="C440" s="45"/>
      <c r="D440" s="45"/>
      <c r="E440" s="45"/>
      <c r="F440" s="45"/>
    </row>
    <row r="441" ht="15.75" customHeight="1">
      <c r="A441" s="45"/>
      <c r="B441" s="45"/>
      <c r="C441" s="45"/>
      <c r="D441" s="45"/>
      <c r="E441" s="45"/>
      <c r="F441" s="45"/>
    </row>
    <row r="442" ht="15.75" customHeight="1">
      <c r="A442" s="45"/>
      <c r="B442" s="45"/>
      <c r="C442" s="45"/>
      <c r="D442" s="45"/>
      <c r="E442" s="45"/>
      <c r="F442" s="45"/>
    </row>
    <row r="443" ht="15.75" customHeight="1">
      <c r="A443" s="45"/>
      <c r="B443" s="45"/>
      <c r="C443" s="45"/>
      <c r="D443" s="45"/>
      <c r="E443" s="45"/>
      <c r="F443" s="45"/>
    </row>
    <row r="444" ht="15.75" customHeight="1">
      <c r="A444" s="45"/>
      <c r="B444" s="45"/>
      <c r="C444" s="45"/>
      <c r="D444" s="45"/>
      <c r="E444" s="45"/>
      <c r="F444" s="45"/>
    </row>
    <row r="445" ht="15.75" customHeight="1">
      <c r="A445" s="45"/>
      <c r="B445" s="45"/>
      <c r="C445" s="45"/>
      <c r="D445" s="45"/>
      <c r="E445" s="45"/>
      <c r="F445" s="45"/>
    </row>
    <row r="446" ht="15.75" customHeight="1">
      <c r="A446" s="45"/>
      <c r="B446" s="45"/>
      <c r="C446" s="45"/>
      <c r="D446" s="45"/>
      <c r="E446" s="45"/>
      <c r="F446" s="45"/>
    </row>
    <row r="447" ht="15.75" customHeight="1">
      <c r="A447" s="45"/>
      <c r="B447" s="45"/>
      <c r="C447" s="45"/>
      <c r="D447" s="45"/>
      <c r="E447" s="45"/>
      <c r="F447" s="45"/>
    </row>
    <row r="448" ht="15.75" customHeight="1">
      <c r="A448" s="45"/>
      <c r="B448" s="45"/>
      <c r="C448" s="45"/>
      <c r="D448" s="45"/>
      <c r="E448" s="45"/>
      <c r="F448" s="45"/>
    </row>
    <row r="449" ht="15.75" customHeight="1">
      <c r="A449" s="45"/>
      <c r="B449" s="45"/>
      <c r="C449" s="45"/>
      <c r="D449" s="45"/>
      <c r="E449" s="45"/>
      <c r="F449" s="45"/>
    </row>
    <row r="450" ht="15.75" customHeight="1">
      <c r="A450" s="45"/>
      <c r="B450" s="45"/>
      <c r="C450" s="45"/>
      <c r="D450" s="45"/>
      <c r="E450" s="45"/>
      <c r="F450" s="45"/>
    </row>
    <row r="451" ht="15.75" customHeight="1">
      <c r="A451" s="45"/>
      <c r="B451" s="45"/>
      <c r="C451" s="45"/>
      <c r="D451" s="45"/>
      <c r="E451" s="45"/>
      <c r="F451" s="45"/>
    </row>
    <row r="452" ht="15.75" customHeight="1">
      <c r="A452" s="45"/>
      <c r="B452" s="45"/>
      <c r="C452" s="45"/>
      <c r="D452" s="45"/>
      <c r="E452" s="45"/>
      <c r="F452" s="45"/>
    </row>
    <row r="453" ht="15.75" customHeight="1">
      <c r="A453" s="45"/>
      <c r="B453" s="45"/>
      <c r="C453" s="45"/>
      <c r="D453" s="45"/>
      <c r="E453" s="45"/>
      <c r="F453" s="45"/>
    </row>
    <row r="454" ht="15.75" customHeight="1">
      <c r="A454" s="45"/>
      <c r="B454" s="45"/>
      <c r="C454" s="45"/>
      <c r="D454" s="45"/>
      <c r="E454" s="45"/>
      <c r="F454" s="45"/>
    </row>
    <row r="455" ht="15.75" customHeight="1">
      <c r="A455" s="45"/>
      <c r="B455" s="45"/>
      <c r="C455" s="45"/>
      <c r="D455" s="45"/>
      <c r="E455" s="45"/>
      <c r="F455" s="45"/>
    </row>
    <row r="456" ht="15.75" customHeight="1">
      <c r="A456" s="45"/>
      <c r="B456" s="45"/>
      <c r="C456" s="45"/>
      <c r="D456" s="45"/>
      <c r="E456" s="45"/>
      <c r="F456" s="45"/>
    </row>
    <row r="457" ht="15.75" customHeight="1">
      <c r="A457" s="45"/>
      <c r="B457" s="45"/>
      <c r="C457" s="45"/>
      <c r="D457" s="45"/>
      <c r="E457" s="45"/>
      <c r="F457" s="45"/>
    </row>
    <row r="458" ht="15.75" customHeight="1">
      <c r="A458" s="45"/>
      <c r="B458" s="45"/>
      <c r="C458" s="45"/>
      <c r="D458" s="45"/>
      <c r="E458" s="45"/>
      <c r="F458" s="45"/>
    </row>
    <row r="459" ht="15.75" customHeight="1">
      <c r="A459" s="45"/>
      <c r="B459" s="45"/>
      <c r="C459" s="45"/>
      <c r="D459" s="45"/>
      <c r="E459" s="45"/>
      <c r="F459" s="45"/>
    </row>
    <row r="460" ht="15.75" customHeight="1">
      <c r="A460" s="45"/>
      <c r="B460" s="45"/>
      <c r="C460" s="45"/>
      <c r="D460" s="45"/>
      <c r="E460" s="45"/>
      <c r="F460" s="45"/>
    </row>
    <row r="461" ht="15.75" customHeight="1">
      <c r="A461" s="45"/>
      <c r="B461" s="45"/>
      <c r="C461" s="45"/>
      <c r="D461" s="45"/>
      <c r="E461" s="45"/>
      <c r="F461" s="45"/>
    </row>
    <row r="462" ht="15.75" customHeight="1">
      <c r="A462" s="45"/>
      <c r="B462" s="45"/>
      <c r="C462" s="45"/>
      <c r="D462" s="45"/>
      <c r="E462" s="45"/>
      <c r="F462" s="45"/>
    </row>
    <row r="463" ht="15.75" customHeight="1">
      <c r="A463" s="45"/>
      <c r="B463" s="45"/>
      <c r="C463" s="45"/>
      <c r="D463" s="45"/>
      <c r="E463" s="45"/>
      <c r="F463" s="45"/>
    </row>
    <row r="464" ht="15.75" customHeight="1">
      <c r="A464" s="45"/>
      <c r="B464" s="45"/>
      <c r="C464" s="45"/>
      <c r="D464" s="45"/>
      <c r="E464" s="45"/>
      <c r="F464" s="45"/>
    </row>
    <row r="465" ht="15.75" customHeight="1">
      <c r="A465" s="45"/>
      <c r="B465" s="45"/>
      <c r="C465" s="45"/>
      <c r="D465" s="45"/>
      <c r="E465" s="45"/>
      <c r="F465" s="45"/>
    </row>
    <row r="466" ht="15.75" customHeight="1">
      <c r="A466" s="45"/>
      <c r="B466" s="45"/>
      <c r="C466" s="45"/>
      <c r="D466" s="45"/>
      <c r="E466" s="45"/>
      <c r="F466" s="45"/>
    </row>
    <row r="467" ht="15.75" customHeight="1">
      <c r="A467" s="45"/>
      <c r="B467" s="45"/>
      <c r="C467" s="45"/>
      <c r="D467" s="45"/>
      <c r="E467" s="45"/>
      <c r="F467" s="45"/>
    </row>
    <row r="468" ht="15.75" customHeight="1">
      <c r="A468" s="45"/>
      <c r="B468" s="45"/>
      <c r="C468" s="45"/>
      <c r="D468" s="45"/>
      <c r="E468" s="45"/>
      <c r="F468" s="45"/>
    </row>
    <row r="469" ht="15.75" customHeight="1">
      <c r="A469" s="45"/>
      <c r="B469" s="45"/>
      <c r="C469" s="45"/>
      <c r="D469" s="45"/>
      <c r="E469" s="45"/>
      <c r="F469" s="45"/>
    </row>
    <row r="470" ht="15.75" customHeight="1">
      <c r="A470" s="45"/>
      <c r="B470" s="45"/>
      <c r="C470" s="45"/>
      <c r="D470" s="45"/>
      <c r="E470" s="45"/>
      <c r="F470" s="45"/>
    </row>
    <row r="471" ht="15.75" customHeight="1">
      <c r="A471" s="45"/>
      <c r="B471" s="45"/>
      <c r="C471" s="45"/>
      <c r="D471" s="45"/>
      <c r="E471" s="45"/>
      <c r="F471" s="45"/>
    </row>
    <row r="472" ht="15.75" customHeight="1">
      <c r="A472" s="45"/>
      <c r="B472" s="45"/>
      <c r="C472" s="45"/>
      <c r="D472" s="45"/>
      <c r="E472" s="45"/>
      <c r="F472" s="45"/>
    </row>
    <row r="473" ht="15.75" customHeight="1">
      <c r="A473" s="45"/>
      <c r="B473" s="45"/>
      <c r="C473" s="45"/>
      <c r="D473" s="45"/>
      <c r="E473" s="45"/>
      <c r="F473" s="45"/>
    </row>
    <row r="474" ht="15.75" customHeight="1">
      <c r="A474" s="45"/>
      <c r="B474" s="45"/>
      <c r="C474" s="45"/>
      <c r="D474" s="45"/>
      <c r="E474" s="45"/>
      <c r="F474" s="45"/>
    </row>
    <row r="475" ht="15.75" customHeight="1">
      <c r="A475" s="45"/>
      <c r="B475" s="45"/>
      <c r="C475" s="45"/>
      <c r="D475" s="45"/>
      <c r="E475" s="45"/>
      <c r="F475" s="45"/>
    </row>
    <row r="476" ht="15.75" customHeight="1">
      <c r="A476" s="45"/>
      <c r="B476" s="45"/>
      <c r="C476" s="45"/>
      <c r="D476" s="45"/>
      <c r="E476" s="45"/>
      <c r="F476" s="45"/>
    </row>
    <row r="477" ht="15.75" customHeight="1">
      <c r="A477" s="45"/>
      <c r="B477" s="45"/>
      <c r="C477" s="45"/>
      <c r="D477" s="45"/>
      <c r="E477" s="45"/>
      <c r="F477" s="45"/>
    </row>
    <row r="478" ht="15.75" customHeight="1">
      <c r="A478" s="45"/>
      <c r="B478" s="45"/>
      <c r="C478" s="45"/>
      <c r="D478" s="45"/>
      <c r="E478" s="45"/>
      <c r="F478" s="45"/>
    </row>
    <row r="479" ht="15.75" customHeight="1">
      <c r="A479" s="45"/>
      <c r="B479" s="45"/>
      <c r="C479" s="45"/>
      <c r="D479" s="45"/>
      <c r="E479" s="45"/>
      <c r="F479" s="45"/>
    </row>
    <row r="480" ht="15.75" customHeight="1">
      <c r="A480" s="45"/>
      <c r="B480" s="45"/>
      <c r="C480" s="45"/>
      <c r="D480" s="45"/>
      <c r="E480" s="45"/>
      <c r="F480" s="45"/>
    </row>
    <row r="481" ht="15.75" customHeight="1">
      <c r="A481" s="45"/>
      <c r="B481" s="45"/>
      <c r="C481" s="45"/>
      <c r="D481" s="45"/>
      <c r="E481" s="45"/>
      <c r="F481" s="45"/>
    </row>
    <row r="482" ht="15.75" customHeight="1">
      <c r="A482" s="45"/>
      <c r="B482" s="45"/>
      <c r="C482" s="45"/>
      <c r="D482" s="45"/>
      <c r="E482" s="45"/>
      <c r="F482" s="45"/>
    </row>
    <row r="483" ht="15.75" customHeight="1">
      <c r="A483" s="45"/>
      <c r="B483" s="45"/>
      <c r="C483" s="45"/>
      <c r="D483" s="45"/>
      <c r="E483" s="45"/>
      <c r="F483" s="45"/>
    </row>
    <row r="484" ht="15.75" customHeight="1">
      <c r="A484" s="45"/>
      <c r="B484" s="45"/>
      <c r="C484" s="45"/>
      <c r="D484" s="45"/>
      <c r="E484" s="45"/>
      <c r="F484" s="45"/>
    </row>
    <row r="485" ht="15.75" customHeight="1">
      <c r="A485" s="45"/>
      <c r="B485" s="45"/>
      <c r="C485" s="45"/>
      <c r="D485" s="45"/>
      <c r="E485" s="45"/>
      <c r="F485" s="45"/>
    </row>
    <row r="486" ht="15.75" customHeight="1">
      <c r="A486" s="45"/>
      <c r="B486" s="45"/>
      <c r="C486" s="45"/>
      <c r="D486" s="45"/>
      <c r="E486" s="45"/>
      <c r="F486" s="45"/>
    </row>
    <row r="487" ht="15.75" customHeight="1">
      <c r="A487" s="45"/>
      <c r="B487" s="45"/>
      <c r="C487" s="45"/>
      <c r="D487" s="45"/>
      <c r="E487" s="45"/>
      <c r="F487" s="45"/>
    </row>
    <row r="488" ht="15.75" customHeight="1">
      <c r="A488" s="45"/>
      <c r="B488" s="45"/>
      <c r="C488" s="45"/>
      <c r="D488" s="45"/>
      <c r="E488" s="45"/>
      <c r="F488" s="45"/>
    </row>
    <row r="489" ht="15.75" customHeight="1">
      <c r="A489" s="45"/>
      <c r="B489" s="45"/>
      <c r="C489" s="45"/>
      <c r="D489" s="45"/>
      <c r="E489" s="45"/>
      <c r="F489" s="45"/>
    </row>
    <row r="490" ht="15.75" customHeight="1">
      <c r="A490" s="45"/>
      <c r="B490" s="45"/>
      <c r="C490" s="45"/>
      <c r="D490" s="45"/>
      <c r="E490" s="45"/>
      <c r="F490" s="45"/>
    </row>
    <row r="491" ht="15.75" customHeight="1">
      <c r="A491" s="45"/>
      <c r="B491" s="45"/>
      <c r="C491" s="45"/>
      <c r="D491" s="45"/>
      <c r="E491" s="45"/>
      <c r="F491" s="45"/>
    </row>
    <row r="492" ht="15.75" customHeight="1">
      <c r="A492" s="45"/>
      <c r="B492" s="45"/>
      <c r="C492" s="45"/>
      <c r="D492" s="45"/>
      <c r="E492" s="45"/>
      <c r="F492" s="45"/>
    </row>
    <row r="493" ht="15.75" customHeight="1">
      <c r="A493" s="45"/>
      <c r="B493" s="45"/>
      <c r="C493" s="45"/>
      <c r="D493" s="45"/>
      <c r="E493" s="45"/>
      <c r="F493" s="45"/>
    </row>
    <row r="494" ht="15.75" customHeight="1">
      <c r="A494" s="45"/>
      <c r="B494" s="45"/>
      <c r="C494" s="45"/>
      <c r="D494" s="45"/>
      <c r="E494" s="45"/>
      <c r="F494" s="45"/>
    </row>
    <row r="495" ht="15.75" customHeight="1">
      <c r="A495" s="45"/>
      <c r="B495" s="45"/>
      <c r="C495" s="45"/>
      <c r="D495" s="45"/>
      <c r="E495" s="45"/>
      <c r="F495" s="45"/>
    </row>
    <row r="496" ht="15.75" customHeight="1">
      <c r="A496" s="45"/>
      <c r="B496" s="45"/>
      <c r="C496" s="45"/>
      <c r="D496" s="45"/>
      <c r="E496" s="45"/>
      <c r="F496" s="45"/>
    </row>
    <row r="497" ht="15.75" customHeight="1">
      <c r="A497" s="45"/>
      <c r="B497" s="45"/>
      <c r="C497" s="45"/>
      <c r="D497" s="45"/>
      <c r="E497" s="45"/>
      <c r="F497" s="45"/>
    </row>
    <row r="498" ht="15.75" customHeight="1">
      <c r="A498" s="45"/>
      <c r="B498" s="45"/>
      <c r="C498" s="45"/>
      <c r="D498" s="45"/>
      <c r="E498" s="45"/>
      <c r="F498" s="45"/>
    </row>
    <row r="499" ht="15.75" customHeight="1">
      <c r="A499" s="45"/>
      <c r="B499" s="45"/>
      <c r="C499" s="45"/>
      <c r="D499" s="45"/>
      <c r="E499" s="45"/>
      <c r="F499" s="45"/>
    </row>
    <row r="500" ht="15.75" customHeight="1">
      <c r="A500" s="45"/>
      <c r="B500" s="45"/>
      <c r="C500" s="45"/>
      <c r="D500" s="45"/>
      <c r="E500" s="45"/>
      <c r="F500" s="45"/>
    </row>
    <row r="501" ht="15.75" customHeight="1">
      <c r="A501" s="45"/>
      <c r="B501" s="45"/>
      <c r="C501" s="45"/>
      <c r="D501" s="45"/>
      <c r="E501" s="45"/>
      <c r="F501" s="45"/>
    </row>
    <row r="502" ht="15.75" customHeight="1">
      <c r="A502" s="45"/>
      <c r="B502" s="45"/>
      <c r="C502" s="45"/>
      <c r="D502" s="45"/>
      <c r="E502" s="45"/>
      <c r="F502" s="45"/>
    </row>
    <row r="503" ht="15.75" customHeight="1">
      <c r="A503" s="45"/>
      <c r="B503" s="45"/>
      <c r="C503" s="45"/>
      <c r="D503" s="45"/>
      <c r="E503" s="45"/>
      <c r="F503" s="45"/>
    </row>
    <row r="504" ht="15.75" customHeight="1">
      <c r="A504" s="45"/>
      <c r="B504" s="45"/>
      <c r="C504" s="45"/>
      <c r="D504" s="45"/>
      <c r="E504" s="45"/>
      <c r="F504" s="45"/>
    </row>
    <row r="505" ht="15.75" customHeight="1">
      <c r="A505" s="45"/>
      <c r="B505" s="45"/>
      <c r="C505" s="45"/>
      <c r="D505" s="45"/>
      <c r="E505" s="45"/>
      <c r="F505" s="45"/>
    </row>
    <row r="506" ht="15.75" customHeight="1">
      <c r="A506" s="45"/>
      <c r="B506" s="45"/>
      <c r="C506" s="45"/>
      <c r="D506" s="45"/>
      <c r="E506" s="45"/>
      <c r="F506" s="45"/>
    </row>
    <row r="507" ht="15.75" customHeight="1">
      <c r="A507" s="45"/>
      <c r="B507" s="45"/>
      <c r="C507" s="45"/>
      <c r="D507" s="45"/>
      <c r="E507" s="45"/>
      <c r="F507" s="45"/>
    </row>
    <row r="508" ht="15.75" customHeight="1">
      <c r="A508" s="45"/>
      <c r="B508" s="45"/>
      <c r="C508" s="45"/>
      <c r="D508" s="45"/>
      <c r="E508" s="45"/>
      <c r="F508" s="45"/>
    </row>
    <row r="509" ht="15.75" customHeight="1">
      <c r="A509" s="45"/>
      <c r="B509" s="45"/>
      <c r="C509" s="45"/>
      <c r="D509" s="45"/>
      <c r="E509" s="45"/>
      <c r="F509" s="45"/>
    </row>
    <row r="510" ht="15.75" customHeight="1">
      <c r="A510" s="45"/>
      <c r="B510" s="45"/>
      <c r="C510" s="45"/>
      <c r="D510" s="45"/>
      <c r="E510" s="45"/>
      <c r="F510" s="45"/>
    </row>
    <row r="511" ht="15.75" customHeight="1">
      <c r="A511" s="45"/>
      <c r="B511" s="45"/>
      <c r="C511" s="45"/>
      <c r="D511" s="45"/>
      <c r="E511" s="45"/>
      <c r="F511" s="45"/>
    </row>
    <row r="512" ht="15.75" customHeight="1">
      <c r="A512" s="45"/>
      <c r="B512" s="45"/>
      <c r="C512" s="45"/>
      <c r="D512" s="45"/>
      <c r="E512" s="45"/>
      <c r="F512" s="45"/>
    </row>
    <row r="513" ht="15.75" customHeight="1">
      <c r="A513" s="45"/>
      <c r="B513" s="45"/>
      <c r="C513" s="45"/>
      <c r="D513" s="45"/>
      <c r="E513" s="45"/>
      <c r="F513" s="45"/>
    </row>
    <row r="514" ht="15.75" customHeight="1">
      <c r="A514" s="45"/>
      <c r="B514" s="45"/>
      <c r="C514" s="45"/>
      <c r="D514" s="45"/>
      <c r="E514" s="45"/>
      <c r="F514" s="45"/>
    </row>
    <row r="515" ht="15.75" customHeight="1">
      <c r="A515" s="45"/>
      <c r="B515" s="45"/>
      <c r="C515" s="45"/>
      <c r="D515" s="45"/>
      <c r="E515" s="45"/>
      <c r="F515" s="45"/>
    </row>
    <row r="516" ht="15.75" customHeight="1">
      <c r="A516" s="45"/>
      <c r="B516" s="45"/>
      <c r="C516" s="45"/>
      <c r="D516" s="45"/>
      <c r="E516" s="45"/>
      <c r="F516" s="45"/>
    </row>
    <row r="517" ht="15.75" customHeight="1">
      <c r="A517" s="45"/>
      <c r="B517" s="45"/>
      <c r="C517" s="45"/>
      <c r="D517" s="45"/>
      <c r="E517" s="45"/>
      <c r="F517" s="45"/>
    </row>
    <row r="518" ht="15.75" customHeight="1">
      <c r="A518" s="45"/>
      <c r="B518" s="45"/>
      <c r="C518" s="45"/>
      <c r="D518" s="45"/>
      <c r="E518" s="45"/>
      <c r="F518" s="45"/>
    </row>
    <row r="519" ht="15.75" customHeight="1">
      <c r="A519" s="45"/>
      <c r="B519" s="45"/>
      <c r="C519" s="45"/>
      <c r="D519" s="45"/>
      <c r="E519" s="45"/>
      <c r="F519" s="45"/>
    </row>
    <row r="520" ht="15.75" customHeight="1">
      <c r="A520" s="45"/>
      <c r="B520" s="45"/>
      <c r="C520" s="45"/>
      <c r="D520" s="45"/>
      <c r="E520" s="45"/>
      <c r="F520" s="45"/>
    </row>
    <row r="521" ht="15.75" customHeight="1">
      <c r="A521" s="45"/>
      <c r="B521" s="45"/>
      <c r="C521" s="45"/>
      <c r="D521" s="45"/>
      <c r="E521" s="45"/>
      <c r="F521" s="45"/>
    </row>
    <row r="522" ht="15.75" customHeight="1">
      <c r="A522" s="45"/>
      <c r="B522" s="45"/>
      <c r="C522" s="45"/>
      <c r="D522" s="45"/>
      <c r="E522" s="45"/>
      <c r="F522" s="45"/>
    </row>
    <row r="523" ht="15.75" customHeight="1">
      <c r="A523" s="45"/>
      <c r="B523" s="45"/>
      <c r="C523" s="45"/>
      <c r="D523" s="45"/>
      <c r="E523" s="45"/>
      <c r="F523" s="45"/>
    </row>
    <row r="524" ht="15.75" customHeight="1">
      <c r="A524" s="45"/>
      <c r="B524" s="45"/>
      <c r="C524" s="45"/>
      <c r="D524" s="45"/>
      <c r="E524" s="45"/>
      <c r="F524" s="45"/>
    </row>
    <row r="525" ht="15.75" customHeight="1">
      <c r="A525" s="45"/>
      <c r="B525" s="45"/>
      <c r="C525" s="45"/>
      <c r="D525" s="45"/>
      <c r="E525" s="45"/>
      <c r="F525" s="45"/>
    </row>
    <row r="526" ht="15.75" customHeight="1">
      <c r="A526" s="45"/>
      <c r="B526" s="45"/>
      <c r="C526" s="45"/>
      <c r="D526" s="45"/>
      <c r="E526" s="45"/>
      <c r="F526" s="45"/>
    </row>
    <row r="527" ht="15.75" customHeight="1">
      <c r="A527" s="45"/>
      <c r="B527" s="45"/>
      <c r="C527" s="45"/>
      <c r="D527" s="45"/>
      <c r="E527" s="45"/>
      <c r="F527" s="45"/>
    </row>
    <row r="528" ht="15.75" customHeight="1">
      <c r="A528" s="45"/>
      <c r="B528" s="45"/>
      <c r="C528" s="45"/>
      <c r="D528" s="45"/>
      <c r="E528" s="45"/>
      <c r="F528" s="45"/>
    </row>
    <row r="529" ht="15.75" customHeight="1">
      <c r="A529" s="45"/>
      <c r="B529" s="45"/>
      <c r="C529" s="45"/>
      <c r="D529" s="45"/>
      <c r="E529" s="45"/>
      <c r="F529" s="45"/>
    </row>
    <row r="530" ht="15.75" customHeight="1">
      <c r="A530" s="45"/>
      <c r="B530" s="45"/>
      <c r="C530" s="45"/>
      <c r="D530" s="45"/>
      <c r="E530" s="45"/>
      <c r="F530" s="45"/>
    </row>
    <row r="531" ht="15.75" customHeight="1">
      <c r="A531" s="45"/>
      <c r="B531" s="45"/>
      <c r="C531" s="45"/>
      <c r="D531" s="45"/>
      <c r="E531" s="45"/>
      <c r="F531" s="45"/>
    </row>
    <row r="532" ht="15.75" customHeight="1">
      <c r="A532" s="45"/>
      <c r="B532" s="45"/>
      <c r="C532" s="45"/>
      <c r="D532" s="45"/>
      <c r="E532" s="45"/>
      <c r="F532" s="45"/>
    </row>
    <row r="533" ht="15.75" customHeight="1">
      <c r="A533" s="45"/>
      <c r="B533" s="45"/>
      <c r="C533" s="45"/>
      <c r="D533" s="45"/>
      <c r="E533" s="45"/>
      <c r="F533" s="45"/>
    </row>
    <row r="534" ht="15.75" customHeight="1">
      <c r="A534" s="45"/>
      <c r="B534" s="45"/>
      <c r="C534" s="45"/>
      <c r="D534" s="45"/>
      <c r="E534" s="45"/>
      <c r="F534" s="45"/>
    </row>
    <row r="535" ht="15.75" customHeight="1">
      <c r="A535" s="45"/>
      <c r="B535" s="45"/>
      <c r="C535" s="45"/>
      <c r="D535" s="45"/>
      <c r="E535" s="45"/>
      <c r="F535" s="45"/>
    </row>
    <row r="536" ht="15.75" customHeight="1">
      <c r="A536" s="45"/>
      <c r="B536" s="45"/>
      <c r="C536" s="45"/>
      <c r="D536" s="45"/>
      <c r="E536" s="45"/>
      <c r="F536" s="45"/>
    </row>
    <row r="537" ht="15.75" customHeight="1">
      <c r="A537" s="45"/>
      <c r="B537" s="45"/>
      <c r="C537" s="45"/>
      <c r="D537" s="45"/>
      <c r="E537" s="45"/>
      <c r="F537" s="45"/>
    </row>
    <row r="538" ht="15.75" customHeight="1">
      <c r="A538" s="45"/>
      <c r="B538" s="45"/>
      <c r="C538" s="45"/>
      <c r="D538" s="45"/>
      <c r="E538" s="45"/>
      <c r="F538" s="45"/>
    </row>
    <row r="539" ht="15.75" customHeight="1">
      <c r="A539" s="45"/>
      <c r="B539" s="45"/>
      <c r="C539" s="45"/>
      <c r="D539" s="45"/>
      <c r="E539" s="45"/>
      <c r="F539" s="45"/>
    </row>
    <row r="540" ht="15.75" customHeight="1">
      <c r="A540" s="45"/>
      <c r="B540" s="45"/>
      <c r="C540" s="45"/>
      <c r="D540" s="45"/>
      <c r="E540" s="45"/>
      <c r="F540" s="45"/>
    </row>
    <row r="541" ht="15.75" customHeight="1">
      <c r="A541" s="45"/>
      <c r="B541" s="45"/>
      <c r="C541" s="45"/>
      <c r="D541" s="45"/>
      <c r="E541" s="45"/>
      <c r="F541" s="45"/>
    </row>
    <row r="542" ht="15.75" customHeight="1">
      <c r="A542" s="45"/>
      <c r="B542" s="45"/>
      <c r="C542" s="45"/>
      <c r="D542" s="45"/>
      <c r="E542" s="45"/>
      <c r="F542" s="45"/>
    </row>
    <row r="543" ht="15.75" customHeight="1">
      <c r="A543" s="45"/>
      <c r="B543" s="45"/>
      <c r="C543" s="45"/>
      <c r="D543" s="45"/>
      <c r="E543" s="45"/>
      <c r="F543" s="45"/>
    </row>
    <row r="544" ht="15.75" customHeight="1">
      <c r="A544" s="45"/>
      <c r="B544" s="45"/>
      <c r="C544" s="45"/>
      <c r="D544" s="45"/>
      <c r="E544" s="45"/>
      <c r="F544" s="45"/>
    </row>
    <row r="545" ht="15.75" customHeight="1">
      <c r="A545" s="45"/>
      <c r="B545" s="45"/>
      <c r="C545" s="45"/>
      <c r="D545" s="45"/>
      <c r="E545" s="45"/>
      <c r="F545" s="45"/>
    </row>
    <row r="546" ht="15.75" customHeight="1">
      <c r="A546" s="45"/>
      <c r="B546" s="45"/>
      <c r="C546" s="45"/>
      <c r="D546" s="45"/>
      <c r="E546" s="45"/>
      <c r="F546" s="45"/>
    </row>
    <row r="547" ht="15.75" customHeight="1">
      <c r="A547" s="45"/>
      <c r="B547" s="45"/>
      <c r="C547" s="45"/>
      <c r="D547" s="45"/>
      <c r="E547" s="45"/>
      <c r="F547" s="45"/>
    </row>
    <row r="548" ht="15.75" customHeight="1">
      <c r="A548" s="45"/>
      <c r="B548" s="45"/>
      <c r="C548" s="45"/>
      <c r="D548" s="45"/>
      <c r="E548" s="45"/>
      <c r="F548" s="45"/>
    </row>
    <row r="549" ht="15.75" customHeight="1">
      <c r="A549" s="45"/>
      <c r="B549" s="45"/>
      <c r="C549" s="45"/>
      <c r="D549" s="45"/>
      <c r="E549" s="45"/>
      <c r="F549" s="45"/>
    </row>
    <row r="550" ht="15.75" customHeight="1">
      <c r="A550" s="45"/>
      <c r="B550" s="45"/>
      <c r="C550" s="45"/>
      <c r="D550" s="45"/>
      <c r="E550" s="45"/>
      <c r="F550" s="45"/>
    </row>
    <row r="551" ht="15.75" customHeight="1">
      <c r="A551" s="45"/>
      <c r="B551" s="45"/>
      <c r="C551" s="45"/>
      <c r="D551" s="45"/>
      <c r="E551" s="45"/>
      <c r="F551" s="45"/>
    </row>
    <row r="552" ht="15.75" customHeight="1">
      <c r="A552" s="45"/>
      <c r="B552" s="45"/>
      <c r="C552" s="45"/>
      <c r="D552" s="45"/>
      <c r="E552" s="45"/>
      <c r="F552" s="45"/>
    </row>
    <row r="553" ht="15.75" customHeight="1">
      <c r="A553" s="45"/>
      <c r="B553" s="45"/>
      <c r="C553" s="45"/>
      <c r="D553" s="45"/>
      <c r="E553" s="45"/>
      <c r="F553" s="45"/>
    </row>
    <row r="554" ht="15.75" customHeight="1">
      <c r="A554" s="45"/>
      <c r="B554" s="45"/>
      <c r="C554" s="45"/>
      <c r="D554" s="45"/>
      <c r="E554" s="45"/>
      <c r="F554" s="45"/>
    </row>
    <row r="555" ht="15.75" customHeight="1">
      <c r="A555" s="45"/>
      <c r="B555" s="45"/>
      <c r="C555" s="45"/>
      <c r="D555" s="45"/>
      <c r="E555" s="45"/>
      <c r="F555" s="45"/>
    </row>
    <row r="556" ht="15.75" customHeight="1">
      <c r="A556" s="45"/>
      <c r="B556" s="45"/>
      <c r="C556" s="45"/>
      <c r="D556" s="45"/>
      <c r="E556" s="45"/>
      <c r="F556" s="45"/>
    </row>
    <row r="557" ht="15.75" customHeight="1">
      <c r="A557" s="45"/>
      <c r="B557" s="45"/>
      <c r="C557" s="45"/>
      <c r="D557" s="45"/>
      <c r="E557" s="45"/>
      <c r="F557" s="45"/>
    </row>
    <row r="558" ht="15.75" customHeight="1">
      <c r="A558" s="45"/>
      <c r="B558" s="45"/>
      <c r="C558" s="45"/>
      <c r="D558" s="45"/>
      <c r="E558" s="45"/>
      <c r="F558" s="45"/>
    </row>
    <row r="559" ht="15.75" customHeight="1">
      <c r="A559" s="45"/>
      <c r="B559" s="45"/>
      <c r="C559" s="45"/>
      <c r="D559" s="45"/>
      <c r="E559" s="45"/>
      <c r="F559" s="45"/>
    </row>
    <row r="560" ht="15.75" customHeight="1">
      <c r="A560" s="45"/>
      <c r="B560" s="45"/>
      <c r="C560" s="45"/>
      <c r="D560" s="45"/>
      <c r="E560" s="45"/>
      <c r="F560" s="45"/>
    </row>
    <row r="561" ht="15.75" customHeight="1">
      <c r="A561" s="45"/>
      <c r="B561" s="45"/>
      <c r="C561" s="45"/>
      <c r="D561" s="45"/>
      <c r="E561" s="45"/>
      <c r="F561" s="45"/>
    </row>
    <row r="562" ht="15.75" customHeight="1">
      <c r="A562" s="45"/>
      <c r="B562" s="45"/>
      <c r="C562" s="45"/>
      <c r="D562" s="45"/>
      <c r="E562" s="45"/>
      <c r="F562" s="45"/>
    </row>
    <row r="563" ht="15.75" customHeight="1">
      <c r="A563" s="45"/>
      <c r="B563" s="45"/>
      <c r="C563" s="45"/>
      <c r="D563" s="45"/>
      <c r="E563" s="45"/>
      <c r="F563" s="45"/>
    </row>
    <row r="564" ht="15.75" customHeight="1">
      <c r="A564" s="45"/>
      <c r="B564" s="45"/>
      <c r="C564" s="45"/>
      <c r="D564" s="45"/>
      <c r="E564" s="45"/>
      <c r="F564" s="45"/>
    </row>
    <row r="565" ht="15.75" customHeight="1">
      <c r="A565" s="45"/>
      <c r="B565" s="45"/>
      <c r="C565" s="45"/>
      <c r="D565" s="45"/>
      <c r="E565" s="45"/>
      <c r="F565" s="45"/>
    </row>
    <row r="566" ht="15.75" customHeight="1">
      <c r="A566" s="45"/>
      <c r="B566" s="45"/>
      <c r="C566" s="45"/>
      <c r="D566" s="45"/>
      <c r="E566" s="45"/>
      <c r="F566" s="45"/>
    </row>
    <row r="567" ht="15.75" customHeight="1">
      <c r="A567" s="45"/>
      <c r="B567" s="45"/>
      <c r="C567" s="45"/>
      <c r="D567" s="45"/>
      <c r="E567" s="45"/>
      <c r="F567" s="45"/>
    </row>
    <row r="568" ht="15.75" customHeight="1">
      <c r="A568" s="45"/>
      <c r="B568" s="45"/>
      <c r="C568" s="45"/>
      <c r="D568" s="45"/>
      <c r="E568" s="45"/>
      <c r="F568" s="45"/>
    </row>
    <row r="569" ht="15.75" customHeight="1">
      <c r="A569" s="45"/>
      <c r="B569" s="45"/>
      <c r="C569" s="45"/>
      <c r="D569" s="45"/>
      <c r="E569" s="45"/>
      <c r="F569" s="45"/>
    </row>
    <row r="570" ht="15.75" customHeight="1">
      <c r="A570" s="45"/>
      <c r="B570" s="45"/>
      <c r="C570" s="45"/>
      <c r="D570" s="45"/>
      <c r="E570" s="45"/>
      <c r="F570" s="45"/>
    </row>
    <row r="571" ht="15.75" customHeight="1">
      <c r="A571" s="45"/>
      <c r="B571" s="45"/>
      <c r="C571" s="45"/>
      <c r="D571" s="45"/>
      <c r="E571" s="45"/>
      <c r="F571" s="45"/>
    </row>
    <row r="572" ht="15.75" customHeight="1">
      <c r="A572" s="45"/>
      <c r="B572" s="45"/>
      <c r="C572" s="45"/>
      <c r="D572" s="45"/>
      <c r="E572" s="45"/>
      <c r="F572" s="45"/>
    </row>
    <row r="573" ht="15.75" customHeight="1">
      <c r="A573" s="45"/>
      <c r="B573" s="45"/>
      <c r="C573" s="45"/>
      <c r="D573" s="45"/>
      <c r="E573" s="45"/>
      <c r="F573" s="45"/>
    </row>
    <row r="574" ht="15.75" customHeight="1">
      <c r="A574" s="45"/>
      <c r="B574" s="45"/>
      <c r="C574" s="45"/>
      <c r="D574" s="45"/>
      <c r="E574" s="45"/>
      <c r="F574" s="45"/>
    </row>
    <row r="575" ht="15.75" customHeight="1">
      <c r="A575" s="45"/>
      <c r="B575" s="45"/>
      <c r="C575" s="45"/>
      <c r="D575" s="45"/>
      <c r="E575" s="45"/>
      <c r="F575" s="45"/>
    </row>
    <row r="576" ht="15.75" customHeight="1">
      <c r="A576" s="45"/>
      <c r="B576" s="45"/>
      <c r="C576" s="45"/>
      <c r="D576" s="45"/>
      <c r="E576" s="45"/>
      <c r="F576" s="45"/>
    </row>
    <row r="577" ht="15.75" customHeight="1">
      <c r="A577" s="45"/>
      <c r="B577" s="45"/>
      <c r="C577" s="45"/>
      <c r="D577" s="45"/>
      <c r="E577" s="45"/>
      <c r="F577" s="45"/>
    </row>
    <row r="578" ht="15.75" customHeight="1">
      <c r="A578" s="45"/>
      <c r="B578" s="45"/>
      <c r="C578" s="45"/>
      <c r="D578" s="45"/>
      <c r="E578" s="45"/>
      <c r="F578" s="45"/>
    </row>
    <row r="579" ht="15.75" customHeight="1">
      <c r="A579" s="45"/>
      <c r="B579" s="45"/>
      <c r="C579" s="45"/>
      <c r="D579" s="45"/>
      <c r="E579" s="45"/>
      <c r="F579" s="45"/>
    </row>
    <row r="580" ht="15.75" customHeight="1">
      <c r="A580" s="45"/>
      <c r="B580" s="45"/>
      <c r="C580" s="45"/>
      <c r="D580" s="45"/>
      <c r="E580" s="45"/>
      <c r="F580" s="45"/>
    </row>
    <row r="581" ht="15.75" customHeight="1">
      <c r="A581" s="45"/>
      <c r="B581" s="45"/>
      <c r="C581" s="45"/>
      <c r="D581" s="45"/>
      <c r="E581" s="45"/>
      <c r="F581" s="45"/>
    </row>
    <row r="582" ht="15.75" customHeight="1">
      <c r="A582" s="45"/>
      <c r="B582" s="45"/>
      <c r="C582" s="45"/>
      <c r="D582" s="45"/>
      <c r="E582" s="45"/>
      <c r="F582" s="45"/>
    </row>
    <row r="583" ht="15.75" customHeight="1">
      <c r="A583" s="45"/>
      <c r="B583" s="45"/>
      <c r="C583" s="45"/>
      <c r="D583" s="45"/>
      <c r="E583" s="45"/>
      <c r="F583" s="45"/>
    </row>
    <row r="584" ht="15.75" customHeight="1">
      <c r="A584" s="45"/>
      <c r="B584" s="45"/>
      <c r="C584" s="45"/>
      <c r="D584" s="45"/>
      <c r="E584" s="45"/>
      <c r="F584" s="45"/>
    </row>
    <row r="585" ht="15.75" customHeight="1">
      <c r="A585" s="45"/>
      <c r="B585" s="45"/>
      <c r="C585" s="45"/>
      <c r="D585" s="45"/>
      <c r="E585" s="45"/>
      <c r="F585" s="45"/>
    </row>
    <row r="586" ht="15.75" customHeight="1">
      <c r="A586" s="45"/>
      <c r="B586" s="45"/>
      <c r="C586" s="45"/>
      <c r="D586" s="45"/>
      <c r="E586" s="45"/>
      <c r="F586" s="45"/>
    </row>
    <row r="587" ht="15.75" customHeight="1">
      <c r="A587" s="45"/>
      <c r="B587" s="45"/>
      <c r="C587" s="45"/>
      <c r="D587" s="45"/>
      <c r="E587" s="45"/>
      <c r="F587" s="45"/>
    </row>
    <row r="588" ht="15.75" customHeight="1">
      <c r="A588" s="45"/>
      <c r="B588" s="45"/>
      <c r="C588" s="45"/>
      <c r="D588" s="45"/>
      <c r="E588" s="45"/>
      <c r="F588" s="45"/>
    </row>
    <row r="589" ht="15.75" customHeight="1">
      <c r="A589" s="45"/>
      <c r="B589" s="45"/>
      <c r="C589" s="45"/>
      <c r="D589" s="45"/>
      <c r="E589" s="45"/>
      <c r="F589" s="45"/>
    </row>
    <row r="590" ht="15.75" customHeight="1">
      <c r="A590" s="45"/>
      <c r="B590" s="45"/>
      <c r="C590" s="45"/>
      <c r="D590" s="45"/>
      <c r="E590" s="45"/>
      <c r="F590" s="45"/>
    </row>
    <row r="591" ht="15.75" customHeight="1">
      <c r="A591" s="45"/>
      <c r="B591" s="45"/>
      <c r="C591" s="45"/>
      <c r="D591" s="45"/>
      <c r="E591" s="45"/>
      <c r="F591" s="45"/>
    </row>
    <row r="592" ht="15.75" customHeight="1">
      <c r="A592" s="45"/>
      <c r="B592" s="45"/>
      <c r="C592" s="45"/>
      <c r="D592" s="45"/>
      <c r="E592" s="45"/>
      <c r="F592" s="45"/>
    </row>
    <row r="593" ht="15.75" customHeight="1">
      <c r="A593" s="45"/>
      <c r="B593" s="45"/>
      <c r="C593" s="45"/>
      <c r="D593" s="45"/>
      <c r="E593" s="45"/>
      <c r="F593" s="45"/>
    </row>
    <row r="594" ht="15.75" customHeight="1">
      <c r="A594" s="45"/>
      <c r="B594" s="45"/>
      <c r="C594" s="45"/>
      <c r="D594" s="45"/>
      <c r="E594" s="45"/>
      <c r="F594" s="45"/>
    </row>
    <row r="595" ht="15.75" customHeight="1">
      <c r="A595" s="45"/>
      <c r="B595" s="45"/>
      <c r="C595" s="45"/>
      <c r="D595" s="45"/>
      <c r="E595" s="45"/>
      <c r="F595" s="45"/>
    </row>
    <row r="596" ht="15.75" customHeight="1">
      <c r="A596" s="45"/>
      <c r="B596" s="45"/>
      <c r="C596" s="45"/>
      <c r="D596" s="45"/>
      <c r="E596" s="45"/>
      <c r="F596" s="45"/>
    </row>
    <row r="597" ht="15.75" customHeight="1">
      <c r="A597" s="45"/>
      <c r="B597" s="45"/>
      <c r="C597" s="45"/>
      <c r="D597" s="45"/>
      <c r="E597" s="45"/>
      <c r="F597" s="45"/>
    </row>
    <row r="598" ht="15.75" customHeight="1">
      <c r="A598" s="45"/>
      <c r="B598" s="45"/>
      <c r="C598" s="45"/>
      <c r="D598" s="45"/>
      <c r="E598" s="45"/>
      <c r="F598" s="45"/>
    </row>
    <row r="599" ht="15.75" customHeight="1">
      <c r="A599" s="45"/>
      <c r="B599" s="45"/>
      <c r="C599" s="45"/>
      <c r="D599" s="45"/>
      <c r="E599" s="45"/>
      <c r="F599" s="45"/>
    </row>
    <row r="600" ht="15.75" customHeight="1">
      <c r="A600" s="45"/>
      <c r="B600" s="45"/>
      <c r="C600" s="45"/>
      <c r="D600" s="45"/>
      <c r="E600" s="45"/>
      <c r="F600" s="45"/>
    </row>
    <row r="601" ht="15.75" customHeight="1">
      <c r="A601" s="45"/>
      <c r="B601" s="45"/>
      <c r="C601" s="45"/>
      <c r="D601" s="45"/>
      <c r="E601" s="45"/>
      <c r="F601" s="45"/>
    </row>
    <row r="602" ht="15.75" customHeight="1">
      <c r="A602" s="45"/>
      <c r="B602" s="45"/>
      <c r="C602" s="45"/>
      <c r="D602" s="45"/>
      <c r="E602" s="45"/>
      <c r="F602" s="45"/>
    </row>
    <row r="603" ht="15.75" customHeight="1">
      <c r="A603" s="45"/>
      <c r="B603" s="45"/>
      <c r="C603" s="45"/>
      <c r="D603" s="45"/>
      <c r="E603" s="45"/>
      <c r="F603" s="45"/>
    </row>
    <row r="604" ht="15.75" customHeight="1">
      <c r="A604" s="45"/>
      <c r="B604" s="45"/>
      <c r="C604" s="45"/>
      <c r="D604" s="45"/>
      <c r="E604" s="45"/>
      <c r="F604" s="45"/>
    </row>
    <row r="605" ht="15.75" customHeight="1">
      <c r="A605" s="45"/>
      <c r="B605" s="45"/>
      <c r="C605" s="45"/>
      <c r="D605" s="45"/>
      <c r="E605" s="45"/>
      <c r="F605" s="45"/>
    </row>
    <row r="606" ht="15.75" customHeight="1">
      <c r="A606" s="45"/>
      <c r="B606" s="45"/>
      <c r="C606" s="45"/>
      <c r="D606" s="45"/>
      <c r="E606" s="45"/>
      <c r="F606" s="45"/>
    </row>
    <row r="607" ht="15.75" customHeight="1">
      <c r="A607" s="45"/>
      <c r="B607" s="45"/>
      <c r="C607" s="45"/>
      <c r="D607" s="45"/>
      <c r="E607" s="45"/>
      <c r="F607" s="45"/>
    </row>
    <row r="608" ht="15.75" customHeight="1">
      <c r="A608" s="45"/>
      <c r="B608" s="45"/>
      <c r="C608" s="45"/>
      <c r="D608" s="45"/>
      <c r="E608" s="45"/>
      <c r="F608" s="45"/>
    </row>
    <row r="609" ht="15.75" customHeight="1">
      <c r="A609" s="45"/>
      <c r="B609" s="45"/>
      <c r="C609" s="45"/>
      <c r="D609" s="45"/>
      <c r="E609" s="45"/>
      <c r="F609" s="45"/>
    </row>
    <row r="610" ht="15.75" customHeight="1">
      <c r="A610" s="45"/>
      <c r="B610" s="45"/>
      <c r="C610" s="45"/>
      <c r="D610" s="45"/>
      <c r="E610" s="45"/>
      <c r="F610" s="45"/>
    </row>
    <row r="611" ht="15.75" customHeight="1">
      <c r="A611" s="45"/>
      <c r="B611" s="45"/>
      <c r="C611" s="45"/>
      <c r="D611" s="45"/>
      <c r="E611" s="45"/>
      <c r="F611" s="45"/>
    </row>
    <row r="612" ht="15.75" customHeight="1">
      <c r="A612" s="45"/>
      <c r="B612" s="45"/>
      <c r="C612" s="45"/>
      <c r="D612" s="45"/>
      <c r="E612" s="45"/>
      <c r="F612" s="45"/>
    </row>
    <row r="613" ht="15.75" customHeight="1">
      <c r="A613" s="45"/>
      <c r="B613" s="45"/>
      <c r="C613" s="45"/>
      <c r="D613" s="45"/>
      <c r="E613" s="45"/>
      <c r="F613" s="45"/>
    </row>
    <row r="614" ht="15.75" customHeight="1">
      <c r="A614" s="45"/>
      <c r="B614" s="45"/>
      <c r="C614" s="45"/>
      <c r="D614" s="45"/>
      <c r="E614" s="45"/>
      <c r="F614" s="45"/>
    </row>
    <row r="615" ht="15.75" customHeight="1">
      <c r="A615" s="45"/>
      <c r="B615" s="45"/>
      <c r="C615" s="45"/>
      <c r="D615" s="45"/>
      <c r="E615" s="45"/>
      <c r="F615" s="45"/>
    </row>
    <row r="616" ht="15.75" customHeight="1">
      <c r="A616" s="45"/>
      <c r="B616" s="45"/>
      <c r="C616" s="45"/>
      <c r="D616" s="45"/>
      <c r="E616" s="45"/>
      <c r="F616" s="45"/>
    </row>
    <row r="617" ht="15.75" customHeight="1">
      <c r="A617" s="45"/>
      <c r="B617" s="45"/>
      <c r="C617" s="45"/>
      <c r="D617" s="45"/>
      <c r="E617" s="45"/>
      <c r="F617" s="45"/>
    </row>
    <row r="618" ht="15.75" customHeight="1">
      <c r="A618" s="45"/>
      <c r="B618" s="45"/>
      <c r="C618" s="45"/>
      <c r="D618" s="45"/>
      <c r="E618" s="45"/>
      <c r="F618" s="45"/>
    </row>
    <row r="619" ht="15.75" customHeight="1">
      <c r="A619" s="45"/>
      <c r="B619" s="45"/>
      <c r="C619" s="45"/>
      <c r="D619" s="45"/>
      <c r="E619" s="45"/>
      <c r="F619" s="45"/>
    </row>
    <row r="620" ht="15.75" customHeight="1">
      <c r="A620" s="45"/>
      <c r="B620" s="45"/>
      <c r="C620" s="45"/>
      <c r="D620" s="45"/>
      <c r="E620" s="45"/>
      <c r="F620" s="45"/>
    </row>
    <row r="621" ht="15.75" customHeight="1">
      <c r="A621" s="45"/>
      <c r="B621" s="45"/>
      <c r="C621" s="45"/>
      <c r="D621" s="45"/>
      <c r="E621" s="45"/>
      <c r="F621" s="45"/>
    </row>
    <row r="622" ht="15.75" customHeight="1">
      <c r="A622" s="45"/>
      <c r="B622" s="45"/>
      <c r="C622" s="45"/>
      <c r="D622" s="45"/>
      <c r="E622" s="45"/>
      <c r="F622" s="45"/>
    </row>
    <row r="623" ht="15.75" customHeight="1">
      <c r="A623" s="45"/>
      <c r="B623" s="45"/>
      <c r="C623" s="45"/>
      <c r="D623" s="45"/>
      <c r="E623" s="45"/>
      <c r="F623" s="45"/>
    </row>
    <row r="624" ht="15.75" customHeight="1">
      <c r="A624" s="45"/>
      <c r="B624" s="45"/>
      <c r="C624" s="45"/>
      <c r="D624" s="45"/>
      <c r="E624" s="45"/>
      <c r="F624" s="45"/>
    </row>
    <row r="625" ht="15.75" customHeight="1">
      <c r="A625" s="45"/>
      <c r="B625" s="45"/>
      <c r="C625" s="45"/>
      <c r="D625" s="45"/>
      <c r="E625" s="45"/>
      <c r="F625" s="45"/>
    </row>
    <row r="626" ht="15.75" customHeight="1">
      <c r="A626" s="45"/>
      <c r="B626" s="45"/>
      <c r="C626" s="45"/>
      <c r="D626" s="45"/>
      <c r="E626" s="45"/>
      <c r="F626" s="45"/>
    </row>
    <row r="627" ht="15.75" customHeight="1">
      <c r="A627" s="45"/>
      <c r="B627" s="45"/>
      <c r="C627" s="45"/>
      <c r="D627" s="45"/>
      <c r="E627" s="45"/>
      <c r="F627" s="45"/>
    </row>
    <row r="628" ht="15.75" customHeight="1">
      <c r="A628" s="45"/>
      <c r="B628" s="45"/>
      <c r="C628" s="45"/>
      <c r="D628" s="45"/>
      <c r="E628" s="45"/>
      <c r="F628" s="45"/>
    </row>
    <row r="629" ht="15.75" customHeight="1">
      <c r="A629" s="45"/>
      <c r="B629" s="45"/>
      <c r="C629" s="45"/>
      <c r="D629" s="45"/>
      <c r="E629" s="45"/>
      <c r="F629" s="45"/>
    </row>
    <row r="630" ht="15.75" customHeight="1">
      <c r="A630" s="45"/>
      <c r="B630" s="45"/>
      <c r="C630" s="45"/>
      <c r="D630" s="45"/>
      <c r="E630" s="45"/>
      <c r="F630" s="45"/>
    </row>
    <row r="631" ht="15.75" customHeight="1">
      <c r="A631" s="45"/>
      <c r="B631" s="45"/>
      <c r="C631" s="45"/>
      <c r="D631" s="45"/>
      <c r="E631" s="45"/>
      <c r="F631" s="45"/>
    </row>
    <row r="632" ht="15.75" customHeight="1">
      <c r="A632" s="45"/>
      <c r="B632" s="45"/>
      <c r="C632" s="45"/>
      <c r="D632" s="45"/>
      <c r="E632" s="45"/>
      <c r="F632" s="45"/>
    </row>
    <row r="633" ht="15.75" customHeight="1">
      <c r="A633" s="45"/>
      <c r="B633" s="45"/>
      <c r="C633" s="45"/>
      <c r="D633" s="45"/>
      <c r="E633" s="45"/>
      <c r="F633" s="45"/>
    </row>
    <row r="634" ht="15.75" customHeight="1">
      <c r="A634" s="45"/>
      <c r="B634" s="45"/>
      <c r="C634" s="45"/>
      <c r="D634" s="45"/>
      <c r="E634" s="45"/>
      <c r="F634" s="45"/>
    </row>
    <row r="635" ht="15.75" customHeight="1">
      <c r="A635" s="45"/>
      <c r="B635" s="45"/>
      <c r="C635" s="45"/>
      <c r="D635" s="45"/>
      <c r="E635" s="45"/>
      <c r="F635" s="45"/>
    </row>
    <row r="636" ht="15.75" customHeight="1">
      <c r="A636" s="45"/>
      <c r="B636" s="45"/>
      <c r="C636" s="45"/>
      <c r="D636" s="45"/>
      <c r="E636" s="45"/>
      <c r="F636" s="45"/>
    </row>
    <row r="637" ht="15.75" customHeight="1">
      <c r="A637" s="45"/>
      <c r="B637" s="45"/>
      <c r="C637" s="45"/>
      <c r="D637" s="45"/>
      <c r="E637" s="45"/>
      <c r="F637" s="45"/>
    </row>
    <row r="638" ht="15.75" customHeight="1">
      <c r="A638" s="45"/>
      <c r="B638" s="45"/>
      <c r="C638" s="45"/>
      <c r="D638" s="45"/>
      <c r="E638" s="45"/>
      <c r="F638" s="45"/>
    </row>
    <row r="639" ht="15.75" customHeight="1">
      <c r="A639" s="45"/>
      <c r="B639" s="45"/>
      <c r="C639" s="45"/>
      <c r="D639" s="45"/>
      <c r="E639" s="45"/>
      <c r="F639" s="45"/>
    </row>
    <row r="640" ht="15.75" customHeight="1">
      <c r="A640" s="45"/>
      <c r="B640" s="45"/>
      <c r="C640" s="45"/>
      <c r="D640" s="45"/>
      <c r="E640" s="45"/>
      <c r="F640" s="45"/>
    </row>
    <row r="641" ht="15.75" customHeight="1">
      <c r="A641" s="45"/>
      <c r="B641" s="45"/>
      <c r="C641" s="45"/>
      <c r="D641" s="45"/>
      <c r="E641" s="45"/>
      <c r="F641" s="45"/>
    </row>
    <row r="642" ht="15.75" customHeight="1">
      <c r="A642" s="45"/>
      <c r="B642" s="45"/>
      <c r="C642" s="45"/>
      <c r="D642" s="45"/>
      <c r="E642" s="45"/>
      <c r="F642" s="45"/>
    </row>
    <row r="643" ht="15.75" customHeight="1">
      <c r="A643" s="45"/>
      <c r="B643" s="45"/>
      <c r="C643" s="45"/>
      <c r="D643" s="45"/>
      <c r="E643" s="45"/>
      <c r="F643" s="45"/>
    </row>
    <row r="644" ht="15.75" customHeight="1">
      <c r="A644" s="45"/>
      <c r="B644" s="45"/>
      <c r="C644" s="45"/>
      <c r="D644" s="45"/>
      <c r="E644" s="45"/>
      <c r="F644" s="45"/>
    </row>
    <row r="645" ht="15.75" customHeight="1">
      <c r="A645" s="45"/>
      <c r="B645" s="45"/>
      <c r="C645" s="45"/>
      <c r="D645" s="45"/>
      <c r="E645" s="45"/>
      <c r="F645" s="45"/>
    </row>
    <row r="646" ht="15.75" customHeight="1">
      <c r="A646" s="45"/>
      <c r="B646" s="45"/>
      <c r="C646" s="45"/>
      <c r="D646" s="45"/>
      <c r="E646" s="45"/>
      <c r="F646" s="45"/>
    </row>
    <row r="647" ht="15.75" customHeight="1">
      <c r="A647" s="45"/>
      <c r="B647" s="45"/>
      <c r="C647" s="45"/>
      <c r="D647" s="45"/>
      <c r="E647" s="45"/>
      <c r="F647" s="45"/>
    </row>
    <row r="648" ht="15.75" customHeight="1">
      <c r="A648" s="45"/>
      <c r="B648" s="45"/>
      <c r="C648" s="45"/>
      <c r="D648" s="45"/>
      <c r="E648" s="45"/>
      <c r="F648" s="45"/>
    </row>
    <row r="649" ht="15.75" customHeight="1">
      <c r="A649" s="45"/>
      <c r="B649" s="45"/>
      <c r="C649" s="45"/>
      <c r="D649" s="45"/>
      <c r="E649" s="45"/>
      <c r="F649" s="45"/>
    </row>
    <row r="650" ht="15.75" customHeight="1">
      <c r="A650" s="45"/>
      <c r="B650" s="45"/>
      <c r="C650" s="45"/>
      <c r="D650" s="45"/>
      <c r="E650" s="45"/>
      <c r="F650" s="45"/>
    </row>
    <row r="651" ht="15.75" customHeight="1">
      <c r="A651" s="45"/>
      <c r="B651" s="45"/>
      <c r="C651" s="45"/>
      <c r="D651" s="45"/>
      <c r="E651" s="45"/>
      <c r="F651" s="45"/>
    </row>
    <row r="652" ht="15.75" customHeight="1">
      <c r="A652" s="45"/>
      <c r="B652" s="45"/>
      <c r="C652" s="45"/>
      <c r="D652" s="45"/>
      <c r="E652" s="45"/>
      <c r="F652" s="45"/>
    </row>
    <row r="653" ht="15.75" customHeight="1">
      <c r="A653" s="45"/>
      <c r="B653" s="45"/>
      <c r="C653" s="45"/>
      <c r="D653" s="45"/>
      <c r="E653" s="45"/>
      <c r="F653" s="45"/>
    </row>
    <row r="654" ht="15.75" customHeight="1">
      <c r="A654" s="45"/>
      <c r="B654" s="45"/>
      <c r="C654" s="45"/>
      <c r="D654" s="45"/>
      <c r="E654" s="45"/>
      <c r="F654" s="45"/>
    </row>
    <row r="655" ht="15.75" customHeight="1">
      <c r="A655" s="45"/>
      <c r="B655" s="45"/>
      <c r="C655" s="45"/>
      <c r="D655" s="45"/>
      <c r="E655" s="45"/>
      <c r="F655" s="45"/>
    </row>
    <row r="656" ht="15.75" customHeight="1">
      <c r="A656" s="45"/>
      <c r="B656" s="45"/>
      <c r="C656" s="45"/>
      <c r="D656" s="45"/>
      <c r="E656" s="45"/>
      <c r="F656" s="45"/>
    </row>
    <row r="657" ht="15.75" customHeight="1">
      <c r="A657" s="45"/>
      <c r="B657" s="45"/>
      <c r="C657" s="45"/>
      <c r="D657" s="45"/>
      <c r="E657" s="45"/>
      <c r="F657" s="45"/>
    </row>
    <row r="658" ht="15.75" customHeight="1">
      <c r="A658" s="45"/>
      <c r="B658" s="45"/>
      <c r="C658" s="45"/>
      <c r="D658" s="45"/>
      <c r="E658" s="45"/>
      <c r="F658" s="45"/>
    </row>
    <row r="659" ht="15.75" customHeight="1">
      <c r="A659" s="45"/>
      <c r="B659" s="45"/>
      <c r="C659" s="45"/>
      <c r="D659" s="45"/>
      <c r="E659" s="45"/>
      <c r="F659" s="45"/>
    </row>
    <row r="660" ht="15.75" customHeight="1">
      <c r="A660" s="45"/>
      <c r="B660" s="45"/>
      <c r="C660" s="45"/>
      <c r="D660" s="45"/>
      <c r="E660" s="45"/>
      <c r="F660" s="45"/>
    </row>
    <row r="661" ht="15.75" customHeight="1">
      <c r="A661" s="45"/>
      <c r="B661" s="45"/>
      <c r="C661" s="45"/>
      <c r="D661" s="45"/>
      <c r="E661" s="45"/>
      <c r="F661" s="45"/>
    </row>
    <row r="662" ht="15.75" customHeight="1">
      <c r="A662" s="45"/>
      <c r="B662" s="45"/>
      <c r="C662" s="45"/>
      <c r="D662" s="45"/>
      <c r="E662" s="45"/>
      <c r="F662" s="45"/>
    </row>
    <row r="663" ht="15.75" customHeight="1">
      <c r="A663" s="45"/>
      <c r="B663" s="45"/>
      <c r="C663" s="45"/>
      <c r="D663" s="45"/>
      <c r="E663" s="45"/>
      <c r="F663" s="45"/>
    </row>
    <row r="664" ht="15.75" customHeight="1">
      <c r="A664" s="45"/>
      <c r="B664" s="45"/>
      <c r="C664" s="45"/>
      <c r="D664" s="45"/>
      <c r="E664" s="45"/>
      <c r="F664" s="45"/>
    </row>
    <row r="665" ht="15.75" customHeight="1">
      <c r="A665" s="45"/>
      <c r="B665" s="45"/>
      <c r="C665" s="45"/>
      <c r="D665" s="45"/>
      <c r="E665" s="45"/>
      <c r="F665" s="45"/>
    </row>
    <row r="666" ht="15.75" customHeight="1">
      <c r="A666" s="45"/>
      <c r="B666" s="45"/>
      <c r="C666" s="45"/>
      <c r="D666" s="45"/>
      <c r="E666" s="45"/>
      <c r="F666" s="45"/>
    </row>
    <row r="667" ht="15.75" customHeight="1">
      <c r="A667" s="45"/>
      <c r="B667" s="45"/>
      <c r="C667" s="45"/>
      <c r="D667" s="45"/>
      <c r="E667" s="45"/>
      <c r="F667" s="45"/>
    </row>
    <row r="668" ht="15.75" customHeight="1">
      <c r="A668" s="45"/>
      <c r="B668" s="45"/>
      <c r="C668" s="45"/>
      <c r="D668" s="45"/>
      <c r="E668" s="45"/>
      <c r="F668" s="45"/>
    </row>
    <row r="669" ht="15.75" customHeight="1">
      <c r="A669" s="45"/>
      <c r="B669" s="45"/>
      <c r="C669" s="45"/>
      <c r="D669" s="45"/>
      <c r="E669" s="45"/>
      <c r="F669" s="45"/>
    </row>
    <row r="670" ht="15.75" customHeight="1">
      <c r="A670" s="45"/>
      <c r="B670" s="45"/>
      <c r="C670" s="45"/>
      <c r="D670" s="45"/>
      <c r="E670" s="45"/>
      <c r="F670" s="45"/>
    </row>
    <row r="671" ht="15.75" customHeight="1">
      <c r="A671" s="45"/>
      <c r="B671" s="45"/>
      <c r="C671" s="45"/>
      <c r="D671" s="45"/>
      <c r="E671" s="45"/>
      <c r="F671" s="45"/>
    </row>
    <row r="672" ht="15.75" customHeight="1">
      <c r="A672" s="45"/>
      <c r="B672" s="45"/>
      <c r="C672" s="45"/>
      <c r="D672" s="45"/>
      <c r="E672" s="45"/>
      <c r="F672" s="45"/>
    </row>
    <row r="673" ht="15.75" customHeight="1">
      <c r="A673" s="45"/>
      <c r="B673" s="45"/>
      <c r="C673" s="45"/>
      <c r="D673" s="45"/>
      <c r="E673" s="45"/>
      <c r="F673" s="45"/>
    </row>
    <row r="674" ht="15.75" customHeight="1">
      <c r="A674" s="45"/>
      <c r="B674" s="45"/>
      <c r="C674" s="45"/>
      <c r="D674" s="45"/>
      <c r="E674" s="45"/>
      <c r="F674" s="45"/>
    </row>
    <row r="675" ht="15.75" customHeight="1">
      <c r="A675" s="45"/>
      <c r="B675" s="45"/>
      <c r="C675" s="45"/>
      <c r="D675" s="45"/>
      <c r="E675" s="45"/>
      <c r="F675" s="45"/>
    </row>
    <row r="676" ht="15.75" customHeight="1">
      <c r="A676" s="45"/>
      <c r="B676" s="45"/>
      <c r="C676" s="45"/>
      <c r="D676" s="45"/>
      <c r="E676" s="45"/>
      <c r="F676" s="45"/>
    </row>
    <row r="677" ht="15.75" customHeight="1">
      <c r="A677" s="45"/>
      <c r="B677" s="45"/>
      <c r="C677" s="45"/>
      <c r="D677" s="45"/>
      <c r="E677" s="45"/>
      <c r="F677" s="45"/>
    </row>
    <row r="678" ht="15.75" customHeight="1">
      <c r="A678" s="45"/>
      <c r="B678" s="45"/>
      <c r="C678" s="45"/>
      <c r="D678" s="45"/>
      <c r="E678" s="45"/>
      <c r="F678" s="45"/>
    </row>
    <row r="679" ht="15.75" customHeight="1">
      <c r="A679" s="45"/>
      <c r="B679" s="45"/>
      <c r="C679" s="45"/>
      <c r="D679" s="45"/>
      <c r="E679" s="45"/>
      <c r="F679" s="45"/>
    </row>
    <row r="680" ht="15.75" customHeight="1">
      <c r="A680" s="45"/>
      <c r="B680" s="45"/>
      <c r="C680" s="45"/>
      <c r="D680" s="45"/>
      <c r="E680" s="45"/>
      <c r="F680" s="45"/>
    </row>
    <row r="681" ht="15.75" customHeight="1">
      <c r="A681" s="45"/>
      <c r="B681" s="45"/>
      <c r="C681" s="45"/>
      <c r="D681" s="45"/>
      <c r="E681" s="45"/>
      <c r="F681" s="45"/>
    </row>
    <row r="682" ht="15.75" customHeight="1">
      <c r="A682" s="45"/>
      <c r="B682" s="45"/>
      <c r="C682" s="45"/>
      <c r="D682" s="45"/>
      <c r="E682" s="45"/>
      <c r="F682" s="45"/>
    </row>
    <row r="683" ht="15.75" customHeight="1">
      <c r="A683" s="45"/>
      <c r="B683" s="45"/>
      <c r="C683" s="45"/>
      <c r="D683" s="45"/>
      <c r="E683" s="45"/>
      <c r="F683" s="45"/>
    </row>
    <row r="684" ht="15.75" customHeight="1">
      <c r="A684" s="45"/>
      <c r="B684" s="45"/>
      <c r="C684" s="45"/>
      <c r="D684" s="45"/>
      <c r="E684" s="45"/>
      <c r="F684" s="45"/>
    </row>
    <row r="685" ht="15.75" customHeight="1">
      <c r="A685" s="45"/>
      <c r="B685" s="45"/>
      <c r="C685" s="45"/>
      <c r="D685" s="45"/>
      <c r="E685" s="45"/>
      <c r="F685" s="45"/>
    </row>
    <row r="686" ht="15.75" customHeight="1">
      <c r="A686" s="45"/>
      <c r="B686" s="45"/>
      <c r="C686" s="45"/>
      <c r="D686" s="45"/>
      <c r="E686" s="45"/>
      <c r="F686" s="45"/>
    </row>
    <row r="687" ht="15.75" customHeight="1">
      <c r="A687" s="45"/>
      <c r="B687" s="45"/>
      <c r="C687" s="45"/>
      <c r="D687" s="45"/>
      <c r="E687" s="45"/>
      <c r="F687" s="45"/>
    </row>
    <row r="688" ht="15.75" customHeight="1">
      <c r="A688" s="45"/>
      <c r="B688" s="45"/>
      <c r="C688" s="45"/>
      <c r="D688" s="45"/>
      <c r="E688" s="45"/>
      <c r="F688" s="45"/>
    </row>
    <row r="689" ht="15.75" customHeight="1">
      <c r="A689" s="45"/>
      <c r="B689" s="45"/>
      <c r="C689" s="45"/>
      <c r="D689" s="45"/>
      <c r="E689" s="45"/>
      <c r="F689" s="45"/>
    </row>
    <row r="690" ht="15.75" customHeight="1">
      <c r="A690" s="45"/>
      <c r="B690" s="45"/>
      <c r="C690" s="45"/>
      <c r="D690" s="45"/>
      <c r="E690" s="45"/>
      <c r="F690" s="45"/>
    </row>
    <row r="691" ht="15.75" customHeight="1">
      <c r="A691" s="45"/>
      <c r="B691" s="45"/>
      <c r="C691" s="45"/>
      <c r="D691" s="45"/>
      <c r="E691" s="45"/>
      <c r="F691" s="45"/>
    </row>
    <row r="692" ht="15.75" customHeight="1">
      <c r="A692" s="45"/>
      <c r="B692" s="45"/>
      <c r="C692" s="45"/>
      <c r="D692" s="45"/>
      <c r="E692" s="45"/>
      <c r="F692" s="45"/>
    </row>
    <row r="693" ht="15.75" customHeight="1">
      <c r="A693" s="45"/>
      <c r="B693" s="45"/>
      <c r="C693" s="45"/>
      <c r="D693" s="45"/>
      <c r="E693" s="45"/>
      <c r="F693" s="45"/>
    </row>
    <row r="694" ht="15.75" customHeight="1">
      <c r="A694" s="45"/>
      <c r="B694" s="45"/>
      <c r="C694" s="45"/>
      <c r="D694" s="45"/>
      <c r="E694" s="45"/>
      <c r="F694" s="45"/>
    </row>
    <row r="695" ht="15.75" customHeight="1">
      <c r="A695" s="45"/>
      <c r="B695" s="45"/>
      <c r="C695" s="45"/>
      <c r="D695" s="45"/>
      <c r="E695" s="45"/>
      <c r="F695" s="45"/>
    </row>
    <row r="696" ht="15.75" customHeight="1">
      <c r="A696" s="45"/>
      <c r="B696" s="45"/>
      <c r="C696" s="45"/>
      <c r="D696" s="45"/>
      <c r="E696" s="45"/>
      <c r="F696" s="45"/>
    </row>
    <row r="697" ht="15.75" customHeight="1">
      <c r="A697" s="45"/>
      <c r="B697" s="45"/>
      <c r="C697" s="45"/>
      <c r="D697" s="45"/>
      <c r="E697" s="45"/>
      <c r="F697" s="45"/>
    </row>
    <row r="698" ht="15.75" customHeight="1">
      <c r="A698" s="45"/>
      <c r="B698" s="45"/>
      <c r="C698" s="45"/>
      <c r="D698" s="45"/>
      <c r="E698" s="45"/>
      <c r="F698" s="45"/>
    </row>
    <row r="699" ht="15.75" customHeight="1">
      <c r="A699" s="45"/>
      <c r="B699" s="45"/>
      <c r="C699" s="45"/>
      <c r="D699" s="45"/>
      <c r="E699" s="45"/>
      <c r="F699" s="45"/>
    </row>
    <row r="700" ht="15.75" customHeight="1">
      <c r="A700" s="45"/>
      <c r="B700" s="45"/>
      <c r="C700" s="45"/>
      <c r="D700" s="45"/>
      <c r="E700" s="45"/>
      <c r="F700" s="45"/>
    </row>
    <row r="701" ht="15.75" customHeight="1">
      <c r="A701" s="45"/>
      <c r="B701" s="45"/>
      <c r="C701" s="45"/>
      <c r="D701" s="45"/>
      <c r="E701" s="45"/>
      <c r="F701" s="45"/>
    </row>
    <row r="702" ht="15.75" customHeight="1">
      <c r="A702" s="45"/>
      <c r="B702" s="45"/>
      <c r="C702" s="45"/>
      <c r="D702" s="45"/>
      <c r="E702" s="45"/>
      <c r="F702" s="45"/>
    </row>
    <row r="703" ht="15.75" customHeight="1">
      <c r="A703" s="45"/>
      <c r="B703" s="45"/>
      <c r="C703" s="45"/>
      <c r="D703" s="45"/>
      <c r="E703" s="45"/>
      <c r="F703" s="45"/>
    </row>
    <row r="704" ht="15.75" customHeight="1">
      <c r="A704" s="45"/>
      <c r="B704" s="45"/>
      <c r="C704" s="45"/>
      <c r="D704" s="45"/>
      <c r="E704" s="45"/>
      <c r="F704" s="45"/>
    </row>
    <row r="705" ht="15.75" customHeight="1">
      <c r="A705" s="45"/>
      <c r="B705" s="45"/>
      <c r="C705" s="45"/>
      <c r="D705" s="45"/>
      <c r="E705" s="45"/>
      <c r="F705" s="45"/>
    </row>
    <row r="706" ht="15.75" customHeight="1">
      <c r="A706" s="45"/>
      <c r="B706" s="45"/>
      <c r="C706" s="45"/>
      <c r="D706" s="45"/>
      <c r="E706" s="45"/>
      <c r="F706" s="45"/>
    </row>
    <row r="707" ht="15.75" customHeight="1">
      <c r="A707" s="45"/>
      <c r="B707" s="45"/>
      <c r="C707" s="45"/>
      <c r="D707" s="45"/>
      <c r="E707" s="45"/>
      <c r="F707" s="45"/>
    </row>
    <row r="708" ht="15.75" customHeight="1">
      <c r="A708" s="45"/>
      <c r="B708" s="45"/>
      <c r="C708" s="45"/>
      <c r="D708" s="45"/>
      <c r="E708" s="45"/>
      <c r="F708" s="45"/>
    </row>
    <row r="709" ht="15.75" customHeight="1">
      <c r="A709" s="45"/>
      <c r="B709" s="45"/>
      <c r="C709" s="45"/>
      <c r="D709" s="45"/>
      <c r="E709" s="45"/>
      <c r="F709" s="45"/>
    </row>
    <row r="710" ht="15.75" customHeight="1">
      <c r="A710" s="45"/>
      <c r="B710" s="45"/>
      <c r="C710" s="45"/>
      <c r="D710" s="45"/>
      <c r="E710" s="45"/>
      <c r="F710" s="45"/>
    </row>
    <row r="711" ht="15.75" customHeight="1">
      <c r="A711" s="45"/>
      <c r="B711" s="45"/>
      <c r="C711" s="45"/>
      <c r="D711" s="45"/>
      <c r="E711" s="45"/>
      <c r="F711" s="45"/>
    </row>
    <row r="712" ht="15.75" customHeight="1">
      <c r="A712" s="45"/>
      <c r="B712" s="45"/>
      <c r="C712" s="45"/>
      <c r="D712" s="45"/>
      <c r="E712" s="45"/>
      <c r="F712" s="45"/>
    </row>
    <row r="713" ht="15.75" customHeight="1">
      <c r="A713" s="45"/>
      <c r="B713" s="45"/>
      <c r="C713" s="45"/>
      <c r="D713" s="45"/>
      <c r="E713" s="45"/>
      <c r="F713" s="45"/>
    </row>
    <row r="714" ht="15.75" customHeight="1">
      <c r="A714" s="45"/>
      <c r="B714" s="45"/>
      <c r="C714" s="45"/>
      <c r="D714" s="45"/>
      <c r="E714" s="45"/>
      <c r="F714" s="45"/>
    </row>
    <row r="715" ht="15.75" customHeight="1">
      <c r="A715" s="45"/>
      <c r="B715" s="45"/>
      <c r="C715" s="45"/>
      <c r="D715" s="45"/>
      <c r="E715" s="45"/>
      <c r="F715" s="45"/>
    </row>
    <row r="716" ht="15.75" customHeight="1">
      <c r="A716" s="45"/>
      <c r="B716" s="45"/>
      <c r="C716" s="45"/>
      <c r="D716" s="45"/>
      <c r="E716" s="45"/>
      <c r="F716" s="45"/>
    </row>
    <row r="717" ht="15.75" customHeight="1">
      <c r="A717" s="45"/>
      <c r="B717" s="45"/>
      <c r="C717" s="45"/>
      <c r="D717" s="45"/>
      <c r="E717" s="45"/>
      <c r="F717" s="45"/>
    </row>
    <row r="718" ht="15.75" customHeight="1">
      <c r="A718" s="45"/>
      <c r="B718" s="45"/>
      <c r="C718" s="45"/>
      <c r="D718" s="45"/>
      <c r="E718" s="45"/>
      <c r="F718" s="45"/>
    </row>
    <row r="719" ht="15.75" customHeight="1">
      <c r="A719" s="45"/>
      <c r="B719" s="45"/>
      <c r="C719" s="45"/>
      <c r="D719" s="45"/>
      <c r="E719" s="45"/>
      <c r="F719" s="45"/>
    </row>
    <row r="720" ht="15.75" customHeight="1">
      <c r="A720" s="45"/>
      <c r="B720" s="45"/>
      <c r="C720" s="45"/>
      <c r="D720" s="45"/>
      <c r="E720" s="45"/>
      <c r="F720" s="45"/>
    </row>
    <row r="721" ht="15.75" customHeight="1">
      <c r="A721" s="45"/>
      <c r="B721" s="45"/>
      <c r="C721" s="45"/>
      <c r="D721" s="45"/>
      <c r="E721" s="45"/>
      <c r="F721" s="45"/>
    </row>
    <row r="722" ht="15.75" customHeight="1">
      <c r="A722" s="45"/>
      <c r="B722" s="45"/>
      <c r="C722" s="45"/>
      <c r="D722" s="45"/>
      <c r="E722" s="45"/>
      <c r="F722" s="45"/>
    </row>
    <row r="723" ht="15.75" customHeight="1">
      <c r="A723" s="45"/>
      <c r="B723" s="45"/>
      <c r="C723" s="45"/>
      <c r="D723" s="45"/>
      <c r="E723" s="45"/>
      <c r="F723" s="45"/>
    </row>
    <row r="724" ht="15.75" customHeight="1">
      <c r="A724" s="45"/>
      <c r="B724" s="45"/>
      <c r="C724" s="45"/>
      <c r="D724" s="45"/>
      <c r="E724" s="45"/>
      <c r="F724" s="45"/>
    </row>
    <row r="725" ht="15.75" customHeight="1">
      <c r="A725" s="45"/>
      <c r="B725" s="45"/>
      <c r="C725" s="45"/>
      <c r="D725" s="45"/>
      <c r="E725" s="45"/>
      <c r="F725" s="45"/>
    </row>
    <row r="726" ht="15.75" customHeight="1">
      <c r="A726" s="45"/>
      <c r="B726" s="45"/>
      <c r="C726" s="45"/>
      <c r="D726" s="45"/>
      <c r="E726" s="45"/>
      <c r="F726" s="45"/>
    </row>
    <row r="727" ht="15.75" customHeight="1">
      <c r="A727" s="45"/>
      <c r="B727" s="45"/>
      <c r="C727" s="45"/>
      <c r="D727" s="45"/>
      <c r="E727" s="45"/>
      <c r="F727" s="45"/>
    </row>
    <row r="728" ht="15.75" customHeight="1">
      <c r="A728" s="45"/>
      <c r="B728" s="45"/>
      <c r="C728" s="45"/>
      <c r="D728" s="45"/>
      <c r="E728" s="45"/>
      <c r="F728" s="45"/>
    </row>
    <row r="729" ht="15.75" customHeight="1">
      <c r="A729" s="45"/>
      <c r="B729" s="45"/>
      <c r="C729" s="45"/>
      <c r="D729" s="45"/>
      <c r="E729" s="45"/>
      <c r="F729" s="45"/>
    </row>
    <row r="730" ht="15.75" customHeight="1">
      <c r="A730" s="45"/>
      <c r="B730" s="45"/>
      <c r="C730" s="45"/>
      <c r="D730" s="45"/>
      <c r="E730" s="45"/>
      <c r="F730" s="45"/>
    </row>
    <row r="731" ht="15.75" customHeight="1">
      <c r="A731" s="45"/>
      <c r="B731" s="45"/>
      <c r="C731" s="45"/>
      <c r="D731" s="45"/>
      <c r="E731" s="45"/>
      <c r="F731" s="45"/>
    </row>
    <row r="732" ht="15.75" customHeight="1">
      <c r="A732" s="45"/>
      <c r="B732" s="45"/>
      <c r="C732" s="45"/>
      <c r="D732" s="45"/>
      <c r="E732" s="45"/>
      <c r="F732" s="45"/>
    </row>
    <row r="733" ht="15.75" customHeight="1">
      <c r="A733" s="45"/>
      <c r="B733" s="45"/>
      <c r="C733" s="45"/>
      <c r="D733" s="45"/>
      <c r="E733" s="45"/>
      <c r="F733" s="45"/>
    </row>
    <row r="734" ht="15.75" customHeight="1">
      <c r="A734" s="45"/>
      <c r="B734" s="45"/>
      <c r="C734" s="45"/>
      <c r="D734" s="45"/>
      <c r="E734" s="45"/>
      <c r="F734" s="45"/>
    </row>
    <row r="735" ht="15.75" customHeight="1">
      <c r="A735" s="45"/>
      <c r="B735" s="45"/>
      <c r="C735" s="45"/>
      <c r="D735" s="45"/>
      <c r="E735" s="45"/>
      <c r="F735" s="45"/>
    </row>
    <row r="736" ht="15.75" customHeight="1">
      <c r="A736" s="45"/>
      <c r="B736" s="45"/>
      <c r="C736" s="45"/>
      <c r="D736" s="45"/>
      <c r="E736" s="45"/>
      <c r="F736" s="45"/>
    </row>
    <row r="737" ht="15.75" customHeight="1">
      <c r="A737" s="45"/>
      <c r="B737" s="45"/>
      <c r="C737" s="45"/>
      <c r="D737" s="45"/>
      <c r="E737" s="45"/>
      <c r="F737" s="45"/>
    </row>
    <row r="738" ht="15.75" customHeight="1">
      <c r="A738" s="45"/>
      <c r="B738" s="45"/>
      <c r="C738" s="45"/>
      <c r="D738" s="45"/>
      <c r="E738" s="45"/>
      <c r="F738" s="45"/>
    </row>
    <row r="739" ht="15.75" customHeight="1">
      <c r="A739" s="45"/>
      <c r="B739" s="45"/>
      <c r="C739" s="45"/>
      <c r="D739" s="45"/>
      <c r="E739" s="45"/>
      <c r="F739" s="45"/>
    </row>
    <row r="740" ht="15.75" customHeight="1">
      <c r="A740" s="45"/>
      <c r="B740" s="45"/>
      <c r="C740" s="45"/>
      <c r="D740" s="45"/>
      <c r="E740" s="45"/>
      <c r="F740" s="45"/>
    </row>
    <row r="741" ht="15.75" customHeight="1">
      <c r="A741" s="45"/>
      <c r="B741" s="45"/>
      <c r="C741" s="45"/>
      <c r="D741" s="45"/>
      <c r="E741" s="45"/>
      <c r="F741" s="45"/>
    </row>
    <row r="742" ht="15.75" customHeight="1">
      <c r="A742" s="45"/>
      <c r="B742" s="45"/>
      <c r="C742" s="45"/>
      <c r="D742" s="45"/>
      <c r="E742" s="45"/>
      <c r="F742" s="45"/>
    </row>
    <row r="743" ht="15.75" customHeight="1">
      <c r="A743" s="45"/>
      <c r="B743" s="45"/>
      <c r="C743" s="45"/>
      <c r="D743" s="45"/>
      <c r="E743" s="45"/>
      <c r="F743" s="45"/>
    </row>
    <row r="744" ht="15.75" customHeight="1">
      <c r="A744" s="45"/>
      <c r="B744" s="45"/>
      <c r="C744" s="45"/>
      <c r="D744" s="45"/>
      <c r="E744" s="45"/>
      <c r="F744" s="45"/>
    </row>
    <row r="745" ht="15.75" customHeight="1">
      <c r="A745" s="45"/>
      <c r="B745" s="45"/>
      <c r="C745" s="45"/>
      <c r="D745" s="45"/>
      <c r="E745" s="45"/>
      <c r="F745" s="45"/>
    </row>
    <row r="746" ht="15.75" customHeight="1">
      <c r="A746" s="45"/>
      <c r="B746" s="45"/>
      <c r="C746" s="45"/>
      <c r="D746" s="45"/>
      <c r="E746" s="45"/>
      <c r="F746" s="45"/>
    </row>
    <row r="747" ht="15.75" customHeight="1">
      <c r="A747" s="45"/>
      <c r="B747" s="45"/>
      <c r="C747" s="45"/>
      <c r="D747" s="45"/>
      <c r="E747" s="45"/>
      <c r="F747" s="45"/>
    </row>
    <row r="748" ht="15.75" customHeight="1">
      <c r="A748" s="45"/>
      <c r="B748" s="45"/>
      <c r="C748" s="45"/>
      <c r="D748" s="45"/>
      <c r="E748" s="45"/>
      <c r="F748" s="45"/>
    </row>
    <row r="749" ht="15.75" customHeight="1">
      <c r="A749" s="45"/>
      <c r="B749" s="45"/>
      <c r="C749" s="45"/>
      <c r="D749" s="45"/>
      <c r="E749" s="45"/>
      <c r="F749" s="45"/>
    </row>
    <row r="750" ht="15.75" customHeight="1">
      <c r="A750" s="45"/>
      <c r="B750" s="45"/>
      <c r="C750" s="45"/>
      <c r="D750" s="45"/>
      <c r="E750" s="45"/>
      <c r="F750" s="45"/>
    </row>
    <row r="751" ht="15.75" customHeight="1">
      <c r="A751" s="45"/>
      <c r="B751" s="45"/>
      <c r="C751" s="45"/>
      <c r="D751" s="45"/>
      <c r="E751" s="45"/>
      <c r="F751" s="45"/>
    </row>
    <row r="752" ht="15.75" customHeight="1">
      <c r="A752" s="45"/>
      <c r="B752" s="45"/>
      <c r="C752" s="45"/>
      <c r="D752" s="45"/>
      <c r="E752" s="45"/>
      <c r="F752" s="45"/>
    </row>
    <row r="753" ht="15.75" customHeight="1">
      <c r="A753" s="45"/>
      <c r="B753" s="45"/>
      <c r="C753" s="45"/>
      <c r="D753" s="45"/>
      <c r="E753" s="45"/>
      <c r="F753" s="45"/>
    </row>
    <row r="754" ht="15.75" customHeight="1">
      <c r="A754" s="45"/>
      <c r="B754" s="45"/>
      <c r="C754" s="45"/>
      <c r="D754" s="45"/>
      <c r="E754" s="45"/>
      <c r="F754" s="45"/>
    </row>
    <row r="755" ht="15.75" customHeight="1">
      <c r="A755" s="45"/>
      <c r="B755" s="45"/>
      <c r="C755" s="45"/>
      <c r="D755" s="45"/>
      <c r="E755" s="45"/>
      <c r="F755" s="45"/>
    </row>
    <row r="756" ht="15.75" customHeight="1">
      <c r="A756" s="45"/>
      <c r="B756" s="45"/>
      <c r="C756" s="45"/>
      <c r="D756" s="45"/>
      <c r="E756" s="45"/>
      <c r="F756" s="45"/>
    </row>
    <row r="757" ht="15.75" customHeight="1">
      <c r="A757" s="45"/>
      <c r="B757" s="45"/>
      <c r="C757" s="45"/>
      <c r="D757" s="45"/>
      <c r="E757" s="45"/>
      <c r="F757" s="45"/>
    </row>
    <row r="758" ht="15.75" customHeight="1">
      <c r="A758" s="45"/>
      <c r="B758" s="45"/>
      <c r="C758" s="45"/>
      <c r="D758" s="45"/>
      <c r="E758" s="45"/>
      <c r="F758" s="45"/>
    </row>
    <row r="759" ht="15.75" customHeight="1">
      <c r="A759" s="45"/>
      <c r="B759" s="45"/>
      <c r="C759" s="45"/>
      <c r="D759" s="45"/>
      <c r="E759" s="45"/>
      <c r="F759" s="45"/>
    </row>
    <row r="760" ht="15.75" customHeight="1">
      <c r="A760" s="45"/>
      <c r="B760" s="45"/>
      <c r="C760" s="45"/>
      <c r="D760" s="45"/>
      <c r="E760" s="45"/>
      <c r="F760" s="45"/>
    </row>
    <row r="761" ht="15.75" customHeight="1">
      <c r="A761" s="45"/>
      <c r="B761" s="45"/>
      <c r="C761" s="45"/>
      <c r="D761" s="45"/>
      <c r="E761" s="45"/>
      <c r="F761" s="45"/>
    </row>
    <row r="762" ht="15.75" customHeight="1">
      <c r="A762" s="45"/>
      <c r="B762" s="45"/>
      <c r="C762" s="45"/>
      <c r="D762" s="45"/>
      <c r="E762" s="45"/>
      <c r="F762" s="45"/>
    </row>
    <row r="763" ht="15.75" customHeight="1">
      <c r="A763" s="45"/>
      <c r="B763" s="45"/>
      <c r="C763" s="45"/>
      <c r="D763" s="45"/>
      <c r="E763" s="45"/>
      <c r="F763" s="45"/>
    </row>
    <row r="764" ht="15.75" customHeight="1">
      <c r="A764" s="45"/>
      <c r="B764" s="45"/>
      <c r="C764" s="45"/>
      <c r="D764" s="45"/>
      <c r="E764" s="45"/>
      <c r="F764" s="45"/>
    </row>
    <row r="765" ht="15.75" customHeight="1">
      <c r="A765" s="45"/>
      <c r="B765" s="45"/>
      <c r="C765" s="45"/>
      <c r="D765" s="45"/>
      <c r="E765" s="45"/>
      <c r="F765" s="45"/>
    </row>
    <row r="766" ht="15.75" customHeight="1">
      <c r="A766" s="45"/>
      <c r="B766" s="45"/>
      <c r="C766" s="45"/>
      <c r="D766" s="45"/>
      <c r="E766" s="45"/>
      <c r="F766" s="45"/>
    </row>
    <row r="767" ht="15.75" customHeight="1">
      <c r="A767" s="45"/>
      <c r="B767" s="45"/>
      <c r="C767" s="45"/>
      <c r="D767" s="45"/>
      <c r="E767" s="45"/>
      <c r="F767" s="45"/>
    </row>
    <row r="768" ht="15.75" customHeight="1">
      <c r="A768" s="45"/>
      <c r="B768" s="45"/>
      <c r="C768" s="45"/>
      <c r="D768" s="45"/>
      <c r="E768" s="45"/>
      <c r="F768" s="45"/>
    </row>
    <row r="769" ht="15.75" customHeight="1">
      <c r="A769" s="45"/>
      <c r="B769" s="45"/>
      <c r="C769" s="45"/>
      <c r="D769" s="45"/>
      <c r="E769" s="45"/>
      <c r="F769" s="45"/>
    </row>
    <row r="770" ht="15.75" customHeight="1">
      <c r="A770" s="45"/>
      <c r="B770" s="45"/>
      <c r="C770" s="45"/>
      <c r="D770" s="45"/>
      <c r="E770" s="45"/>
      <c r="F770" s="45"/>
    </row>
    <row r="771" ht="15.75" customHeight="1">
      <c r="A771" s="45"/>
      <c r="B771" s="45"/>
      <c r="C771" s="45"/>
      <c r="D771" s="45"/>
      <c r="E771" s="45"/>
      <c r="F771" s="45"/>
    </row>
    <row r="772" ht="15.75" customHeight="1">
      <c r="A772" s="45"/>
      <c r="B772" s="45"/>
      <c r="C772" s="45"/>
      <c r="D772" s="45"/>
      <c r="E772" s="45"/>
      <c r="F772" s="45"/>
    </row>
    <row r="773" ht="15.75" customHeight="1">
      <c r="A773" s="45"/>
      <c r="B773" s="45"/>
      <c r="C773" s="45"/>
      <c r="D773" s="45"/>
      <c r="E773" s="45"/>
      <c r="F773" s="45"/>
    </row>
    <row r="774" ht="15.75" customHeight="1">
      <c r="A774" s="45"/>
      <c r="B774" s="45"/>
      <c r="C774" s="45"/>
      <c r="D774" s="45"/>
      <c r="E774" s="45"/>
      <c r="F774" s="45"/>
    </row>
    <row r="775" ht="15.75" customHeight="1">
      <c r="A775" s="45"/>
      <c r="B775" s="45"/>
      <c r="C775" s="45"/>
      <c r="D775" s="45"/>
      <c r="E775" s="45"/>
      <c r="F775" s="45"/>
    </row>
    <row r="776" ht="15.75" customHeight="1">
      <c r="A776" s="45"/>
      <c r="B776" s="45"/>
      <c r="C776" s="45"/>
      <c r="D776" s="45"/>
      <c r="E776" s="45"/>
      <c r="F776" s="45"/>
    </row>
    <row r="777" ht="15.75" customHeight="1">
      <c r="A777" s="45"/>
      <c r="B777" s="45"/>
      <c r="C777" s="45"/>
      <c r="D777" s="45"/>
      <c r="E777" s="45"/>
      <c r="F777" s="45"/>
    </row>
    <row r="778" ht="15.75" customHeight="1">
      <c r="A778" s="45"/>
      <c r="B778" s="45"/>
      <c r="C778" s="45"/>
      <c r="D778" s="45"/>
      <c r="E778" s="45"/>
      <c r="F778" s="45"/>
    </row>
    <row r="779" ht="15.75" customHeight="1">
      <c r="A779" s="45"/>
      <c r="B779" s="45"/>
      <c r="C779" s="45"/>
      <c r="D779" s="45"/>
      <c r="E779" s="45"/>
      <c r="F779" s="45"/>
    </row>
    <row r="780" ht="15.75" customHeight="1">
      <c r="A780" s="45"/>
      <c r="B780" s="45"/>
      <c r="C780" s="45"/>
      <c r="D780" s="45"/>
      <c r="E780" s="45"/>
      <c r="F780" s="45"/>
    </row>
    <row r="781" ht="15.75" customHeight="1">
      <c r="A781" s="45"/>
      <c r="B781" s="45"/>
      <c r="C781" s="45"/>
      <c r="D781" s="45"/>
      <c r="E781" s="45"/>
      <c r="F781" s="45"/>
    </row>
    <row r="782" ht="15.75" customHeight="1">
      <c r="A782" s="45"/>
      <c r="B782" s="45"/>
      <c r="C782" s="45"/>
      <c r="D782" s="45"/>
      <c r="E782" s="45"/>
      <c r="F782" s="45"/>
    </row>
    <row r="783" ht="15.75" customHeight="1">
      <c r="A783" s="45"/>
      <c r="B783" s="45"/>
      <c r="C783" s="45"/>
      <c r="D783" s="45"/>
      <c r="E783" s="45"/>
      <c r="F783" s="45"/>
    </row>
    <row r="784" ht="15.75" customHeight="1">
      <c r="A784" s="45"/>
      <c r="B784" s="45"/>
      <c r="C784" s="45"/>
      <c r="D784" s="45"/>
      <c r="E784" s="45"/>
      <c r="F784" s="45"/>
    </row>
    <row r="785" ht="15.75" customHeight="1">
      <c r="A785" s="45"/>
      <c r="B785" s="45"/>
      <c r="C785" s="45"/>
      <c r="D785" s="45"/>
      <c r="E785" s="45"/>
      <c r="F785" s="45"/>
    </row>
    <row r="786" ht="15.75" customHeight="1">
      <c r="A786" s="45"/>
      <c r="B786" s="45"/>
      <c r="C786" s="45"/>
      <c r="D786" s="45"/>
      <c r="E786" s="45"/>
      <c r="F786" s="45"/>
    </row>
    <row r="787" ht="15.75" customHeight="1">
      <c r="A787" s="45"/>
      <c r="B787" s="45"/>
      <c r="C787" s="45"/>
      <c r="D787" s="45"/>
      <c r="E787" s="45"/>
      <c r="F787" s="45"/>
    </row>
    <row r="788" ht="15.75" customHeight="1">
      <c r="A788" s="45"/>
      <c r="B788" s="45"/>
      <c r="C788" s="45"/>
      <c r="D788" s="45"/>
      <c r="E788" s="45"/>
      <c r="F788" s="45"/>
    </row>
    <row r="789" ht="15.75" customHeight="1">
      <c r="A789" s="45"/>
      <c r="B789" s="45"/>
      <c r="C789" s="45"/>
      <c r="D789" s="45"/>
      <c r="E789" s="45"/>
      <c r="F789" s="45"/>
    </row>
    <row r="790" ht="15.75" customHeight="1">
      <c r="A790" s="45"/>
      <c r="B790" s="45"/>
      <c r="C790" s="45"/>
      <c r="D790" s="45"/>
      <c r="E790" s="45"/>
      <c r="F790" s="45"/>
    </row>
    <row r="791" ht="15.75" customHeight="1">
      <c r="A791" s="45"/>
      <c r="B791" s="45"/>
      <c r="C791" s="45"/>
      <c r="D791" s="45"/>
      <c r="E791" s="45"/>
      <c r="F791" s="45"/>
    </row>
    <row r="792" ht="15.75" customHeight="1">
      <c r="A792" s="45"/>
      <c r="B792" s="45"/>
      <c r="C792" s="45"/>
      <c r="D792" s="45"/>
      <c r="E792" s="45"/>
      <c r="F792" s="45"/>
    </row>
    <row r="793" ht="15.75" customHeight="1">
      <c r="A793" s="45"/>
      <c r="B793" s="45"/>
      <c r="C793" s="45"/>
      <c r="D793" s="45"/>
      <c r="E793" s="45"/>
      <c r="F793" s="45"/>
    </row>
    <row r="794" ht="15.75" customHeight="1">
      <c r="A794" s="45"/>
      <c r="B794" s="45"/>
      <c r="C794" s="45"/>
      <c r="D794" s="45"/>
      <c r="E794" s="45"/>
      <c r="F794" s="45"/>
    </row>
    <row r="795" ht="15.75" customHeight="1">
      <c r="A795" s="45"/>
      <c r="B795" s="45"/>
      <c r="C795" s="45"/>
      <c r="D795" s="45"/>
      <c r="E795" s="45"/>
      <c r="F795" s="45"/>
    </row>
    <row r="796" ht="15.75" customHeight="1">
      <c r="A796" s="45"/>
      <c r="B796" s="45"/>
      <c r="C796" s="45"/>
      <c r="D796" s="45"/>
      <c r="E796" s="45"/>
      <c r="F796" s="45"/>
    </row>
    <row r="797" ht="15.75" customHeight="1">
      <c r="A797" s="45"/>
      <c r="B797" s="45"/>
      <c r="C797" s="45"/>
      <c r="D797" s="45"/>
      <c r="E797" s="45"/>
      <c r="F797" s="45"/>
    </row>
    <row r="798" ht="15.75" customHeight="1">
      <c r="A798" s="45"/>
      <c r="B798" s="45"/>
      <c r="C798" s="45"/>
      <c r="D798" s="45"/>
      <c r="E798" s="45"/>
      <c r="F798" s="45"/>
    </row>
    <row r="799" ht="15.75" customHeight="1">
      <c r="A799" s="45"/>
      <c r="B799" s="45"/>
      <c r="C799" s="45"/>
      <c r="D799" s="45"/>
      <c r="E799" s="45"/>
      <c r="F799" s="45"/>
    </row>
    <row r="800" ht="15.75" customHeight="1">
      <c r="A800" s="45"/>
      <c r="B800" s="45"/>
      <c r="C800" s="45"/>
      <c r="D800" s="45"/>
      <c r="E800" s="45"/>
      <c r="F800" s="45"/>
    </row>
    <row r="801" ht="15.75" customHeight="1">
      <c r="A801" s="45"/>
      <c r="B801" s="45"/>
      <c r="C801" s="45"/>
      <c r="D801" s="45"/>
      <c r="E801" s="45"/>
      <c r="F801" s="45"/>
    </row>
    <row r="802" ht="15.75" customHeight="1">
      <c r="A802" s="45"/>
      <c r="B802" s="45"/>
      <c r="C802" s="45"/>
      <c r="D802" s="45"/>
      <c r="E802" s="45"/>
      <c r="F802" s="45"/>
    </row>
    <row r="803" ht="15.75" customHeight="1">
      <c r="A803" s="45"/>
      <c r="B803" s="45"/>
      <c r="C803" s="45"/>
      <c r="D803" s="45"/>
      <c r="E803" s="45"/>
      <c r="F803" s="45"/>
    </row>
    <row r="804" ht="15.75" customHeight="1">
      <c r="A804" s="45"/>
      <c r="B804" s="45"/>
      <c r="C804" s="45"/>
      <c r="D804" s="45"/>
      <c r="E804" s="45"/>
      <c r="F804" s="45"/>
    </row>
    <row r="805" ht="15.75" customHeight="1">
      <c r="A805" s="45"/>
      <c r="B805" s="45"/>
      <c r="C805" s="45"/>
      <c r="D805" s="45"/>
      <c r="E805" s="45"/>
      <c r="F805" s="45"/>
    </row>
    <row r="806" ht="15.75" customHeight="1">
      <c r="A806" s="45"/>
      <c r="B806" s="45"/>
      <c r="C806" s="45"/>
      <c r="D806" s="45"/>
      <c r="E806" s="45"/>
      <c r="F806" s="45"/>
    </row>
    <row r="807" ht="15.75" customHeight="1">
      <c r="A807" s="45"/>
      <c r="B807" s="45"/>
      <c r="C807" s="45"/>
      <c r="D807" s="45"/>
      <c r="E807" s="45"/>
      <c r="F807" s="45"/>
    </row>
    <row r="808" ht="15.75" customHeight="1">
      <c r="A808" s="45"/>
      <c r="B808" s="45"/>
      <c r="C808" s="45"/>
      <c r="D808" s="45"/>
      <c r="E808" s="45"/>
      <c r="F808" s="45"/>
    </row>
    <row r="809" ht="15.75" customHeight="1">
      <c r="A809" s="45"/>
      <c r="B809" s="45"/>
      <c r="C809" s="45"/>
      <c r="D809" s="45"/>
      <c r="E809" s="45"/>
      <c r="F809" s="45"/>
    </row>
    <row r="810" ht="15.75" customHeight="1">
      <c r="A810" s="45"/>
      <c r="B810" s="45"/>
      <c r="C810" s="45"/>
      <c r="D810" s="45"/>
      <c r="E810" s="45"/>
      <c r="F810" s="45"/>
    </row>
    <row r="811" ht="15.75" customHeight="1">
      <c r="A811" s="45"/>
      <c r="B811" s="45"/>
      <c r="C811" s="45"/>
      <c r="D811" s="45"/>
      <c r="E811" s="45"/>
      <c r="F811" s="45"/>
    </row>
    <row r="812" ht="15.75" customHeight="1">
      <c r="A812" s="45"/>
      <c r="B812" s="45"/>
      <c r="C812" s="45"/>
      <c r="D812" s="45"/>
      <c r="E812" s="45"/>
      <c r="F812" s="45"/>
    </row>
    <row r="813" ht="15.75" customHeight="1">
      <c r="A813" s="45"/>
      <c r="B813" s="45"/>
      <c r="C813" s="45"/>
      <c r="D813" s="45"/>
      <c r="E813" s="45"/>
      <c r="F813" s="45"/>
    </row>
    <row r="814" ht="15.75" customHeight="1">
      <c r="A814" s="45"/>
      <c r="B814" s="45"/>
      <c r="C814" s="45"/>
      <c r="D814" s="45"/>
      <c r="E814" s="45"/>
      <c r="F814" s="45"/>
    </row>
    <row r="815" ht="15.75" customHeight="1">
      <c r="A815" s="45"/>
      <c r="B815" s="45"/>
      <c r="C815" s="45"/>
      <c r="D815" s="45"/>
      <c r="E815" s="45"/>
      <c r="F815" s="45"/>
    </row>
    <row r="816" ht="15.75" customHeight="1">
      <c r="A816" s="45"/>
      <c r="B816" s="45"/>
      <c r="C816" s="45"/>
      <c r="D816" s="45"/>
      <c r="E816" s="45"/>
      <c r="F816" s="45"/>
    </row>
    <row r="817" ht="15.75" customHeight="1">
      <c r="A817" s="45"/>
      <c r="B817" s="45"/>
      <c r="C817" s="45"/>
      <c r="D817" s="45"/>
      <c r="E817" s="45"/>
      <c r="F817" s="45"/>
    </row>
    <row r="818" ht="15.75" customHeight="1">
      <c r="A818" s="45"/>
      <c r="B818" s="45"/>
      <c r="C818" s="45"/>
      <c r="D818" s="45"/>
      <c r="E818" s="45"/>
      <c r="F818" s="45"/>
    </row>
    <row r="819" ht="15.75" customHeight="1">
      <c r="A819" s="45"/>
      <c r="B819" s="45"/>
      <c r="C819" s="45"/>
      <c r="D819" s="45"/>
      <c r="E819" s="45"/>
      <c r="F819" s="45"/>
    </row>
    <row r="820" ht="15.75" customHeight="1">
      <c r="A820" s="45"/>
      <c r="B820" s="45"/>
      <c r="C820" s="45"/>
      <c r="D820" s="45"/>
      <c r="E820" s="45"/>
      <c r="F820" s="45"/>
    </row>
    <row r="821" ht="15.75" customHeight="1">
      <c r="A821" s="45"/>
      <c r="B821" s="45"/>
      <c r="C821" s="45"/>
      <c r="D821" s="45"/>
      <c r="E821" s="45"/>
      <c r="F821" s="45"/>
    </row>
    <row r="822" ht="15.75" customHeight="1">
      <c r="A822" s="45"/>
      <c r="B822" s="45"/>
      <c r="C822" s="45"/>
      <c r="D822" s="45"/>
      <c r="E822" s="45"/>
      <c r="F822" s="45"/>
    </row>
    <row r="823" ht="15.75" customHeight="1">
      <c r="A823" s="45"/>
      <c r="B823" s="45"/>
      <c r="C823" s="45"/>
      <c r="D823" s="45"/>
      <c r="E823" s="45"/>
      <c r="F823" s="45"/>
    </row>
    <row r="824" ht="15.75" customHeight="1">
      <c r="A824" s="45"/>
      <c r="B824" s="45"/>
      <c r="C824" s="45"/>
      <c r="D824" s="45"/>
      <c r="E824" s="45"/>
      <c r="F824" s="45"/>
    </row>
    <row r="825" ht="15.75" customHeight="1">
      <c r="A825" s="45"/>
      <c r="B825" s="45"/>
      <c r="C825" s="45"/>
      <c r="D825" s="45"/>
      <c r="E825" s="45"/>
      <c r="F825" s="45"/>
    </row>
    <row r="826" ht="15.75" customHeight="1">
      <c r="A826" s="45"/>
      <c r="B826" s="45"/>
      <c r="C826" s="45"/>
      <c r="D826" s="45"/>
      <c r="E826" s="45"/>
      <c r="F826" s="45"/>
    </row>
    <row r="827" ht="15.75" customHeight="1">
      <c r="A827" s="45"/>
      <c r="B827" s="45"/>
      <c r="C827" s="45"/>
      <c r="D827" s="45"/>
      <c r="E827" s="45"/>
      <c r="F827" s="45"/>
    </row>
    <row r="828" ht="15.75" customHeight="1">
      <c r="A828" s="45"/>
      <c r="B828" s="45"/>
      <c r="C828" s="45"/>
      <c r="D828" s="45"/>
      <c r="E828" s="45"/>
      <c r="F828" s="45"/>
    </row>
    <row r="829" ht="15.75" customHeight="1">
      <c r="A829" s="45"/>
      <c r="B829" s="45"/>
      <c r="C829" s="45"/>
      <c r="D829" s="45"/>
      <c r="E829" s="45"/>
      <c r="F829" s="45"/>
    </row>
    <row r="830" ht="15.75" customHeight="1">
      <c r="A830" s="45"/>
      <c r="B830" s="45"/>
      <c r="C830" s="45"/>
      <c r="D830" s="45"/>
      <c r="E830" s="45"/>
      <c r="F830" s="45"/>
    </row>
    <row r="831" ht="15.75" customHeight="1">
      <c r="A831" s="45"/>
      <c r="B831" s="45"/>
      <c r="C831" s="45"/>
      <c r="D831" s="45"/>
      <c r="E831" s="45"/>
      <c r="F831" s="45"/>
    </row>
    <row r="832" ht="15.75" customHeight="1">
      <c r="A832" s="45"/>
      <c r="B832" s="45"/>
      <c r="C832" s="45"/>
      <c r="D832" s="45"/>
      <c r="E832" s="45"/>
      <c r="F832" s="45"/>
    </row>
    <row r="833" ht="15.75" customHeight="1">
      <c r="A833" s="45"/>
      <c r="B833" s="45"/>
      <c r="C833" s="45"/>
      <c r="D833" s="45"/>
      <c r="E833" s="45"/>
      <c r="F833" s="45"/>
    </row>
    <row r="834" ht="15.75" customHeight="1">
      <c r="A834" s="45"/>
      <c r="B834" s="45"/>
      <c r="C834" s="45"/>
      <c r="D834" s="45"/>
      <c r="E834" s="45"/>
      <c r="F834" s="45"/>
    </row>
    <row r="835" ht="15.75" customHeight="1">
      <c r="A835" s="45"/>
      <c r="B835" s="45"/>
      <c r="C835" s="45"/>
      <c r="D835" s="45"/>
      <c r="E835" s="45"/>
      <c r="F835" s="45"/>
    </row>
    <row r="836" ht="15.75" customHeight="1">
      <c r="A836" s="45"/>
      <c r="B836" s="45"/>
      <c r="C836" s="45"/>
      <c r="D836" s="45"/>
      <c r="E836" s="45"/>
      <c r="F836" s="45"/>
    </row>
    <row r="837" ht="15.75" customHeight="1">
      <c r="A837" s="45"/>
      <c r="B837" s="45"/>
      <c r="C837" s="45"/>
      <c r="D837" s="45"/>
      <c r="E837" s="45"/>
      <c r="F837" s="45"/>
    </row>
    <row r="838" ht="15.75" customHeight="1">
      <c r="A838" s="45"/>
      <c r="B838" s="45"/>
      <c r="C838" s="45"/>
      <c r="D838" s="45"/>
      <c r="E838" s="45"/>
      <c r="F838" s="45"/>
    </row>
    <row r="839" ht="15.75" customHeight="1">
      <c r="A839" s="45"/>
      <c r="B839" s="45"/>
      <c r="C839" s="45"/>
      <c r="D839" s="45"/>
      <c r="E839" s="45"/>
      <c r="F839" s="45"/>
    </row>
    <row r="840" ht="15.75" customHeight="1">
      <c r="A840" s="45"/>
      <c r="B840" s="45"/>
      <c r="C840" s="45"/>
      <c r="D840" s="45"/>
      <c r="E840" s="45"/>
      <c r="F840" s="45"/>
    </row>
    <row r="841" ht="15.75" customHeight="1">
      <c r="A841" s="45"/>
      <c r="B841" s="45"/>
      <c r="C841" s="45"/>
      <c r="D841" s="45"/>
      <c r="E841" s="45"/>
      <c r="F841" s="45"/>
    </row>
    <row r="842" ht="15.75" customHeight="1">
      <c r="A842" s="45"/>
      <c r="B842" s="45"/>
      <c r="C842" s="45"/>
      <c r="D842" s="45"/>
      <c r="E842" s="45"/>
      <c r="F842" s="45"/>
    </row>
    <row r="843" ht="15.75" customHeight="1">
      <c r="A843" s="45"/>
      <c r="B843" s="45"/>
      <c r="C843" s="45"/>
      <c r="D843" s="45"/>
      <c r="E843" s="45"/>
      <c r="F843" s="45"/>
    </row>
    <row r="844" ht="15.75" customHeight="1">
      <c r="A844" s="45"/>
      <c r="B844" s="45"/>
      <c r="C844" s="45"/>
      <c r="D844" s="45"/>
      <c r="E844" s="45"/>
      <c r="F844" s="45"/>
    </row>
    <row r="845" ht="15.75" customHeight="1">
      <c r="A845" s="45"/>
      <c r="B845" s="45"/>
      <c r="C845" s="45"/>
      <c r="D845" s="45"/>
      <c r="E845" s="45"/>
      <c r="F845" s="45"/>
    </row>
    <row r="846" ht="15.75" customHeight="1">
      <c r="A846" s="45"/>
      <c r="B846" s="45"/>
      <c r="C846" s="45"/>
      <c r="D846" s="45"/>
      <c r="E846" s="45"/>
      <c r="F846" s="45"/>
    </row>
    <row r="847" ht="15.75" customHeight="1">
      <c r="A847" s="45"/>
      <c r="B847" s="45"/>
      <c r="C847" s="45"/>
      <c r="D847" s="45"/>
      <c r="E847" s="45"/>
      <c r="F847" s="45"/>
    </row>
    <row r="848" ht="15.75" customHeight="1">
      <c r="A848" s="45"/>
      <c r="B848" s="45"/>
      <c r="C848" s="45"/>
      <c r="D848" s="45"/>
      <c r="E848" s="45"/>
      <c r="F848" s="45"/>
    </row>
    <row r="849" ht="15.75" customHeight="1">
      <c r="A849" s="45"/>
      <c r="B849" s="45"/>
      <c r="C849" s="45"/>
      <c r="D849" s="45"/>
      <c r="E849" s="45"/>
      <c r="F849" s="45"/>
    </row>
    <row r="850" ht="15.75" customHeight="1">
      <c r="A850" s="45"/>
      <c r="B850" s="45"/>
      <c r="C850" s="45"/>
      <c r="D850" s="45"/>
      <c r="E850" s="45"/>
      <c r="F850" s="45"/>
    </row>
    <row r="851" ht="15.75" customHeight="1">
      <c r="A851" s="45"/>
      <c r="B851" s="45"/>
      <c r="C851" s="45"/>
      <c r="D851" s="45"/>
      <c r="E851" s="45"/>
      <c r="F851" s="45"/>
    </row>
    <row r="852" ht="15.75" customHeight="1">
      <c r="A852" s="45"/>
      <c r="B852" s="45"/>
      <c r="C852" s="45"/>
      <c r="D852" s="45"/>
      <c r="E852" s="45"/>
      <c r="F852" s="45"/>
    </row>
    <row r="853" ht="15.75" customHeight="1">
      <c r="A853" s="45"/>
      <c r="B853" s="45"/>
      <c r="C853" s="45"/>
      <c r="D853" s="45"/>
      <c r="E853" s="45"/>
      <c r="F853" s="45"/>
    </row>
    <row r="854" ht="15.75" customHeight="1">
      <c r="A854" s="45"/>
      <c r="B854" s="45"/>
      <c r="C854" s="45"/>
      <c r="D854" s="45"/>
      <c r="E854" s="45"/>
      <c r="F854" s="45"/>
    </row>
    <row r="855" ht="15.75" customHeight="1">
      <c r="A855" s="45"/>
      <c r="B855" s="45"/>
      <c r="C855" s="45"/>
      <c r="D855" s="45"/>
      <c r="E855" s="45"/>
      <c r="F855" s="45"/>
    </row>
    <row r="856" ht="15.75" customHeight="1">
      <c r="A856" s="45"/>
      <c r="B856" s="45"/>
      <c r="C856" s="45"/>
      <c r="D856" s="45"/>
      <c r="E856" s="45"/>
      <c r="F856" s="45"/>
    </row>
    <row r="857" ht="15.75" customHeight="1">
      <c r="A857" s="45"/>
      <c r="B857" s="45"/>
      <c r="C857" s="45"/>
      <c r="D857" s="45"/>
      <c r="E857" s="45"/>
      <c r="F857" s="45"/>
    </row>
    <row r="858" ht="15.75" customHeight="1">
      <c r="A858" s="45"/>
      <c r="B858" s="45"/>
      <c r="C858" s="45"/>
      <c r="D858" s="45"/>
      <c r="E858" s="45"/>
      <c r="F858" s="45"/>
    </row>
    <row r="859" ht="15.75" customHeight="1">
      <c r="A859" s="45"/>
      <c r="B859" s="45"/>
      <c r="C859" s="45"/>
      <c r="D859" s="45"/>
      <c r="E859" s="45"/>
      <c r="F859" s="45"/>
    </row>
    <row r="860" ht="15.75" customHeight="1">
      <c r="A860" s="45"/>
      <c r="B860" s="45"/>
      <c r="C860" s="45"/>
      <c r="D860" s="45"/>
      <c r="E860" s="45"/>
      <c r="F860" s="45"/>
    </row>
    <row r="861" ht="15.75" customHeight="1">
      <c r="A861" s="45"/>
      <c r="B861" s="45"/>
      <c r="C861" s="45"/>
      <c r="D861" s="45"/>
      <c r="E861" s="45"/>
      <c r="F861" s="45"/>
    </row>
    <row r="862" ht="15.75" customHeight="1">
      <c r="A862" s="45"/>
      <c r="B862" s="45"/>
      <c r="C862" s="45"/>
      <c r="D862" s="45"/>
      <c r="E862" s="45"/>
      <c r="F862" s="45"/>
    </row>
    <row r="863" ht="15.75" customHeight="1">
      <c r="A863" s="45"/>
      <c r="B863" s="45"/>
      <c r="C863" s="45"/>
      <c r="D863" s="45"/>
      <c r="E863" s="45"/>
      <c r="F863" s="45"/>
    </row>
    <row r="864" ht="15.75" customHeight="1">
      <c r="A864" s="45"/>
      <c r="B864" s="45"/>
      <c r="C864" s="45"/>
      <c r="D864" s="45"/>
      <c r="E864" s="45"/>
      <c r="F864" s="45"/>
    </row>
    <row r="865" ht="15.75" customHeight="1">
      <c r="A865" s="45"/>
      <c r="B865" s="45"/>
      <c r="C865" s="45"/>
      <c r="D865" s="45"/>
      <c r="E865" s="45"/>
      <c r="F865" s="45"/>
    </row>
    <row r="866" ht="15.75" customHeight="1">
      <c r="A866" s="45"/>
      <c r="B866" s="45"/>
      <c r="C866" s="45"/>
      <c r="D866" s="45"/>
      <c r="E866" s="45"/>
      <c r="F866" s="45"/>
    </row>
    <row r="867" ht="15.75" customHeight="1">
      <c r="A867" s="45"/>
      <c r="B867" s="45"/>
      <c r="C867" s="45"/>
      <c r="D867" s="45"/>
      <c r="E867" s="45"/>
      <c r="F867" s="45"/>
    </row>
    <row r="868" ht="15.75" customHeight="1">
      <c r="A868" s="45"/>
      <c r="B868" s="45"/>
      <c r="C868" s="45"/>
      <c r="D868" s="45"/>
      <c r="E868" s="45"/>
      <c r="F868" s="45"/>
    </row>
    <row r="869" ht="15.75" customHeight="1">
      <c r="A869" s="45"/>
      <c r="B869" s="45"/>
      <c r="C869" s="45"/>
      <c r="D869" s="45"/>
      <c r="E869" s="45"/>
      <c r="F869" s="45"/>
    </row>
    <row r="870" ht="15.75" customHeight="1">
      <c r="A870" s="45"/>
      <c r="B870" s="45"/>
      <c r="C870" s="45"/>
      <c r="D870" s="45"/>
      <c r="E870" s="45"/>
      <c r="F870" s="45"/>
    </row>
    <row r="871" ht="15.75" customHeight="1">
      <c r="A871" s="45"/>
      <c r="B871" s="45"/>
      <c r="C871" s="45"/>
      <c r="D871" s="45"/>
      <c r="E871" s="45"/>
      <c r="F871" s="45"/>
    </row>
    <row r="872" ht="15.75" customHeight="1">
      <c r="A872" s="45"/>
      <c r="B872" s="45"/>
      <c r="C872" s="45"/>
      <c r="D872" s="45"/>
      <c r="E872" s="45"/>
      <c r="F872" s="45"/>
    </row>
    <row r="873" ht="15.75" customHeight="1">
      <c r="A873" s="45"/>
      <c r="B873" s="45"/>
      <c r="C873" s="45"/>
      <c r="D873" s="45"/>
      <c r="E873" s="45"/>
      <c r="F873" s="45"/>
    </row>
    <row r="874" ht="15.75" customHeight="1">
      <c r="A874" s="45"/>
      <c r="B874" s="45"/>
      <c r="C874" s="45"/>
      <c r="D874" s="45"/>
      <c r="E874" s="45"/>
      <c r="F874" s="45"/>
    </row>
    <row r="875" ht="15.75" customHeight="1">
      <c r="A875" s="45"/>
      <c r="B875" s="45"/>
      <c r="C875" s="45"/>
      <c r="D875" s="45"/>
      <c r="E875" s="45"/>
      <c r="F875" s="45"/>
    </row>
    <row r="876" ht="15.75" customHeight="1">
      <c r="A876" s="45"/>
      <c r="B876" s="45"/>
      <c r="C876" s="45"/>
      <c r="D876" s="45"/>
      <c r="E876" s="45"/>
      <c r="F876" s="45"/>
    </row>
    <row r="877" ht="15.75" customHeight="1">
      <c r="A877" s="45"/>
      <c r="B877" s="45"/>
      <c r="C877" s="45"/>
      <c r="D877" s="45"/>
      <c r="E877" s="45"/>
      <c r="F877" s="45"/>
    </row>
    <row r="878" ht="15.75" customHeight="1">
      <c r="A878" s="45"/>
      <c r="B878" s="45"/>
      <c r="C878" s="45"/>
      <c r="D878" s="45"/>
      <c r="E878" s="45"/>
      <c r="F878" s="45"/>
    </row>
    <row r="879" ht="15.75" customHeight="1">
      <c r="A879" s="45"/>
      <c r="B879" s="45"/>
      <c r="C879" s="45"/>
      <c r="D879" s="45"/>
      <c r="E879" s="45"/>
      <c r="F879" s="45"/>
    </row>
    <row r="880" ht="15.75" customHeight="1">
      <c r="A880" s="45"/>
      <c r="B880" s="45"/>
      <c r="C880" s="45"/>
      <c r="D880" s="45"/>
      <c r="E880" s="45"/>
      <c r="F880" s="45"/>
    </row>
    <row r="881" ht="15.75" customHeight="1">
      <c r="A881" s="45"/>
      <c r="B881" s="45"/>
      <c r="C881" s="45"/>
      <c r="D881" s="45"/>
      <c r="E881" s="45"/>
      <c r="F881" s="45"/>
    </row>
    <row r="882" ht="15.75" customHeight="1">
      <c r="A882" s="45"/>
      <c r="B882" s="45"/>
      <c r="C882" s="45"/>
      <c r="D882" s="45"/>
      <c r="E882" s="45"/>
      <c r="F882" s="45"/>
    </row>
    <row r="883" ht="15.75" customHeight="1">
      <c r="A883" s="45"/>
      <c r="B883" s="45"/>
      <c r="C883" s="45"/>
      <c r="D883" s="45"/>
      <c r="E883" s="45"/>
      <c r="F883" s="45"/>
    </row>
    <row r="884" ht="15.75" customHeight="1">
      <c r="A884" s="45"/>
      <c r="B884" s="45"/>
      <c r="C884" s="45"/>
      <c r="D884" s="45"/>
      <c r="E884" s="45"/>
      <c r="F884" s="45"/>
    </row>
    <row r="885" ht="15.75" customHeight="1">
      <c r="A885" s="45"/>
      <c r="B885" s="45"/>
      <c r="C885" s="45"/>
      <c r="D885" s="45"/>
      <c r="E885" s="45"/>
      <c r="F885" s="45"/>
    </row>
    <row r="886" ht="15.75" customHeight="1">
      <c r="A886" s="45"/>
      <c r="B886" s="45"/>
      <c r="C886" s="45"/>
      <c r="D886" s="45"/>
      <c r="E886" s="45"/>
      <c r="F886" s="45"/>
    </row>
    <row r="887" ht="15.75" customHeight="1">
      <c r="A887" s="45"/>
      <c r="B887" s="45"/>
      <c r="C887" s="45"/>
      <c r="D887" s="45"/>
      <c r="E887" s="45"/>
      <c r="F887" s="45"/>
    </row>
    <row r="888" ht="15.75" customHeight="1">
      <c r="A888" s="45"/>
      <c r="B888" s="45"/>
      <c r="C888" s="45"/>
      <c r="D888" s="45"/>
      <c r="E888" s="45"/>
      <c r="F888" s="45"/>
    </row>
    <row r="889" ht="15.75" customHeight="1">
      <c r="A889" s="45"/>
      <c r="B889" s="45"/>
      <c r="C889" s="45"/>
      <c r="D889" s="45"/>
      <c r="E889" s="45"/>
      <c r="F889" s="45"/>
    </row>
    <row r="890" ht="15.75" customHeight="1">
      <c r="A890" s="45"/>
      <c r="B890" s="45"/>
      <c r="C890" s="45"/>
      <c r="D890" s="45"/>
      <c r="E890" s="45"/>
      <c r="F890" s="45"/>
    </row>
    <row r="891" ht="15.75" customHeight="1">
      <c r="A891" s="45"/>
      <c r="B891" s="45"/>
      <c r="C891" s="45"/>
      <c r="D891" s="45"/>
      <c r="E891" s="45"/>
      <c r="F891" s="45"/>
    </row>
    <row r="892" ht="15.75" customHeight="1">
      <c r="A892" s="45"/>
      <c r="B892" s="45"/>
      <c r="C892" s="45"/>
      <c r="D892" s="45"/>
      <c r="E892" s="45"/>
      <c r="F892" s="45"/>
    </row>
    <row r="893" ht="15.75" customHeight="1">
      <c r="A893" s="45"/>
      <c r="B893" s="45"/>
      <c r="C893" s="45"/>
      <c r="D893" s="45"/>
      <c r="E893" s="45"/>
      <c r="F893" s="45"/>
    </row>
    <row r="894" ht="15.75" customHeight="1">
      <c r="A894" s="45"/>
      <c r="B894" s="45"/>
      <c r="C894" s="45"/>
      <c r="D894" s="45"/>
      <c r="E894" s="45"/>
      <c r="F894" s="45"/>
    </row>
    <row r="895" ht="15.75" customHeight="1">
      <c r="A895" s="45"/>
      <c r="B895" s="45"/>
      <c r="C895" s="45"/>
      <c r="D895" s="45"/>
      <c r="E895" s="45"/>
      <c r="F895" s="45"/>
    </row>
    <row r="896" ht="15.75" customHeight="1">
      <c r="A896" s="45"/>
      <c r="B896" s="45"/>
      <c r="C896" s="45"/>
      <c r="D896" s="45"/>
      <c r="E896" s="45"/>
      <c r="F896" s="45"/>
    </row>
    <row r="897" ht="15.75" customHeight="1">
      <c r="A897" s="45"/>
      <c r="B897" s="45"/>
      <c r="C897" s="45"/>
      <c r="D897" s="45"/>
      <c r="E897" s="45"/>
      <c r="F897" s="45"/>
    </row>
    <row r="898" ht="15.75" customHeight="1">
      <c r="A898" s="45"/>
      <c r="B898" s="45"/>
      <c r="C898" s="45"/>
      <c r="D898" s="45"/>
      <c r="E898" s="45"/>
      <c r="F898" s="45"/>
    </row>
    <row r="899" ht="15.75" customHeight="1">
      <c r="A899" s="45"/>
      <c r="B899" s="45"/>
      <c r="C899" s="45"/>
      <c r="D899" s="45"/>
      <c r="E899" s="45"/>
      <c r="F899" s="45"/>
    </row>
    <row r="900" ht="15.75" customHeight="1">
      <c r="A900" s="45"/>
      <c r="B900" s="45"/>
      <c r="C900" s="45"/>
      <c r="D900" s="45"/>
      <c r="E900" s="45"/>
      <c r="F900" s="45"/>
    </row>
    <row r="901" ht="15.75" customHeight="1">
      <c r="A901" s="45"/>
      <c r="B901" s="45"/>
      <c r="C901" s="45"/>
      <c r="D901" s="45"/>
      <c r="E901" s="45"/>
      <c r="F901" s="45"/>
    </row>
    <row r="902" ht="15.75" customHeight="1">
      <c r="A902" s="45"/>
      <c r="B902" s="45"/>
      <c r="C902" s="45"/>
      <c r="D902" s="45"/>
      <c r="E902" s="45"/>
      <c r="F902" s="45"/>
    </row>
    <row r="903" ht="15.75" customHeight="1">
      <c r="A903" s="45"/>
      <c r="B903" s="45"/>
      <c r="C903" s="45"/>
      <c r="D903" s="45"/>
      <c r="E903" s="45"/>
      <c r="F903" s="45"/>
    </row>
    <row r="904" ht="15.75" customHeight="1">
      <c r="A904" s="45"/>
      <c r="B904" s="45"/>
      <c r="C904" s="45"/>
      <c r="D904" s="45"/>
      <c r="E904" s="45"/>
      <c r="F904" s="45"/>
    </row>
    <row r="905" ht="15.75" customHeight="1">
      <c r="A905" s="45"/>
      <c r="B905" s="45"/>
      <c r="C905" s="45"/>
      <c r="D905" s="45"/>
      <c r="E905" s="45"/>
      <c r="F905" s="45"/>
    </row>
    <row r="906" ht="15.75" customHeight="1">
      <c r="A906" s="45"/>
      <c r="B906" s="45"/>
      <c r="C906" s="45"/>
      <c r="D906" s="45"/>
      <c r="E906" s="45"/>
      <c r="F906" s="45"/>
    </row>
    <row r="907" ht="15.75" customHeight="1">
      <c r="A907" s="45"/>
      <c r="B907" s="45"/>
      <c r="C907" s="45"/>
      <c r="D907" s="45"/>
      <c r="E907" s="45"/>
      <c r="F907" s="45"/>
    </row>
    <row r="908" ht="15.75" customHeight="1">
      <c r="A908" s="45"/>
      <c r="B908" s="45"/>
      <c r="C908" s="45"/>
      <c r="D908" s="45"/>
      <c r="E908" s="45"/>
      <c r="F908" s="45"/>
    </row>
    <row r="909" ht="15.75" customHeight="1">
      <c r="A909" s="45"/>
      <c r="B909" s="45"/>
      <c r="C909" s="45"/>
      <c r="D909" s="45"/>
      <c r="E909" s="45"/>
      <c r="F909" s="45"/>
    </row>
    <row r="910" ht="15.75" customHeight="1">
      <c r="A910" s="45"/>
      <c r="B910" s="45"/>
      <c r="C910" s="45"/>
      <c r="D910" s="45"/>
      <c r="E910" s="45"/>
      <c r="F910" s="45"/>
    </row>
    <row r="911" ht="15.75" customHeight="1">
      <c r="A911" s="45"/>
      <c r="B911" s="45"/>
      <c r="C911" s="45"/>
      <c r="D911" s="45"/>
      <c r="E911" s="45"/>
      <c r="F911" s="45"/>
    </row>
    <row r="912" ht="15.75" customHeight="1">
      <c r="A912" s="45"/>
      <c r="B912" s="45"/>
      <c r="C912" s="45"/>
      <c r="D912" s="45"/>
      <c r="E912" s="45"/>
      <c r="F912" s="45"/>
    </row>
    <row r="913" ht="15.75" customHeight="1">
      <c r="A913" s="45"/>
      <c r="B913" s="45"/>
      <c r="C913" s="45"/>
      <c r="D913" s="45"/>
      <c r="E913" s="45"/>
      <c r="F913" s="45"/>
    </row>
    <row r="914" ht="15.75" customHeight="1">
      <c r="A914" s="45"/>
      <c r="B914" s="45"/>
      <c r="C914" s="45"/>
      <c r="D914" s="45"/>
      <c r="E914" s="45"/>
      <c r="F914" s="45"/>
    </row>
    <row r="915" ht="15.75" customHeight="1">
      <c r="A915" s="45"/>
      <c r="B915" s="45"/>
      <c r="C915" s="45"/>
      <c r="D915" s="45"/>
      <c r="E915" s="45"/>
      <c r="F915" s="45"/>
    </row>
    <row r="916" ht="15.75" customHeight="1">
      <c r="A916" s="45"/>
      <c r="B916" s="45"/>
      <c r="C916" s="45"/>
      <c r="D916" s="45"/>
      <c r="E916" s="45"/>
      <c r="F916" s="45"/>
    </row>
    <row r="917" ht="15.75" customHeight="1">
      <c r="A917" s="45"/>
      <c r="B917" s="45"/>
      <c r="C917" s="45"/>
      <c r="D917" s="45"/>
      <c r="E917" s="45"/>
      <c r="F917" s="45"/>
    </row>
    <row r="918" ht="15.75" customHeight="1">
      <c r="A918" s="45"/>
      <c r="B918" s="45"/>
      <c r="C918" s="45"/>
      <c r="D918" s="45"/>
      <c r="E918" s="45"/>
      <c r="F918" s="45"/>
    </row>
    <row r="919" ht="15.75" customHeight="1">
      <c r="A919" s="45"/>
      <c r="B919" s="45"/>
      <c r="C919" s="45"/>
      <c r="D919" s="45"/>
      <c r="E919" s="45"/>
      <c r="F919" s="45"/>
    </row>
    <row r="920" ht="15.75" customHeight="1">
      <c r="A920" s="45"/>
      <c r="B920" s="45"/>
      <c r="C920" s="45"/>
      <c r="D920" s="45"/>
      <c r="E920" s="45"/>
      <c r="F920" s="45"/>
    </row>
    <row r="921" ht="15.75" customHeight="1">
      <c r="A921" s="45"/>
      <c r="B921" s="45"/>
      <c r="C921" s="45"/>
      <c r="D921" s="45"/>
      <c r="E921" s="45"/>
      <c r="F921" s="45"/>
    </row>
    <row r="922" ht="15.75" customHeight="1">
      <c r="A922" s="45"/>
      <c r="B922" s="45"/>
      <c r="C922" s="45"/>
      <c r="D922" s="45"/>
      <c r="E922" s="45"/>
      <c r="F922" s="45"/>
    </row>
    <row r="923" ht="15.75" customHeight="1">
      <c r="A923" s="45"/>
      <c r="B923" s="45"/>
      <c r="C923" s="45"/>
      <c r="D923" s="45"/>
      <c r="E923" s="45"/>
      <c r="F923" s="45"/>
    </row>
    <row r="924" ht="15.75" customHeight="1">
      <c r="A924" s="45"/>
      <c r="B924" s="45"/>
      <c r="C924" s="45"/>
      <c r="D924" s="45"/>
      <c r="E924" s="45"/>
      <c r="F924" s="45"/>
    </row>
    <row r="925" ht="15.75" customHeight="1">
      <c r="A925" s="45"/>
      <c r="B925" s="45"/>
      <c r="C925" s="45"/>
      <c r="D925" s="45"/>
      <c r="E925" s="45"/>
      <c r="F925" s="45"/>
    </row>
    <row r="926" ht="15.75" customHeight="1">
      <c r="A926" s="45"/>
      <c r="B926" s="45"/>
      <c r="C926" s="45"/>
      <c r="D926" s="45"/>
      <c r="E926" s="45"/>
      <c r="F926" s="45"/>
    </row>
    <row r="927" ht="15.75" customHeight="1">
      <c r="A927" s="45"/>
      <c r="B927" s="45"/>
      <c r="C927" s="45"/>
      <c r="D927" s="45"/>
      <c r="E927" s="45"/>
      <c r="F927" s="45"/>
    </row>
    <row r="928" ht="15.75" customHeight="1">
      <c r="A928" s="45"/>
      <c r="B928" s="45"/>
      <c r="C928" s="45"/>
      <c r="D928" s="45"/>
      <c r="E928" s="45"/>
      <c r="F928" s="45"/>
    </row>
    <row r="929" ht="15.75" customHeight="1">
      <c r="A929" s="45"/>
      <c r="B929" s="45"/>
      <c r="C929" s="45"/>
      <c r="D929" s="45"/>
      <c r="E929" s="45"/>
      <c r="F929" s="45"/>
    </row>
    <row r="930" ht="15.75" customHeight="1">
      <c r="A930" s="45"/>
      <c r="B930" s="45"/>
      <c r="C930" s="45"/>
      <c r="D930" s="45"/>
      <c r="E930" s="45"/>
      <c r="F930" s="45"/>
    </row>
    <row r="931" ht="15.75" customHeight="1">
      <c r="A931" s="45"/>
      <c r="B931" s="45"/>
      <c r="C931" s="45"/>
      <c r="D931" s="45"/>
      <c r="E931" s="45"/>
      <c r="F931" s="45"/>
    </row>
    <row r="932" ht="15.75" customHeight="1">
      <c r="A932" s="45"/>
      <c r="B932" s="45"/>
      <c r="C932" s="45"/>
      <c r="D932" s="45"/>
      <c r="E932" s="45"/>
      <c r="F932" s="45"/>
    </row>
    <row r="933" ht="15.75" customHeight="1">
      <c r="A933" s="45"/>
      <c r="B933" s="45"/>
      <c r="C933" s="45"/>
      <c r="D933" s="45"/>
      <c r="E933" s="45"/>
      <c r="F933" s="45"/>
    </row>
    <row r="934" ht="15.75" customHeight="1">
      <c r="A934" s="45"/>
      <c r="B934" s="45"/>
      <c r="C934" s="45"/>
      <c r="D934" s="45"/>
      <c r="E934" s="45"/>
      <c r="F934" s="45"/>
    </row>
    <row r="935" ht="15.75" customHeight="1">
      <c r="A935" s="45"/>
      <c r="B935" s="45"/>
      <c r="C935" s="45"/>
      <c r="D935" s="45"/>
      <c r="E935" s="45"/>
      <c r="F935" s="45"/>
    </row>
    <row r="936" ht="15.75" customHeight="1">
      <c r="A936" s="45"/>
      <c r="B936" s="45"/>
      <c r="C936" s="45"/>
      <c r="D936" s="45"/>
      <c r="E936" s="45"/>
      <c r="F936" s="45"/>
    </row>
    <row r="937" ht="15.75" customHeight="1">
      <c r="A937" s="45"/>
      <c r="B937" s="45"/>
      <c r="C937" s="45"/>
      <c r="D937" s="45"/>
      <c r="E937" s="45"/>
      <c r="F937" s="45"/>
    </row>
    <row r="938" ht="15.75" customHeight="1">
      <c r="A938" s="45"/>
      <c r="B938" s="45"/>
      <c r="C938" s="45"/>
      <c r="D938" s="45"/>
      <c r="E938" s="45"/>
      <c r="F938" s="45"/>
    </row>
    <row r="939" ht="15.75" customHeight="1">
      <c r="A939" s="45"/>
      <c r="B939" s="45"/>
      <c r="C939" s="45"/>
      <c r="D939" s="45"/>
      <c r="E939" s="45"/>
      <c r="F939" s="45"/>
    </row>
    <row r="940" ht="15.75" customHeight="1">
      <c r="A940" s="45"/>
      <c r="B940" s="45"/>
      <c r="C940" s="45"/>
      <c r="D940" s="45"/>
      <c r="E940" s="45"/>
      <c r="F940" s="45"/>
    </row>
    <row r="941" ht="15.75" customHeight="1">
      <c r="A941" s="45"/>
      <c r="B941" s="45"/>
      <c r="C941" s="45"/>
      <c r="D941" s="45"/>
      <c r="E941" s="45"/>
      <c r="F941" s="45"/>
    </row>
    <row r="942" ht="15.75" customHeight="1">
      <c r="A942" s="45"/>
      <c r="B942" s="45"/>
      <c r="C942" s="45"/>
      <c r="D942" s="45"/>
      <c r="E942" s="45"/>
      <c r="F942" s="45"/>
    </row>
    <row r="943" ht="15.75" customHeight="1">
      <c r="A943" s="45"/>
      <c r="B943" s="45"/>
      <c r="C943" s="45"/>
      <c r="D943" s="45"/>
      <c r="E943" s="45"/>
      <c r="F943" s="45"/>
    </row>
    <row r="944" ht="15.75" customHeight="1">
      <c r="A944" s="45"/>
      <c r="B944" s="45"/>
      <c r="C944" s="45"/>
      <c r="D944" s="45"/>
      <c r="E944" s="45"/>
      <c r="F944" s="45"/>
    </row>
    <row r="945" ht="15.75" customHeight="1">
      <c r="A945" s="45"/>
      <c r="B945" s="45"/>
      <c r="C945" s="45"/>
      <c r="D945" s="45"/>
      <c r="E945" s="45"/>
      <c r="F945" s="45"/>
    </row>
    <row r="946" ht="15.75" customHeight="1">
      <c r="A946" s="45"/>
      <c r="B946" s="45"/>
      <c r="C946" s="45"/>
      <c r="D946" s="45"/>
      <c r="E946" s="45"/>
      <c r="F946" s="45"/>
    </row>
    <row r="947" ht="15.75" customHeight="1">
      <c r="A947" s="45"/>
      <c r="B947" s="45"/>
      <c r="C947" s="45"/>
      <c r="D947" s="45"/>
      <c r="E947" s="45"/>
      <c r="F947" s="45"/>
    </row>
    <row r="948" ht="15.75" customHeight="1">
      <c r="A948" s="45"/>
      <c r="B948" s="45"/>
      <c r="C948" s="45"/>
      <c r="D948" s="45"/>
      <c r="E948" s="45"/>
      <c r="F948" s="45"/>
    </row>
    <row r="949" ht="15.75" customHeight="1">
      <c r="A949" s="45"/>
      <c r="B949" s="45"/>
      <c r="C949" s="45"/>
      <c r="D949" s="45"/>
      <c r="E949" s="45"/>
      <c r="F949" s="45"/>
    </row>
    <row r="950" ht="15.75" customHeight="1">
      <c r="A950" s="45"/>
      <c r="B950" s="45"/>
      <c r="C950" s="45"/>
      <c r="D950" s="45"/>
      <c r="E950" s="45"/>
      <c r="F950" s="45"/>
    </row>
    <row r="951" ht="15.75" customHeight="1">
      <c r="A951" s="45"/>
      <c r="B951" s="45"/>
      <c r="C951" s="45"/>
      <c r="D951" s="45"/>
      <c r="E951" s="45"/>
      <c r="F951" s="45"/>
    </row>
    <row r="952" ht="15.75" customHeight="1">
      <c r="A952" s="45"/>
      <c r="B952" s="45"/>
      <c r="C952" s="45"/>
      <c r="D952" s="45"/>
      <c r="E952" s="45"/>
      <c r="F952" s="45"/>
    </row>
    <row r="953" ht="15.75" customHeight="1">
      <c r="A953" s="45"/>
      <c r="B953" s="45"/>
      <c r="C953" s="45"/>
      <c r="D953" s="45"/>
      <c r="E953" s="45"/>
      <c r="F953" s="45"/>
    </row>
    <row r="954" ht="15.75" customHeight="1">
      <c r="A954" s="45"/>
      <c r="B954" s="45"/>
      <c r="C954" s="45"/>
      <c r="D954" s="45"/>
      <c r="E954" s="45"/>
      <c r="F954" s="45"/>
    </row>
    <row r="955" ht="15.75" customHeight="1">
      <c r="A955" s="45"/>
      <c r="B955" s="45"/>
      <c r="C955" s="45"/>
      <c r="D955" s="45"/>
      <c r="E955" s="45"/>
      <c r="F955" s="45"/>
    </row>
    <row r="956" ht="15.75" customHeight="1">
      <c r="A956" s="45"/>
      <c r="B956" s="45"/>
      <c r="C956" s="45"/>
      <c r="D956" s="45"/>
      <c r="E956" s="45"/>
      <c r="F956" s="45"/>
    </row>
    <row r="957" ht="15.75" customHeight="1">
      <c r="A957" s="45"/>
      <c r="B957" s="45"/>
      <c r="C957" s="45"/>
      <c r="D957" s="45"/>
      <c r="E957" s="45"/>
      <c r="F957" s="45"/>
    </row>
    <row r="958" ht="15.75" customHeight="1">
      <c r="A958" s="45"/>
      <c r="B958" s="45"/>
      <c r="C958" s="45"/>
      <c r="D958" s="45"/>
      <c r="E958" s="45"/>
      <c r="F958" s="45"/>
    </row>
    <row r="959" ht="15.75" customHeight="1">
      <c r="A959" s="45"/>
      <c r="B959" s="45"/>
      <c r="C959" s="45"/>
      <c r="D959" s="45"/>
      <c r="E959" s="45"/>
      <c r="F959" s="45"/>
    </row>
    <row r="960" ht="15.75" customHeight="1">
      <c r="A960" s="45"/>
      <c r="B960" s="45"/>
      <c r="C960" s="45"/>
      <c r="D960" s="45"/>
      <c r="E960" s="45"/>
      <c r="F960" s="45"/>
    </row>
    <row r="961" ht="15.75" customHeight="1">
      <c r="A961" s="45"/>
      <c r="B961" s="45"/>
      <c r="C961" s="45"/>
      <c r="D961" s="45"/>
      <c r="E961" s="45"/>
      <c r="F961" s="45"/>
    </row>
    <row r="962" ht="15.75" customHeight="1">
      <c r="A962" s="45"/>
      <c r="B962" s="45"/>
      <c r="C962" s="45"/>
      <c r="D962" s="45"/>
      <c r="E962" s="45"/>
      <c r="F962" s="45"/>
    </row>
    <row r="963" ht="15.75" customHeight="1">
      <c r="A963" s="45"/>
      <c r="B963" s="45"/>
      <c r="C963" s="45"/>
      <c r="D963" s="45"/>
      <c r="E963" s="45"/>
      <c r="F963" s="45"/>
    </row>
    <row r="964" ht="15.75" customHeight="1">
      <c r="A964" s="45"/>
      <c r="B964" s="45"/>
      <c r="C964" s="45"/>
      <c r="D964" s="45"/>
      <c r="E964" s="45"/>
      <c r="F964" s="45"/>
    </row>
    <row r="965" ht="15.75" customHeight="1">
      <c r="A965" s="45"/>
      <c r="B965" s="45"/>
      <c r="C965" s="45"/>
      <c r="D965" s="45"/>
      <c r="E965" s="45"/>
      <c r="F965" s="45"/>
    </row>
    <row r="966" ht="15.75" customHeight="1">
      <c r="A966" s="45"/>
      <c r="B966" s="45"/>
      <c r="C966" s="45"/>
      <c r="D966" s="45"/>
      <c r="E966" s="45"/>
      <c r="F966" s="45"/>
    </row>
    <row r="967" ht="15.75" customHeight="1">
      <c r="A967" s="45"/>
      <c r="B967" s="45"/>
      <c r="C967" s="45"/>
      <c r="D967" s="45"/>
      <c r="E967" s="45"/>
      <c r="F967" s="45"/>
    </row>
    <row r="968" ht="15.75" customHeight="1">
      <c r="A968" s="45"/>
      <c r="B968" s="45"/>
      <c r="C968" s="45"/>
      <c r="D968" s="45"/>
      <c r="E968" s="45"/>
      <c r="F968" s="45"/>
    </row>
    <row r="969" ht="15.75" customHeight="1">
      <c r="A969" s="45"/>
      <c r="B969" s="45"/>
      <c r="C969" s="45"/>
      <c r="D969" s="45"/>
      <c r="E969" s="45"/>
      <c r="F969" s="45"/>
    </row>
    <row r="970" ht="15.75" customHeight="1">
      <c r="A970" s="45"/>
      <c r="B970" s="45"/>
      <c r="C970" s="45"/>
      <c r="D970" s="45"/>
      <c r="E970" s="45"/>
      <c r="F970" s="45"/>
    </row>
    <row r="971" ht="15.75" customHeight="1">
      <c r="A971" s="45"/>
      <c r="B971" s="45"/>
      <c r="C971" s="45"/>
      <c r="D971" s="45"/>
      <c r="E971" s="45"/>
      <c r="F971" s="45"/>
    </row>
    <row r="972" ht="15.75" customHeight="1">
      <c r="A972" s="45"/>
      <c r="B972" s="45"/>
      <c r="C972" s="45"/>
      <c r="D972" s="45"/>
      <c r="E972" s="45"/>
      <c r="F972" s="45"/>
    </row>
    <row r="973" ht="15.75" customHeight="1">
      <c r="A973" s="45"/>
      <c r="B973" s="45"/>
      <c r="C973" s="45"/>
      <c r="D973" s="45"/>
      <c r="E973" s="45"/>
      <c r="F973" s="45"/>
    </row>
    <row r="974" ht="15.75" customHeight="1">
      <c r="A974" s="45"/>
      <c r="B974" s="45"/>
      <c r="C974" s="45"/>
      <c r="D974" s="45"/>
      <c r="E974" s="45"/>
      <c r="F974" s="45"/>
    </row>
    <row r="975" ht="15.75" customHeight="1">
      <c r="A975" s="45"/>
      <c r="B975" s="45"/>
      <c r="C975" s="45"/>
      <c r="D975" s="45"/>
      <c r="E975" s="45"/>
      <c r="F975" s="45"/>
    </row>
    <row r="976" ht="15.75" customHeight="1">
      <c r="A976" s="45"/>
      <c r="B976" s="45"/>
      <c r="C976" s="45"/>
      <c r="D976" s="45"/>
      <c r="E976" s="45"/>
      <c r="F976" s="45"/>
    </row>
    <row r="977" ht="15.75" customHeight="1">
      <c r="A977" s="45"/>
      <c r="B977" s="45"/>
      <c r="C977" s="45"/>
      <c r="D977" s="45"/>
      <c r="E977" s="45"/>
      <c r="F977" s="45"/>
    </row>
    <row r="978" ht="15.75" customHeight="1">
      <c r="A978" s="45"/>
      <c r="B978" s="45"/>
      <c r="C978" s="45"/>
      <c r="D978" s="45"/>
      <c r="E978" s="45"/>
      <c r="F978" s="45"/>
    </row>
    <row r="979" ht="15.75" customHeight="1">
      <c r="A979" s="45"/>
      <c r="B979" s="45"/>
      <c r="C979" s="45"/>
      <c r="D979" s="45"/>
      <c r="E979" s="45"/>
      <c r="F979" s="45"/>
    </row>
    <row r="980" ht="15.75" customHeight="1">
      <c r="A980" s="45"/>
      <c r="B980" s="45"/>
      <c r="C980" s="45"/>
      <c r="D980" s="45"/>
      <c r="E980" s="45"/>
      <c r="F980" s="45"/>
    </row>
    <row r="981" ht="15.75" customHeight="1">
      <c r="A981" s="45"/>
      <c r="B981" s="45"/>
      <c r="C981" s="45"/>
      <c r="D981" s="45"/>
      <c r="E981" s="45"/>
      <c r="F981" s="45"/>
    </row>
    <row r="982" ht="15.75" customHeight="1">
      <c r="A982" s="45"/>
      <c r="B982" s="45"/>
      <c r="C982" s="45"/>
      <c r="D982" s="45"/>
      <c r="E982" s="45"/>
      <c r="F982" s="45"/>
    </row>
    <row r="983" ht="15.75" customHeight="1">
      <c r="A983" s="45"/>
      <c r="B983" s="45"/>
      <c r="C983" s="45"/>
      <c r="D983" s="45"/>
      <c r="E983" s="45"/>
      <c r="F983" s="45"/>
    </row>
    <row r="984" ht="15.75" customHeight="1">
      <c r="A984" s="45"/>
      <c r="B984" s="45"/>
      <c r="C984" s="45"/>
      <c r="D984" s="45"/>
      <c r="E984" s="45"/>
      <c r="F984" s="45"/>
    </row>
    <row r="985" ht="15.75" customHeight="1">
      <c r="A985" s="45"/>
      <c r="B985" s="45"/>
      <c r="C985" s="45"/>
      <c r="D985" s="45"/>
      <c r="E985" s="45"/>
      <c r="F985" s="45"/>
    </row>
    <row r="986" ht="15.75" customHeight="1">
      <c r="A986" s="45"/>
      <c r="B986" s="45"/>
      <c r="C986" s="45"/>
      <c r="D986" s="45"/>
      <c r="E986" s="45"/>
      <c r="F986" s="45"/>
    </row>
    <row r="987" ht="15.75" customHeight="1">
      <c r="A987" s="45"/>
      <c r="B987" s="45"/>
      <c r="C987" s="45"/>
      <c r="D987" s="45"/>
      <c r="E987" s="45"/>
      <c r="F987" s="45"/>
    </row>
    <row r="988" ht="15.75" customHeight="1">
      <c r="A988" s="45"/>
      <c r="B988" s="45"/>
      <c r="C988" s="45"/>
      <c r="D988" s="45"/>
      <c r="E988" s="45"/>
      <c r="F988" s="45"/>
    </row>
    <row r="989" ht="15.75" customHeight="1">
      <c r="A989" s="45"/>
      <c r="B989" s="45"/>
      <c r="C989" s="45"/>
      <c r="D989" s="45"/>
      <c r="E989" s="45"/>
      <c r="F989" s="45"/>
    </row>
    <row r="990" ht="15.75" customHeight="1">
      <c r="A990" s="45"/>
      <c r="B990" s="45"/>
      <c r="C990" s="45"/>
      <c r="D990" s="45"/>
      <c r="E990" s="45"/>
      <c r="F990" s="45"/>
    </row>
    <row r="991" ht="15.75" customHeight="1">
      <c r="A991" s="45"/>
      <c r="B991" s="45"/>
      <c r="C991" s="45"/>
      <c r="D991" s="45"/>
      <c r="E991" s="45"/>
      <c r="F991" s="45"/>
    </row>
    <row r="992" ht="15.75" customHeight="1">
      <c r="A992" s="45"/>
      <c r="B992" s="45"/>
      <c r="C992" s="45"/>
      <c r="D992" s="45"/>
      <c r="E992" s="45"/>
      <c r="F992" s="45"/>
    </row>
    <row r="993" ht="15.75" customHeight="1">
      <c r="A993" s="45"/>
      <c r="B993" s="45"/>
      <c r="C993" s="45"/>
      <c r="D993" s="45"/>
      <c r="E993" s="45"/>
      <c r="F993" s="45"/>
    </row>
    <row r="994" ht="15.75" customHeight="1">
      <c r="A994" s="45"/>
      <c r="B994" s="45"/>
      <c r="C994" s="45"/>
      <c r="D994" s="45"/>
      <c r="E994" s="45"/>
      <c r="F994" s="45"/>
    </row>
    <row r="995" ht="15.75" customHeight="1">
      <c r="A995" s="45"/>
      <c r="B995" s="45"/>
      <c r="C995" s="45"/>
      <c r="D995" s="45"/>
      <c r="E995" s="45"/>
      <c r="F995" s="45"/>
    </row>
    <row r="996" ht="15.75" customHeight="1">
      <c r="A996" s="45"/>
      <c r="B996" s="45"/>
      <c r="C996" s="45"/>
      <c r="D996" s="45"/>
      <c r="E996" s="45"/>
      <c r="F996" s="45"/>
    </row>
    <row r="997" ht="15.75" customHeight="1">
      <c r="A997" s="45"/>
      <c r="B997" s="45"/>
      <c r="C997" s="45"/>
      <c r="D997" s="45"/>
      <c r="E997" s="45"/>
      <c r="F997" s="45"/>
    </row>
    <row r="998" ht="15.75" customHeight="1">
      <c r="A998" s="45"/>
      <c r="B998" s="45"/>
      <c r="C998" s="45"/>
      <c r="D998" s="45"/>
      <c r="E998" s="45"/>
      <c r="F998" s="45"/>
    </row>
    <row r="999" ht="15.75" customHeight="1">
      <c r="A999" s="45"/>
      <c r="B999" s="45"/>
      <c r="C999" s="45"/>
      <c r="D999" s="45"/>
      <c r="E999" s="45"/>
      <c r="F999" s="45"/>
    </row>
    <row r="1000" ht="15.75" customHeight="1">
      <c r="A1000" s="45"/>
      <c r="B1000" s="45"/>
      <c r="C1000" s="45"/>
      <c r="D1000" s="45"/>
      <c r="E1000" s="45"/>
      <c r="F1000" s="45"/>
    </row>
  </sheetData>
  <mergeCells count="1">
    <mergeCell ref="A1:D1"/>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653D"/>
    <pageSetUpPr/>
  </sheetPr>
  <sheetViews>
    <sheetView workbookViewId="0"/>
  </sheetViews>
  <sheetFormatPr customHeight="1" defaultColWidth="14.43" defaultRowHeight="15.0"/>
  <cols>
    <col customWidth="1" min="1" max="1" width="48.29"/>
    <col customWidth="1" min="2" max="4" width="15.0"/>
    <col customWidth="1" min="5" max="6" width="8.71"/>
  </cols>
  <sheetData>
    <row r="1" ht="15.0" customHeight="1">
      <c r="A1" s="342" t="s">
        <v>514</v>
      </c>
      <c r="B1" s="52"/>
      <c r="C1" s="52"/>
      <c r="D1" s="30"/>
      <c r="E1" s="46"/>
      <c r="F1" s="46"/>
    </row>
    <row r="2">
      <c r="A2" s="45"/>
      <c r="B2" s="45"/>
      <c r="C2" s="45"/>
      <c r="D2" s="45"/>
      <c r="E2" s="45"/>
      <c r="F2" s="45"/>
    </row>
    <row r="3" ht="15.0" customHeight="1">
      <c r="A3" s="343" t="s">
        <v>515</v>
      </c>
      <c r="B3" s="343" t="s">
        <v>516</v>
      </c>
      <c r="C3" s="343" t="s">
        <v>517</v>
      </c>
      <c r="D3" s="343" t="s">
        <v>518</v>
      </c>
      <c r="E3" s="45"/>
      <c r="F3" s="45"/>
    </row>
    <row r="4" ht="15.0" customHeight="1">
      <c r="A4" s="275">
        <v>0.0</v>
      </c>
      <c r="B4" s="275">
        <v>11600.0</v>
      </c>
      <c r="C4" s="344">
        <v>0.0</v>
      </c>
      <c r="D4" s="345">
        <v>0.0</v>
      </c>
      <c r="E4" s="45"/>
      <c r="F4" s="45"/>
    </row>
    <row r="5" ht="15.0" customHeight="1">
      <c r="A5" s="285">
        <v>11600.0</v>
      </c>
      <c r="B5" s="285">
        <v>29579.0</v>
      </c>
      <c r="C5" s="346">
        <v>0.11</v>
      </c>
      <c r="D5" s="347">
        <v>1276.0</v>
      </c>
      <c r="E5" s="45"/>
      <c r="F5" s="45"/>
    </row>
    <row r="6" ht="15.0" customHeight="1">
      <c r="A6" s="275">
        <v>29579.0</v>
      </c>
      <c r="B6" s="275">
        <v>84577.0</v>
      </c>
      <c r="C6" s="344">
        <v>0.3</v>
      </c>
      <c r="D6" s="345">
        <v>6896.01</v>
      </c>
      <c r="E6" s="45"/>
      <c r="F6" s="45"/>
    </row>
    <row r="7" ht="15.0" customHeight="1">
      <c r="A7" s="285">
        <v>84577.0</v>
      </c>
      <c r="B7" s="285">
        <v>181917.0</v>
      </c>
      <c r="C7" s="346">
        <v>0.41</v>
      </c>
      <c r="D7" s="347">
        <v>16199.48</v>
      </c>
      <c r="E7" s="45"/>
      <c r="F7" s="45"/>
    </row>
    <row r="8" ht="15.0" customHeight="1">
      <c r="A8" s="275">
        <v>181917.0</v>
      </c>
      <c r="B8" s="275">
        <v>9.99999999E8</v>
      </c>
      <c r="C8" s="344">
        <v>0.45</v>
      </c>
      <c r="D8" s="345">
        <v>23476.16</v>
      </c>
      <c r="E8" s="45"/>
      <c r="F8" s="45"/>
    </row>
    <row r="9">
      <c r="A9" s="45"/>
      <c r="B9" s="45"/>
      <c r="C9" s="45"/>
      <c r="D9" s="45"/>
      <c r="E9" s="45"/>
      <c r="F9" s="45"/>
    </row>
    <row r="10" ht="15.0" customHeight="1">
      <c r="A10" s="348" t="s">
        <v>519</v>
      </c>
      <c r="B10" s="349">
        <v>1759.0</v>
      </c>
      <c r="C10" s="45"/>
      <c r="D10" s="45"/>
      <c r="E10" s="45"/>
      <c r="F10" s="45"/>
    </row>
    <row r="11" ht="15.0" customHeight="1">
      <c r="A11" s="348" t="s">
        <v>520</v>
      </c>
      <c r="B11" s="349">
        <v>10700.0</v>
      </c>
      <c r="C11" s="45"/>
      <c r="D11" s="45"/>
      <c r="E11" s="45"/>
      <c r="F11" s="45"/>
    </row>
    <row r="12">
      <c r="A12" s="45"/>
      <c r="B12" s="45"/>
      <c r="C12" s="45"/>
      <c r="D12" s="45"/>
      <c r="E12" s="45"/>
      <c r="F12" s="45"/>
    </row>
    <row r="13" ht="15.0" customHeight="1">
      <c r="A13" s="348" t="s">
        <v>521</v>
      </c>
      <c r="B13" s="350">
        <v>0.068</v>
      </c>
      <c r="C13" s="45"/>
      <c r="D13" s="45"/>
      <c r="E13" s="45"/>
      <c r="F13" s="45"/>
    </row>
    <row r="14">
      <c r="A14" s="45"/>
      <c r="B14" s="45"/>
      <c r="C14" s="45"/>
      <c r="D14" s="45"/>
      <c r="E14" s="45"/>
      <c r="F14" s="45"/>
    </row>
    <row r="15" ht="15.0" customHeight="1">
      <c r="A15" s="351" t="s">
        <v>522</v>
      </c>
      <c r="B15" s="45"/>
      <c r="C15" s="45"/>
      <c r="D15" s="45"/>
      <c r="E15" s="45"/>
      <c r="F15" s="45"/>
    </row>
    <row r="16" ht="15.0" customHeight="1">
      <c r="A16" s="343" t="s">
        <v>523</v>
      </c>
      <c r="B16" s="343" t="s">
        <v>524</v>
      </c>
      <c r="C16" s="343" t="s">
        <v>517</v>
      </c>
      <c r="D16" s="343" t="s">
        <v>525</v>
      </c>
      <c r="E16" s="45"/>
      <c r="F16" s="45"/>
    </row>
    <row r="17" ht="15.0" customHeight="1">
      <c r="A17" s="352">
        <v>0.0</v>
      </c>
      <c r="B17" s="352">
        <v>50000.0</v>
      </c>
      <c r="C17" s="353">
        <v>0.0</v>
      </c>
      <c r="D17" s="354" t="s">
        <v>526</v>
      </c>
      <c r="E17" s="45"/>
      <c r="F17" s="45"/>
    </row>
    <row r="18" ht="15.0" customHeight="1">
      <c r="A18" s="355">
        <v>50001.0</v>
      </c>
      <c r="B18" s="355">
        <v>60000.0</v>
      </c>
      <c r="C18" s="356">
        <v>0.02</v>
      </c>
      <c r="D18" s="357" t="s">
        <v>527</v>
      </c>
      <c r="E18" s="45"/>
      <c r="F18" s="45"/>
    </row>
    <row r="19" ht="15.0" customHeight="1">
      <c r="A19" s="352">
        <v>60001.0</v>
      </c>
      <c r="B19" s="352">
        <v>100000.0</v>
      </c>
      <c r="C19" s="353">
        <v>0.02</v>
      </c>
      <c r="D19" s="354" t="s">
        <v>526</v>
      </c>
      <c r="E19" s="45"/>
      <c r="F19" s="45"/>
    </row>
    <row r="20" ht="15.0" customHeight="1">
      <c r="A20" s="355">
        <v>100001.0</v>
      </c>
      <c r="B20" s="355">
        <v>110000.0</v>
      </c>
      <c r="C20" s="356">
        <v>0.03</v>
      </c>
      <c r="D20" s="357" t="s">
        <v>528</v>
      </c>
      <c r="E20" s="45"/>
      <c r="F20" s="45"/>
    </row>
    <row r="21" ht="15.75" customHeight="1">
      <c r="A21" s="352">
        <v>110001.0</v>
      </c>
      <c r="B21" s="352">
        <v>150000.0</v>
      </c>
      <c r="C21" s="353">
        <v>0.03</v>
      </c>
      <c r="D21" s="354" t="s">
        <v>526</v>
      </c>
      <c r="E21" s="45"/>
      <c r="F21" s="45"/>
    </row>
    <row r="22" ht="15.75" customHeight="1">
      <c r="A22" s="355">
        <v>150001.0</v>
      </c>
      <c r="B22" s="355">
        <v>160000.0</v>
      </c>
      <c r="C22" s="356">
        <v>0.04</v>
      </c>
      <c r="D22" s="357" t="s">
        <v>529</v>
      </c>
      <c r="E22" s="45"/>
      <c r="F22" s="45"/>
    </row>
    <row r="23" ht="15.75" customHeight="1">
      <c r="A23" s="352">
        <v>160001.0</v>
      </c>
      <c r="B23" s="352">
        <v>200000.0</v>
      </c>
      <c r="C23" s="353">
        <v>0.04</v>
      </c>
      <c r="D23" s="354" t="s">
        <v>526</v>
      </c>
      <c r="E23" s="45"/>
      <c r="F23" s="45"/>
    </row>
    <row r="24" ht="15.75" customHeight="1">
      <c r="A24" s="355">
        <v>200001.0</v>
      </c>
      <c r="B24" s="355">
        <v>210000.0</v>
      </c>
      <c r="C24" s="356">
        <v>0.05</v>
      </c>
      <c r="D24" s="357" t="s">
        <v>530</v>
      </c>
      <c r="E24" s="45"/>
      <c r="F24" s="45"/>
    </row>
    <row r="25" ht="15.75" customHeight="1">
      <c r="A25" s="352">
        <v>210001.0</v>
      </c>
      <c r="B25" s="352">
        <v>250000.0</v>
      </c>
      <c r="C25" s="353">
        <v>0.05</v>
      </c>
      <c r="D25" s="354" t="s">
        <v>526</v>
      </c>
      <c r="E25" s="45"/>
      <c r="F25" s="45"/>
    </row>
    <row r="26" ht="15.75" customHeight="1">
      <c r="A26" s="355">
        <v>250001.0</v>
      </c>
      <c r="B26" s="355">
        <v>260000.0</v>
      </c>
      <c r="C26" s="356">
        <v>0.06</v>
      </c>
      <c r="D26" s="357" t="s">
        <v>531</v>
      </c>
      <c r="E26" s="45"/>
      <c r="F26" s="45"/>
    </row>
    <row r="27" ht="15.75" customHeight="1">
      <c r="A27" s="352">
        <v>260001.0</v>
      </c>
      <c r="B27" s="352">
        <v>999999.0</v>
      </c>
      <c r="C27" s="353">
        <v>0.06</v>
      </c>
      <c r="D27" s="354" t="s">
        <v>526</v>
      </c>
      <c r="E27" s="45"/>
      <c r="F27" s="45"/>
    </row>
    <row r="28" ht="15.75" customHeight="1">
      <c r="A28" s="45"/>
      <c r="B28" s="45"/>
      <c r="C28" s="45"/>
      <c r="D28" s="45"/>
      <c r="E28" s="45"/>
      <c r="F28" s="45"/>
    </row>
    <row r="29" ht="15.75" customHeight="1">
      <c r="A29" s="358" t="s">
        <v>532</v>
      </c>
      <c r="B29" s="359">
        <v>14171.0</v>
      </c>
      <c r="C29" s="45"/>
      <c r="D29" s="45"/>
      <c r="E29" s="45"/>
      <c r="F29" s="45"/>
    </row>
    <row r="30" ht="15.75" customHeight="1">
      <c r="A30" s="358" t="s">
        <v>533</v>
      </c>
      <c r="B30" s="359">
        <v>504.0</v>
      </c>
      <c r="C30" s="45"/>
      <c r="D30" s="45"/>
      <c r="E30" s="45"/>
      <c r="F30" s="45"/>
    </row>
    <row r="31" ht="15.75" customHeight="1">
      <c r="A31" s="360" t="s">
        <v>534</v>
      </c>
      <c r="B31" s="361">
        <v>4321.0</v>
      </c>
      <c r="C31" s="45"/>
      <c r="D31" s="45"/>
      <c r="E31" s="45"/>
      <c r="F31" s="45"/>
    </row>
    <row r="32" ht="15.75" customHeight="1">
      <c r="A32" s="360" t="s">
        <v>535</v>
      </c>
      <c r="B32" s="361">
        <v>442.0</v>
      </c>
      <c r="C32" s="45"/>
      <c r="D32" s="45"/>
      <c r="E32" s="45"/>
      <c r="F32" s="45"/>
    </row>
    <row r="33" ht="15.75" customHeight="1">
      <c r="A33" s="45"/>
      <c r="B33" s="45"/>
      <c r="C33" s="45"/>
      <c r="D33" s="45"/>
      <c r="E33" s="45"/>
      <c r="F33" s="45"/>
    </row>
    <row r="34" ht="15.75" customHeight="1">
      <c r="A34" s="45"/>
      <c r="B34" s="45"/>
      <c r="C34" s="45"/>
      <c r="D34" s="45"/>
      <c r="E34" s="45"/>
      <c r="F34" s="45"/>
    </row>
    <row r="35" ht="15.75" customHeight="1">
      <c r="A35" s="45"/>
      <c r="B35" s="45"/>
      <c r="C35" s="45"/>
      <c r="D35" s="45"/>
      <c r="E35" s="45"/>
      <c r="F35" s="45"/>
    </row>
    <row r="36" ht="15.75" customHeight="1">
      <c r="A36" s="45"/>
      <c r="B36" s="45"/>
      <c r="C36" s="45"/>
      <c r="D36" s="45"/>
      <c r="E36" s="45"/>
      <c r="F36" s="45"/>
    </row>
    <row r="37" ht="15.75" customHeight="1">
      <c r="A37" s="45"/>
      <c r="B37" s="45"/>
      <c r="C37" s="45"/>
      <c r="D37" s="45"/>
      <c r="E37" s="45"/>
      <c r="F37" s="45"/>
    </row>
    <row r="38" ht="15.75" customHeight="1">
      <c r="A38" s="45"/>
      <c r="B38" s="45"/>
      <c r="C38" s="45"/>
      <c r="D38" s="45"/>
      <c r="E38" s="45"/>
      <c r="F38" s="45"/>
    </row>
    <row r="39" ht="15.75" customHeight="1">
      <c r="A39" s="45"/>
      <c r="B39" s="45"/>
      <c r="C39" s="45"/>
      <c r="D39" s="45"/>
      <c r="E39" s="45"/>
      <c r="F39" s="45"/>
    </row>
    <row r="40" ht="15.75" customHeight="1">
      <c r="A40" s="45"/>
      <c r="B40" s="45"/>
      <c r="C40" s="45"/>
      <c r="D40" s="45"/>
      <c r="E40" s="45"/>
      <c r="F40" s="45"/>
    </row>
    <row r="41" ht="15.75" customHeight="1">
      <c r="A41" s="45"/>
      <c r="B41" s="45"/>
      <c r="C41" s="45"/>
      <c r="D41" s="45"/>
      <c r="E41" s="45"/>
      <c r="F41" s="45"/>
    </row>
    <row r="42" ht="15.75" customHeight="1">
      <c r="A42" s="45"/>
      <c r="B42" s="45"/>
      <c r="C42" s="45"/>
      <c r="D42" s="45"/>
      <c r="E42" s="45"/>
      <c r="F42" s="45"/>
    </row>
    <row r="43" ht="15.75" customHeight="1">
      <c r="A43" s="45"/>
      <c r="B43" s="45"/>
      <c r="C43" s="45"/>
      <c r="D43" s="45"/>
      <c r="E43" s="45"/>
      <c r="F43" s="45"/>
    </row>
    <row r="44" ht="15.75" customHeight="1">
      <c r="A44" s="45"/>
      <c r="B44" s="45"/>
      <c r="C44" s="45"/>
      <c r="D44" s="45"/>
      <c r="E44" s="45"/>
      <c r="F44" s="45"/>
    </row>
    <row r="45" ht="15.75" customHeight="1">
      <c r="A45" s="45"/>
      <c r="B45" s="45"/>
      <c r="C45" s="45"/>
      <c r="D45" s="45"/>
      <c r="E45" s="45"/>
      <c r="F45" s="45"/>
    </row>
    <row r="46" ht="15.75" customHeight="1">
      <c r="A46" s="45"/>
      <c r="B46" s="45"/>
      <c r="C46" s="45"/>
      <c r="D46" s="45"/>
      <c r="E46" s="45"/>
      <c r="F46" s="45"/>
    </row>
    <row r="47" ht="15.75" customHeight="1">
      <c r="A47" s="45"/>
      <c r="B47" s="45"/>
      <c r="C47" s="45"/>
      <c r="D47" s="45"/>
      <c r="E47" s="45"/>
      <c r="F47" s="45"/>
    </row>
    <row r="48" ht="15.75" customHeight="1">
      <c r="A48" s="45"/>
      <c r="B48" s="45"/>
      <c r="C48" s="45"/>
      <c r="D48" s="45"/>
      <c r="E48" s="45"/>
      <c r="F48" s="45"/>
    </row>
    <row r="49" ht="15.75" customHeight="1">
      <c r="A49" s="45"/>
      <c r="B49" s="45"/>
      <c r="C49" s="45"/>
      <c r="D49" s="45"/>
      <c r="E49" s="45"/>
      <c r="F49" s="45"/>
    </row>
    <row r="50" ht="15.75" customHeight="1">
      <c r="A50" s="45"/>
      <c r="B50" s="45"/>
      <c r="C50" s="45"/>
      <c r="D50" s="45"/>
      <c r="E50" s="45"/>
      <c r="F50" s="45"/>
    </row>
    <row r="51" ht="15.75" customHeight="1">
      <c r="A51" s="45"/>
      <c r="B51" s="45"/>
      <c r="C51" s="45"/>
      <c r="D51" s="45"/>
      <c r="E51" s="45"/>
      <c r="F51" s="45"/>
    </row>
    <row r="52" ht="15.75" customHeight="1">
      <c r="A52" s="45"/>
      <c r="B52" s="45"/>
      <c r="C52" s="45"/>
      <c r="D52" s="45"/>
      <c r="E52" s="45"/>
      <c r="F52" s="45"/>
    </row>
    <row r="53" ht="15.75" customHeight="1">
      <c r="A53" s="45"/>
      <c r="B53" s="45"/>
      <c r="C53" s="45"/>
      <c r="D53" s="45"/>
      <c r="E53" s="45"/>
      <c r="F53" s="45"/>
    </row>
    <row r="54" ht="15.75" customHeight="1">
      <c r="A54" s="45"/>
      <c r="B54" s="45"/>
      <c r="C54" s="45"/>
      <c r="D54" s="45"/>
      <c r="E54" s="45"/>
      <c r="F54" s="45"/>
    </row>
    <row r="55" ht="15.75" customHeight="1">
      <c r="A55" s="45"/>
      <c r="B55" s="45"/>
      <c r="C55" s="45"/>
      <c r="D55" s="45"/>
      <c r="E55" s="45"/>
      <c r="F55" s="45"/>
    </row>
    <row r="56" ht="15.75" customHeight="1">
      <c r="A56" s="45"/>
      <c r="B56" s="45"/>
      <c r="C56" s="45"/>
      <c r="D56" s="45"/>
      <c r="E56" s="45"/>
      <c r="F56" s="45"/>
    </row>
    <row r="57" ht="15.75" customHeight="1">
      <c r="A57" s="45"/>
      <c r="B57" s="45"/>
      <c r="C57" s="45"/>
      <c r="D57" s="45"/>
      <c r="E57" s="45"/>
      <c r="F57" s="45"/>
    </row>
    <row r="58" ht="15.75" customHeight="1">
      <c r="A58" s="45"/>
      <c r="B58" s="45"/>
      <c r="C58" s="45"/>
      <c r="D58" s="45"/>
      <c r="E58" s="45"/>
      <c r="F58" s="45"/>
    </row>
    <row r="59" ht="15.75" customHeight="1">
      <c r="A59" s="45"/>
      <c r="B59" s="45"/>
      <c r="C59" s="45"/>
      <c r="D59" s="45"/>
      <c r="E59" s="45"/>
      <c r="F59" s="45"/>
    </row>
    <row r="60" ht="15.75" customHeight="1">
      <c r="A60" s="45"/>
      <c r="B60" s="45"/>
      <c r="C60" s="45"/>
      <c r="D60" s="45"/>
      <c r="E60" s="45"/>
      <c r="F60" s="45"/>
    </row>
    <row r="61" ht="15.75" customHeight="1">
      <c r="A61" s="45"/>
      <c r="B61" s="45"/>
      <c r="C61" s="45"/>
      <c r="D61" s="45"/>
      <c r="E61" s="45"/>
      <c r="F61" s="45"/>
    </row>
    <row r="62" ht="15.75" customHeight="1">
      <c r="A62" s="45"/>
      <c r="B62" s="45"/>
      <c r="C62" s="45"/>
      <c r="D62" s="45"/>
      <c r="E62" s="45"/>
      <c r="F62" s="45"/>
    </row>
    <row r="63" ht="15.75" customHeight="1">
      <c r="A63" s="45"/>
      <c r="B63" s="45"/>
      <c r="C63" s="45"/>
      <c r="D63" s="45"/>
      <c r="E63" s="45"/>
      <c r="F63" s="45"/>
    </row>
    <row r="64" ht="15.75" customHeight="1">
      <c r="A64" s="45"/>
      <c r="B64" s="45"/>
      <c r="C64" s="45"/>
      <c r="D64" s="45"/>
      <c r="E64" s="45"/>
      <c r="F64" s="45"/>
    </row>
    <row r="65" ht="15.75" customHeight="1">
      <c r="A65" s="45"/>
      <c r="B65" s="45"/>
      <c r="C65" s="45"/>
      <c r="D65" s="45"/>
      <c r="E65" s="45"/>
      <c r="F65" s="45"/>
    </row>
    <row r="66" ht="15.75" customHeight="1">
      <c r="A66" s="45"/>
      <c r="B66" s="45"/>
      <c r="C66" s="45"/>
      <c r="D66" s="45"/>
      <c r="E66" s="45"/>
      <c r="F66" s="45"/>
    </row>
    <row r="67" ht="15.75" customHeight="1">
      <c r="A67" s="45"/>
      <c r="B67" s="45"/>
      <c r="C67" s="45"/>
      <c r="D67" s="45"/>
      <c r="E67" s="45"/>
      <c r="F67" s="45"/>
    </row>
    <row r="68" ht="15.75" customHeight="1">
      <c r="A68" s="45"/>
      <c r="B68" s="45"/>
      <c r="C68" s="45"/>
      <c r="D68" s="45"/>
      <c r="E68" s="45"/>
      <c r="F68" s="45"/>
    </row>
    <row r="69" ht="15.75" customHeight="1">
      <c r="A69" s="45"/>
      <c r="B69" s="45"/>
      <c r="C69" s="45"/>
      <c r="D69" s="45"/>
      <c r="E69" s="45"/>
      <c r="F69" s="45"/>
    </row>
    <row r="70" ht="15.75" customHeight="1">
      <c r="A70" s="45"/>
      <c r="B70" s="45"/>
      <c r="C70" s="45"/>
      <c r="D70" s="45"/>
      <c r="E70" s="45"/>
      <c r="F70" s="45"/>
    </row>
    <row r="71" ht="15.75" customHeight="1">
      <c r="A71" s="45"/>
      <c r="B71" s="45"/>
      <c r="C71" s="45"/>
      <c r="D71" s="45"/>
      <c r="E71" s="45"/>
      <c r="F71" s="45"/>
    </row>
    <row r="72" ht="15.75" customHeight="1">
      <c r="A72" s="45"/>
      <c r="B72" s="45"/>
      <c r="C72" s="45"/>
      <c r="D72" s="45"/>
      <c r="E72" s="45"/>
      <c r="F72" s="45"/>
    </row>
    <row r="73" ht="15.75" customHeight="1">
      <c r="A73" s="45"/>
      <c r="B73" s="45"/>
      <c r="C73" s="45"/>
      <c r="D73" s="45"/>
      <c r="E73" s="45"/>
      <c r="F73" s="45"/>
    </row>
    <row r="74" ht="15.75" customHeight="1">
      <c r="A74" s="45"/>
      <c r="B74" s="45"/>
      <c r="C74" s="45"/>
      <c r="D74" s="45"/>
      <c r="E74" s="45"/>
      <c r="F74" s="45"/>
    </row>
    <row r="75" ht="15.75" customHeight="1">
      <c r="A75" s="45"/>
      <c r="B75" s="45"/>
      <c r="C75" s="45"/>
      <c r="D75" s="45"/>
      <c r="E75" s="45"/>
      <c r="F75" s="45"/>
    </row>
    <row r="76" ht="15.75" customHeight="1">
      <c r="A76" s="45"/>
      <c r="B76" s="45"/>
      <c r="C76" s="45"/>
      <c r="D76" s="45"/>
      <c r="E76" s="45"/>
      <c r="F76" s="45"/>
    </row>
    <row r="77" ht="15.75" customHeight="1">
      <c r="A77" s="45"/>
      <c r="B77" s="45"/>
      <c r="C77" s="45"/>
      <c r="D77" s="45"/>
      <c r="E77" s="45"/>
      <c r="F77" s="45"/>
    </row>
    <row r="78" ht="15.75" customHeight="1">
      <c r="A78" s="45"/>
      <c r="B78" s="45"/>
      <c r="C78" s="45"/>
      <c r="D78" s="45"/>
      <c r="E78" s="45"/>
      <c r="F78" s="45"/>
    </row>
    <row r="79" ht="15.75" customHeight="1">
      <c r="A79" s="45"/>
      <c r="B79" s="45"/>
      <c r="C79" s="45"/>
      <c r="D79" s="45"/>
      <c r="E79" s="45"/>
      <c r="F79" s="45"/>
    </row>
    <row r="80" ht="15.75" customHeight="1">
      <c r="A80" s="45"/>
      <c r="B80" s="45"/>
      <c r="C80" s="45"/>
      <c r="D80" s="45"/>
      <c r="E80" s="45"/>
      <c r="F80" s="45"/>
    </row>
    <row r="81" ht="15.75" customHeight="1">
      <c r="A81" s="45"/>
      <c r="B81" s="45"/>
      <c r="C81" s="45"/>
      <c r="D81" s="45"/>
      <c r="E81" s="45"/>
      <c r="F81" s="45"/>
    </row>
    <row r="82" ht="15.75" customHeight="1">
      <c r="A82" s="45"/>
      <c r="B82" s="45"/>
      <c r="C82" s="45"/>
      <c r="D82" s="45"/>
      <c r="E82" s="45"/>
      <c r="F82" s="45"/>
    </row>
    <row r="83" ht="15.75" customHeight="1">
      <c r="A83" s="45"/>
      <c r="B83" s="45"/>
      <c r="C83" s="45"/>
      <c r="D83" s="45"/>
      <c r="E83" s="45"/>
      <c r="F83" s="45"/>
    </row>
    <row r="84" ht="15.75" customHeight="1">
      <c r="A84" s="45"/>
      <c r="B84" s="45"/>
      <c r="C84" s="45"/>
      <c r="D84" s="45"/>
      <c r="E84" s="45"/>
      <c r="F84" s="45"/>
    </row>
    <row r="85" ht="15.75" customHeight="1">
      <c r="A85" s="45"/>
      <c r="B85" s="45"/>
      <c r="C85" s="45"/>
      <c r="D85" s="45"/>
      <c r="E85" s="45"/>
      <c r="F85" s="45"/>
    </row>
    <row r="86" ht="15.75" customHeight="1">
      <c r="A86" s="45"/>
      <c r="B86" s="45"/>
      <c r="C86" s="45"/>
      <c r="D86" s="45"/>
      <c r="E86" s="45"/>
      <c r="F86" s="45"/>
    </row>
    <row r="87" ht="15.75" customHeight="1">
      <c r="A87" s="45"/>
      <c r="B87" s="45"/>
      <c r="C87" s="45"/>
      <c r="D87" s="45"/>
      <c r="E87" s="45"/>
      <c r="F87" s="45"/>
    </row>
    <row r="88" ht="15.75" customHeight="1">
      <c r="A88" s="45"/>
      <c r="B88" s="45"/>
      <c r="C88" s="45"/>
      <c r="D88" s="45"/>
      <c r="E88" s="45"/>
      <c r="F88" s="45"/>
    </row>
    <row r="89" ht="15.75" customHeight="1">
      <c r="A89" s="45"/>
      <c r="B89" s="45"/>
      <c r="C89" s="45"/>
      <c r="D89" s="45"/>
      <c r="E89" s="45"/>
      <c r="F89" s="45"/>
    </row>
    <row r="90" ht="15.75" customHeight="1">
      <c r="A90" s="45"/>
      <c r="B90" s="45"/>
      <c r="C90" s="45"/>
      <c r="D90" s="45"/>
      <c r="E90" s="45"/>
      <c r="F90" s="45"/>
    </row>
    <row r="91" ht="15.75" customHeight="1">
      <c r="A91" s="45"/>
      <c r="B91" s="45"/>
      <c r="C91" s="45"/>
      <c r="D91" s="45"/>
      <c r="E91" s="45"/>
      <c r="F91" s="45"/>
    </row>
    <row r="92" ht="15.75" customHeight="1">
      <c r="A92" s="45"/>
      <c r="B92" s="45"/>
      <c r="C92" s="45"/>
      <c r="D92" s="45"/>
      <c r="E92" s="45"/>
      <c r="F92" s="45"/>
    </row>
    <row r="93" ht="15.75" customHeight="1">
      <c r="A93" s="45"/>
      <c r="B93" s="45"/>
      <c r="C93" s="45"/>
      <c r="D93" s="45"/>
      <c r="E93" s="45"/>
      <c r="F93" s="45"/>
    </row>
    <row r="94" ht="15.75" customHeight="1">
      <c r="A94" s="45"/>
      <c r="B94" s="45"/>
      <c r="C94" s="45"/>
      <c r="D94" s="45"/>
      <c r="E94" s="45"/>
      <c r="F94" s="45"/>
    </row>
    <row r="95" ht="15.75" customHeight="1">
      <c r="A95" s="45"/>
      <c r="B95" s="45"/>
      <c r="C95" s="45"/>
      <c r="D95" s="45"/>
      <c r="E95" s="45"/>
      <c r="F95" s="45"/>
    </row>
    <row r="96" ht="15.75" customHeight="1">
      <c r="A96" s="45"/>
      <c r="B96" s="45"/>
      <c r="C96" s="45"/>
      <c r="D96" s="45"/>
      <c r="E96" s="45"/>
      <c r="F96" s="45"/>
    </row>
    <row r="97" ht="15.75" customHeight="1">
      <c r="A97" s="45"/>
      <c r="B97" s="45"/>
      <c r="C97" s="45"/>
      <c r="D97" s="45"/>
      <c r="E97" s="45"/>
      <c r="F97" s="45"/>
    </row>
    <row r="98" ht="15.75" customHeight="1">
      <c r="A98" s="45"/>
      <c r="B98" s="45"/>
      <c r="C98" s="45"/>
      <c r="D98" s="45"/>
      <c r="E98" s="45"/>
      <c r="F98" s="45"/>
    </row>
    <row r="99" ht="15.75" customHeight="1">
      <c r="A99" s="45"/>
      <c r="B99" s="45"/>
      <c r="C99" s="45"/>
      <c r="D99" s="45"/>
      <c r="E99" s="45"/>
      <c r="F99" s="45"/>
    </row>
    <row r="100" ht="15.75" customHeight="1">
      <c r="A100" s="45"/>
      <c r="B100" s="45"/>
      <c r="C100" s="45"/>
      <c r="D100" s="45"/>
      <c r="E100" s="45"/>
      <c r="F100" s="45"/>
    </row>
    <row r="101" ht="15.75" customHeight="1">
      <c r="A101" s="45"/>
      <c r="B101" s="45"/>
      <c r="C101" s="45"/>
      <c r="D101" s="45"/>
      <c r="E101" s="45"/>
      <c r="F101" s="45"/>
    </row>
    <row r="102" ht="15.75" customHeight="1">
      <c r="A102" s="45"/>
      <c r="B102" s="45"/>
      <c r="C102" s="45"/>
      <c r="D102" s="45"/>
      <c r="E102" s="45"/>
      <c r="F102" s="45"/>
    </row>
    <row r="103" ht="15.75" customHeight="1">
      <c r="A103" s="45"/>
      <c r="B103" s="45"/>
      <c r="C103" s="45"/>
      <c r="D103" s="45"/>
      <c r="E103" s="45"/>
      <c r="F103" s="45"/>
    </row>
    <row r="104" ht="15.75" customHeight="1">
      <c r="A104" s="45"/>
      <c r="B104" s="45"/>
      <c r="C104" s="45"/>
      <c r="D104" s="45"/>
      <c r="E104" s="45"/>
      <c r="F104" s="45"/>
    </row>
    <row r="105" ht="15.75" customHeight="1">
      <c r="A105" s="45"/>
      <c r="B105" s="45"/>
      <c r="C105" s="45"/>
      <c r="D105" s="45"/>
      <c r="E105" s="45"/>
      <c r="F105" s="45"/>
    </row>
    <row r="106" ht="15.75" customHeight="1">
      <c r="A106" s="45"/>
      <c r="B106" s="45"/>
      <c r="C106" s="45"/>
      <c r="D106" s="45"/>
      <c r="E106" s="45"/>
      <c r="F106" s="45"/>
    </row>
    <row r="107" ht="15.75" customHeight="1">
      <c r="A107" s="45"/>
      <c r="B107" s="45"/>
      <c r="C107" s="45"/>
      <c r="D107" s="45"/>
      <c r="E107" s="45"/>
      <c r="F107" s="45"/>
    </row>
    <row r="108" ht="15.75" customHeight="1">
      <c r="A108" s="45"/>
      <c r="B108" s="45"/>
      <c r="C108" s="45"/>
      <c r="D108" s="45"/>
      <c r="E108" s="45"/>
      <c r="F108" s="45"/>
    </row>
    <row r="109" ht="15.75" customHeight="1">
      <c r="A109" s="45"/>
      <c r="B109" s="45"/>
      <c r="C109" s="45"/>
      <c r="D109" s="45"/>
      <c r="E109" s="45"/>
      <c r="F109" s="45"/>
    </row>
    <row r="110" ht="15.75" customHeight="1">
      <c r="A110" s="45"/>
      <c r="B110" s="45"/>
      <c r="C110" s="45"/>
      <c r="D110" s="45"/>
      <c r="E110" s="45"/>
      <c r="F110" s="45"/>
    </row>
    <row r="111" ht="15.75" customHeight="1">
      <c r="A111" s="45"/>
      <c r="B111" s="45"/>
      <c r="C111" s="45"/>
      <c r="D111" s="45"/>
      <c r="E111" s="45"/>
      <c r="F111" s="45"/>
    </row>
    <row r="112" ht="15.75" customHeight="1">
      <c r="A112" s="45"/>
      <c r="B112" s="45"/>
      <c r="C112" s="45"/>
      <c r="D112" s="45"/>
      <c r="E112" s="45"/>
      <c r="F112" s="45"/>
    </row>
    <row r="113" ht="15.75" customHeight="1">
      <c r="A113" s="45"/>
      <c r="B113" s="45"/>
      <c r="C113" s="45"/>
      <c r="D113" s="45"/>
      <c r="E113" s="45"/>
      <c r="F113" s="45"/>
    </row>
    <row r="114" ht="15.75" customHeight="1">
      <c r="A114" s="45"/>
      <c r="B114" s="45"/>
      <c r="C114" s="45"/>
      <c r="D114" s="45"/>
      <c r="E114" s="45"/>
      <c r="F114" s="45"/>
    </row>
    <row r="115" ht="15.75" customHeight="1">
      <c r="A115" s="45"/>
      <c r="B115" s="45"/>
      <c r="C115" s="45"/>
      <c r="D115" s="45"/>
      <c r="E115" s="45"/>
      <c r="F115" s="45"/>
    </row>
    <row r="116" ht="15.75" customHeight="1">
      <c r="A116" s="45"/>
      <c r="B116" s="45"/>
      <c r="C116" s="45"/>
      <c r="D116" s="45"/>
      <c r="E116" s="45"/>
      <c r="F116" s="45"/>
    </row>
    <row r="117" ht="15.75" customHeight="1">
      <c r="A117" s="45"/>
      <c r="B117" s="45"/>
      <c r="C117" s="45"/>
      <c r="D117" s="45"/>
      <c r="E117" s="45"/>
      <c r="F117" s="45"/>
    </row>
    <row r="118" ht="15.75" customHeight="1">
      <c r="A118" s="45"/>
      <c r="B118" s="45"/>
      <c r="C118" s="45"/>
      <c r="D118" s="45"/>
      <c r="E118" s="45"/>
      <c r="F118" s="45"/>
    </row>
    <row r="119" ht="15.75" customHeight="1">
      <c r="A119" s="45"/>
      <c r="B119" s="45"/>
      <c r="C119" s="45"/>
      <c r="D119" s="45"/>
      <c r="E119" s="45"/>
      <c r="F119" s="45"/>
    </row>
    <row r="120" ht="15.75" customHeight="1">
      <c r="A120" s="45"/>
      <c r="B120" s="45"/>
      <c r="C120" s="45"/>
      <c r="D120" s="45"/>
      <c r="E120" s="45"/>
      <c r="F120" s="45"/>
    </row>
    <row r="121" ht="15.75" customHeight="1">
      <c r="A121" s="45"/>
      <c r="B121" s="45"/>
      <c r="C121" s="45"/>
      <c r="D121" s="45"/>
      <c r="E121" s="45"/>
      <c r="F121" s="45"/>
    </row>
    <row r="122" ht="15.75" customHeight="1">
      <c r="A122" s="45"/>
      <c r="B122" s="45"/>
      <c r="C122" s="45"/>
      <c r="D122" s="45"/>
      <c r="E122" s="45"/>
      <c r="F122" s="45"/>
    </row>
    <row r="123" ht="15.75" customHeight="1">
      <c r="A123" s="45"/>
      <c r="B123" s="45"/>
      <c r="C123" s="45"/>
      <c r="D123" s="45"/>
      <c r="E123" s="45"/>
      <c r="F123" s="45"/>
    </row>
    <row r="124" ht="15.75" customHeight="1">
      <c r="A124" s="45"/>
      <c r="B124" s="45"/>
      <c r="C124" s="45"/>
      <c r="D124" s="45"/>
      <c r="E124" s="45"/>
      <c r="F124" s="45"/>
    </row>
    <row r="125" ht="15.75" customHeight="1">
      <c r="A125" s="45"/>
      <c r="B125" s="45"/>
      <c r="C125" s="45"/>
      <c r="D125" s="45"/>
      <c r="E125" s="45"/>
      <c r="F125" s="45"/>
    </row>
    <row r="126" ht="15.75" customHeight="1">
      <c r="A126" s="45"/>
      <c r="B126" s="45"/>
      <c r="C126" s="45"/>
      <c r="D126" s="45"/>
      <c r="E126" s="45"/>
      <c r="F126" s="45"/>
    </row>
    <row r="127" ht="15.75" customHeight="1">
      <c r="A127" s="45"/>
      <c r="B127" s="45"/>
      <c r="C127" s="45"/>
      <c r="D127" s="45"/>
      <c r="E127" s="45"/>
      <c r="F127" s="45"/>
    </row>
    <row r="128" ht="15.75" customHeight="1">
      <c r="A128" s="45"/>
      <c r="B128" s="45"/>
      <c r="C128" s="45"/>
      <c r="D128" s="45"/>
      <c r="E128" s="45"/>
      <c r="F128" s="45"/>
    </row>
    <row r="129" ht="15.75" customHeight="1">
      <c r="A129" s="45"/>
      <c r="B129" s="45"/>
      <c r="C129" s="45"/>
      <c r="D129" s="45"/>
      <c r="E129" s="45"/>
      <c r="F129" s="45"/>
    </row>
    <row r="130" ht="15.75" customHeight="1">
      <c r="A130" s="45"/>
      <c r="B130" s="45"/>
      <c r="C130" s="45"/>
      <c r="D130" s="45"/>
      <c r="E130" s="45"/>
      <c r="F130" s="45"/>
    </row>
    <row r="131" ht="15.75" customHeight="1">
      <c r="A131" s="45"/>
      <c r="B131" s="45"/>
      <c r="C131" s="45"/>
      <c r="D131" s="45"/>
      <c r="E131" s="45"/>
      <c r="F131" s="45"/>
    </row>
    <row r="132" ht="15.75" customHeight="1">
      <c r="A132" s="45"/>
      <c r="B132" s="45"/>
      <c r="C132" s="45"/>
      <c r="D132" s="45"/>
      <c r="E132" s="45"/>
      <c r="F132" s="45"/>
    </row>
    <row r="133" ht="15.75" customHeight="1">
      <c r="A133" s="45"/>
      <c r="B133" s="45"/>
      <c r="C133" s="45"/>
      <c r="D133" s="45"/>
      <c r="E133" s="45"/>
      <c r="F133" s="45"/>
    </row>
    <row r="134" ht="15.75" customHeight="1">
      <c r="A134" s="45"/>
      <c r="B134" s="45"/>
      <c r="C134" s="45"/>
      <c r="D134" s="45"/>
      <c r="E134" s="45"/>
      <c r="F134" s="45"/>
    </row>
    <row r="135" ht="15.75" customHeight="1">
      <c r="A135" s="45"/>
      <c r="B135" s="45"/>
      <c r="C135" s="45"/>
      <c r="D135" s="45"/>
      <c r="E135" s="45"/>
      <c r="F135" s="45"/>
    </row>
    <row r="136" ht="15.75" customHeight="1">
      <c r="A136" s="45"/>
      <c r="B136" s="45"/>
      <c r="C136" s="45"/>
      <c r="D136" s="45"/>
      <c r="E136" s="45"/>
      <c r="F136" s="45"/>
    </row>
    <row r="137" ht="15.75" customHeight="1">
      <c r="A137" s="45"/>
      <c r="B137" s="45"/>
      <c r="C137" s="45"/>
      <c r="D137" s="45"/>
      <c r="E137" s="45"/>
      <c r="F137" s="45"/>
    </row>
    <row r="138" ht="15.75" customHeight="1">
      <c r="A138" s="45"/>
      <c r="B138" s="45"/>
      <c r="C138" s="45"/>
      <c r="D138" s="45"/>
      <c r="E138" s="45"/>
      <c r="F138" s="45"/>
    </row>
    <row r="139" ht="15.75" customHeight="1">
      <c r="A139" s="45"/>
      <c r="B139" s="45"/>
      <c r="C139" s="45"/>
      <c r="D139" s="45"/>
      <c r="E139" s="45"/>
      <c r="F139" s="45"/>
    </row>
    <row r="140" ht="15.75" customHeight="1">
      <c r="A140" s="45"/>
      <c r="B140" s="45"/>
      <c r="C140" s="45"/>
      <c r="D140" s="45"/>
      <c r="E140" s="45"/>
      <c r="F140" s="45"/>
    </row>
    <row r="141" ht="15.75" customHeight="1">
      <c r="A141" s="45"/>
      <c r="B141" s="45"/>
      <c r="C141" s="45"/>
      <c r="D141" s="45"/>
      <c r="E141" s="45"/>
      <c r="F141" s="45"/>
    </row>
    <row r="142" ht="15.75" customHeight="1">
      <c r="A142" s="45"/>
      <c r="B142" s="45"/>
      <c r="C142" s="45"/>
      <c r="D142" s="45"/>
      <c r="E142" s="45"/>
      <c r="F142" s="45"/>
    </row>
    <row r="143" ht="15.75" customHeight="1">
      <c r="A143" s="45"/>
      <c r="B143" s="45"/>
      <c r="C143" s="45"/>
      <c r="D143" s="45"/>
      <c r="E143" s="45"/>
      <c r="F143" s="45"/>
    </row>
    <row r="144" ht="15.75" customHeight="1">
      <c r="A144" s="45"/>
      <c r="B144" s="45"/>
      <c r="C144" s="45"/>
      <c r="D144" s="45"/>
      <c r="E144" s="45"/>
      <c r="F144" s="45"/>
    </row>
    <row r="145" ht="15.75" customHeight="1">
      <c r="A145" s="45"/>
      <c r="B145" s="45"/>
      <c r="C145" s="45"/>
      <c r="D145" s="45"/>
      <c r="E145" s="45"/>
      <c r="F145" s="45"/>
    </row>
    <row r="146" ht="15.75" customHeight="1">
      <c r="A146" s="45"/>
      <c r="B146" s="45"/>
      <c r="C146" s="45"/>
      <c r="D146" s="45"/>
      <c r="E146" s="45"/>
      <c r="F146" s="45"/>
    </row>
    <row r="147" ht="15.75" customHeight="1">
      <c r="A147" s="45"/>
      <c r="B147" s="45"/>
      <c r="C147" s="45"/>
      <c r="D147" s="45"/>
      <c r="E147" s="45"/>
      <c r="F147" s="45"/>
    </row>
    <row r="148" ht="15.75" customHeight="1">
      <c r="A148" s="45"/>
      <c r="B148" s="45"/>
      <c r="C148" s="45"/>
      <c r="D148" s="45"/>
      <c r="E148" s="45"/>
      <c r="F148" s="45"/>
    </row>
    <row r="149" ht="15.75" customHeight="1">
      <c r="A149" s="45"/>
      <c r="B149" s="45"/>
      <c r="C149" s="45"/>
      <c r="D149" s="45"/>
      <c r="E149" s="45"/>
      <c r="F149" s="45"/>
    </row>
    <row r="150" ht="15.75" customHeight="1">
      <c r="A150" s="45"/>
      <c r="B150" s="45"/>
      <c r="C150" s="45"/>
      <c r="D150" s="45"/>
      <c r="E150" s="45"/>
      <c r="F150" s="45"/>
    </row>
    <row r="151" ht="15.75" customHeight="1">
      <c r="A151" s="45"/>
      <c r="B151" s="45"/>
      <c r="C151" s="45"/>
      <c r="D151" s="45"/>
      <c r="E151" s="45"/>
      <c r="F151" s="45"/>
    </row>
    <row r="152" ht="15.75" customHeight="1">
      <c r="A152" s="45"/>
      <c r="B152" s="45"/>
      <c r="C152" s="45"/>
      <c r="D152" s="45"/>
      <c r="E152" s="45"/>
      <c r="F152" s="45"/>
    </row>
    <row r="153" ht="15.75" customHeight="1">
      <c r="A153" s="45"/>
      <c r="B153" s="45"/>
      <c r="C153" s="45"/>
      <c r="D153" s="45"/>
      <c r="E153" s="45"/>
      <c r="F153" s="45"/>
    </row>
    <row r="154" ht="15.75" customHeight="1">
      <c r="A154" s="45"/>
      <c r="B154" s="45"/>
      <c r="C154" s="45"/>
      <c r="D154" s="45"/>
      <c r="E154" s="45"/>
      <c r="F154" s="45"/>
    </row>
    <row r="155" ht="15.75" customHeight="1">
      <c r="A155" s="45"/>
      <c r="B155" s="45"/>
      <c r="C155" s="45"/>
      <c r="D155" s="45"/>
      <c r="E155" s="45"/>
      <c r="F155" s="45"/>
    </row>
    <row r="156" ht="15.75" customHeight="1">
      <c r="A156" s="45"/>
      <c r="B156" s="45"/>
      <c r="C156" s="45"/>
      <c r="D156" s="45"/>
      <c r="E156" s="45"/>
      <c r="F156" s="45"/>
    </row>
    <row r="157" ht="15.75" customHeight="1">
      <c r="A157" s="45"/>
      <c r="B157" s="45"/>
      <c r="C157" s="45"/>
      <c r="D157" s="45"/>
      <c r="E157" s="45"/>
      <c r="F157" s="45"/>
    </row>
    <row r="158" ht="15.75" customHeight="1">
      <c r="A158" s="45"/>
      <c r="B158" s="45"/>
      <c r="C158" s="45"/>
      <c r="D158" s="45"/>
      <c r="E158" s="45"/>
      <c r="F158" s="45"/>
    </row>
    <row r="159" ht="15.75" customHeight="1">
      <c r="A159" s="45"/>
      <c r="B159" s="45"/>
      <c r="C159" s="45"/>
      <c r="D159" s="45"/>
      <c r="E159" s="45"/>
      <c r="F159" s="45"/>
    </row>
    <row r="160" ht="15.75" customHeight="1">
      <c r="A160" s="45"/>
      <c r="B160" s="45"/>
      <c r="C160" s="45"/>
      <c r="D160" s="45"/>
      <c r="E160" s="45"/>
      <c r="F160" s="45"/>
    </row>
    <row r="161" ht="15.75" customHeight="1">
      <c r="A161" s="45"/>
      <c r="B161" s="45"/>
      <c r="C161" s="45"/>
      <c r="D161" s="45"/>
      <c r="E161" s="45"/>
      <c r="F161" s="45"/>
    </row>
    <row r="162" ht="15.75" customHeight="1">
      <c r="A162" s="45"/>
      <c r="B162" s="45"/>
      <c r="C162" s="45"/>
      <c r="D162" s="45"/>
      <c r="E162" s="45"/>
      <c r="F162" s="45"/>
    </row>
    <row r="163" ht="15.75" customHeight="1">
      <c r="A163" s="45"/>
      <c r="B163" s="45"/>
      <c r="C163" s="45"/>
      <c r="D163" s="45"/>
      <c r="E163" s="45"/>
      <c r="F163" s="45"/>
    </row>
    <row r="164" ht="15.75" customHeight="1">
      <c r="A164" s="45"/>
      <c r="B164" s="45"/>
      <c r="C164" s="45"/>
      <c r="D164" s="45"/>
      <c r="E164" s="45"/>
      <c r="F164" s="45"/>
    </row>
    <row r="165" ht="15.75" customHeight="1">
      <c r="A165" s="45"/>
      <c r="B165" s="45"/>
      <c r="C165" s="45"/>
      <c r="D165" s="45"/>
      <c r="E165" s="45"/>
      <c r="F165" s="45"/>
    </row>
    <row r="166" ht="15.75" customHeight="1">
      <c r="A166" s="45"/>
      <c r="B166" s="45"/>
      <c r="C166" s="45"/>
      <c r="D166" s="45"/>
      <c r="E166" s="45"/>
      <c r="F166" s="45"/>
    </row>
    <row r="167" ht="15.75" customHeight="1">
      <c r="A167" s="45"/>
      <c r="B167" s="45"/>
      <c r="C167" s="45"/>
      <c r="D167" s="45"/>
      <c r="E167" s="45"/>
      <c r="F167" s="45"/>
    </row>
    <row r="168" ht="15.75" customHeight="1">
      <c r="A168" s="45"/>
      <c r="B168" s="45"/>
      <c r="C168" s="45"/>
      <c r="D168" s="45"/>
      <c r="E168" s="45"/>
      <c r="F168" s="45"/>
    </row>
    <row r="169" ht="15.75" customHeight="1">
      <c r="A169" s="45"/>
      <c r="B169" s="45"/>
      <c r="C169" s="45"/>
      <c r="D169" s="45"/>
      <c r="E169" s="45"/>
      <c r="F169" s="45"/>
    </row>
    <row r="170" ht="15.75" customHeight="1">
      <c r="A170" s="45"/>
      <c r="B170" s="45"/>
      <c r="C170" s="45"/>
      <c r="D170" s="45"/>
      <c r="E170" s="45"/>
      <c r="F170" s="45"/>
    </row>
    <row r="171" ht="15.75" customHeight="1">
      <c r="A171" s="45"/>
      <c r="B171" s="45"/>
      <c r="C171" s="45"/>
      <c r="D171" s="45"/>
      <c r="E171" s="45"/>
      <c r="F171" s="45"/>
    </row>
    <row r="172" ht="15.75" customHeight="1">
      <c r="A172" s="45"/>
      <c r="B172" s="45"/>
      <c r="C172" s="45"/>
      <c r="D172" s="45"/>
      <c r="E172" s="45"/>
      <c r="F172" s="45"/>
    </row>
    <row r="173" ht="15.75" customHeight="1">
      <c r="A173" s="45"/>
      <c r="B173" s="45"/>
      <c r="C173" s="45"/>
      <c r="D173" s="45"/>
      <c r="E173" s="45"/>
      <c r="F173" s="45"/>
    </row>
    <row r="174" ht="15.75" customHeight="1">
      <c r="A174" s="45"/>
      <c r="B174" s="45"/>
      <c r="C174" s="45"/>
      <c r="D174" s="45"/>
      <c r="E174" s="45"/>
      <c r="F174" s="45"/>
    </row>
    <row r="175" ht="15.75" customHeight="1">
      <c r="A175" s="45"/>
      <c r="B175" s="45"/>
      <c r="C175" s="45"/>
      <c r="D175" s="45"/>
      <c r="E175" s="45"/>
      <c r="F175" s="45"/>
    </row>
    <row r="176" ht="15.75" customHeight="1">
      <c r="A176" s="45"/>
      <c r="B176" s="45"/>
      <c r="C176" s="45"/>
      <c r="D176" s="45"/>
      <c r="E176" s="45"/>
      <c r="F176" s="45"/>
    </row>
    <row r="177" ht="15.75" customHeight="1">
      <c r="A177" s="45"/>
      <c r="B177" s="45"/>
      <c r="C177" s="45"/>
      <c r="D177" s="45"/>
      <c r="E177" s="45"/>
      <c r="F177" s="45"/>
    </row>
    <row r="178" ht="15.75" customHeight="1">
      <c r="A178" s="45"/>
      <c r="B178" s="45"/>
      <c r="C178" s="45"/>
      <c r="D178" s="45"/>
      <c r="E178" s="45"/>
      <c r="F178" s="45"/>
    </row>
    <row r="179" ht="15.75" customHeight="1">
      <c r="A179" s="45"/>
      <c r="B179" s="45"/>
      <c r="C179" s="45"/>
      <c r="D179" s="45"/>
      <c r="E179" s="45"/>
      <c r="F179" s="45"/>
    </row>
    <row r="180" ht="15.75" customHeight="1">
      <c r="A180" s="45"/>
      <c r="B180" s="45"/>
      <c r="C180" s="45"/>
      <c r="D180" s="45"/>
      <c r="E180" s="45"/>
      <c r="F180" s="45"/>
    </row>
    <row r="181" ht="15.75" customHeight="1">
      <c r="A181" s="45"/>
      <c r="B181" s="45"/>
      <c r="C181" s="45"/>
      <c r="D181" s="45"/>
      <c r="E181" s="45"/>
      <c r="F181" s="45"/>
    </row>
    <row r="182" ht="15.75" customHeight="1">
      <c r="A182" s="45"/>
      <c r="B182" s="45"/>
      <c r="C182" s="45"/>
      <c r="D182" s="45"/>
      <c r="E182" s="45"/>
      <c r="F182" s="45"/>
    </row>
    <row r="183" ht="15.75" customHeight="1">
      <c r="A183" s="45"/>
      <c r="B183" s="45"/>
      <c r="C183" s="45"/>
      <c r="D183" s="45"/>
      <c r="E183" s="45"/>
      <c r="F183" s="45"/>
    </row>
    <row r="184" ht="15.75" customHeight="1">
      <c r="A184" s="45"/>
      <c r="B184" s="45"/>
      <c r="C184" s="45"/>
      <c r="D184" s="45"/>
      <c r="E184" s="45"/>
      <c r="F184" s="45"/>
    </row>
    <row r="185" ht="15.75" customHeight="1">
      <c r="A185" s="45"/>
      <c r="B185" s="45"/>
      <c r="C185" s="45"/>
      <c r="D185" s="45"/>
      <c r="E185" s="45"/>
      <c r="F185" s="45"/>
    </row>
    <row r="186" ht="15.75" customHeight="1">
      <c r="A186" s="45"/>
      <c r="B186" s="45"/>
      <c r="C186" s="45"/>
      <c r="D186" s="45"/>
      <c r="E186" s="45"/>
      <c r="F186" s="45"/>
    </row>
    <row r="187" ht="15.75" customHeight="1">
      <c r="A187" s="45"/>
      <c r="B187" s="45"/>
      <c r="C187" s="45"/>
      <c r="D187" s="45"/>
      <c r="E187" s="45"/>
      <c r="F187" s="45"/>
    </row>
    <row r="188" ht="15.75" customHeight="1">
      <c r="A188" s="45"/>
      <c r="B188" s="45"/>
      <c r="C188" s="45"/>
      <c r="D188" s="45"/>
      <c r="E188" s="45"/>
      <c r="F188" s="45"/>
    </row>
    <row r="189" ht="15.75" customHeight="1">
      <c r="A189" s="45"/>
      <c r="B189" s="45"/>
      <c r="C189" s="45"/>
      <c r="D189" s="45"/>
      <c r="E189" s="45"/>
      <c r="F189" s="45"/>
    </row>
    <row r="190" ht="15.75" customHeight="1">
      <c r="A190" s="45"/>
      <c r="B190" s="45"/>
      <c r="C190" s="45"/>
      <c r="D190" s="45"/>
      <c r="E190" s="45"/>
      <c r="F190" s="45"/>
    </row>
    <row r="191" ht="15.75" customHeight="1">
      <c r="A191" s="45"/>
      <c r="B191" s="45"/>
      <c r="C191" s="45"/>
      <c r="D191" s="45"/>
      <c r="E191" s="45"/>
      <c r="F191" s="45"/>
    </row>
    <row r="192" ht="15.75" customHeight="1">
      <c r="A192" s="45"/>
      <c r="B192" s="45"/>
      <c r="C192" s="45"/>
      <c r="D192" s="45"/>
      <c r="E192" s="45"/>
      <c r="F192" s="45"/>
    </row>
    <row r="193" ht="15.75" customHeight="1">
      <c r="A193" s="45"/>
      <c r="B193" s="45"/>
      <c r="C193" s="45"/>
      <c r="D193" s="45"/>
      <c r="E193" s="45"/>
      <c r="F193" s="45"/>
    </row>
    <row r="194" ht="15.75" customHeight="1">
      <c r="A194" s="45"/>
      <c r="B194" s="45"/>
      <c r="C194" s="45"/>
      <c r="D194" s="45"/>
      <c r="E194" s="45"/>
      <c r="F194" s="45"/>
    </row>
    <row r="195" ht="15.75" customHeight="1">
      <c r="A195" s="45"/>
      <c r="B195" s="45"/>
      <c r="C195" s="45"/>
      <c r="D195" s="45"/>
      <c r="E195" s="45"/>
      <c r="F195" s="45"/>
    </row>
    <row r="196" ht="15.75" customHeight="1">
      <c r="A196" s="45"/>
      <c r="B196" s="45"/>
      <c r="C196" s="45"/>
      <c r="D196" s="45"/>
      <c r="E196" s="45"/>
      <c r="F196" s="45"/>
    </row>
    <row r="197" ht="15.75" customHeight="1">
      <c r="A197" s="45"/>
      <c r="B197" s="45"/>
      <c r="C197" s="45"/>
      <c r="D197" s="45"/>
      <c r="E197" s="45"/>
      <c r="F197" s="45"/>
    </row>
    <row r="198" ht="15.75" customHeight="1">
      <c r="A198" s="45"/>
      <c r="B198" s="45"/>
      <c r="C198" s="45"/>
      <c r="D198" s="45"/>
      <c r="E198" s="45"/>
      <c r="F198" s="45"/>
    </row>
    <row r="199" ht="15.75" customHeight="1">
      <c r="A199" s="45"/>
      <c r="B199" s="45"/>
      <c r="C199" s="45"/>
      <c r="D199" s="45"/>
      <c r="E199" s="45"/>
      <c r="F199" s="45"/>
    </row>
    <row r="200" ht="15.75" customHeight="1">
      <c r="A200" s="45"/>
      <c r="B200" s="45"/>
      <c r="C200" s="45"/>
      <c r="D200" s="45"/>
      <c r="E200" s="45"/>
      <c r="F200" s="45"/>
    </row>
    <row r="201" ht="15.75" customHeight="1">
      <c r="A201" s="45"/>
      <c r="B201" s="45"/>
      <c r="C201" s="45"/>
      <c r="D201" s="45"/>
      <c r="E201" s="45"/>
      <c r="F201" s="45"/>
    </row>
    <row r="202" ht="15.75" customHeight="1">
      <c r="A202" s="45"/>
      <c r="B202" s="45"/>
      <c r="C202" s="45"/>
      <c r="D202" s="45"/>
      <c r="E202" s="45"/>
      <c r="F202" s="45"/>
    </row>
    <row r="203" ht="15.75" customHeight="1">
      <c r="A203" s="45"/>
      <c r="B203" s="45"/>
      <c r="C203" s="45"/>
      <c r="D203" s="45"/>
      <c r="E203" s="45"/>
      <c r="F203" s="45"/>
    </row>
    <row r="204" ht="15.75" customHeight="1">
      <c r="A204" s="45"/>
      <c r="B204" s="45"/>
      <c r="C204" s="45"/>
      <c r="D204" s="45"/>
      <c r="E204" s="45"/>
      <c r="F204" s="45"/>
    </row>
    <row r="205" ht="15.75" customHeight="1">
      <c r="A205" s="45"/>
      <c r="B205" s="45"/>
      <c r="C205" s="45"/>
      <c r="D205" s="45"/>
      <c r="E205" s="45"/>
      <c r="F205" s="45"/>
    </row>
    <row r="206" ht="15.75" customHeight="1">
      <c r="A206" s="45"/>
      <c r="B206" s="45"/>
      <c r="C206" s="45"/>
      <c r="D206" s="45"/>
      <c r="E206" s="45"/>
      <c r="F206" s="45"/>
    </row>
    <row r="207" ht="15.75" customHeight="1">
      <c r="A207" s="45"/>
      <c r="B207" s="45"/>
      <c r="C207" s="45"/>
      <c r="D207" s="45"/>
      <c r="E207" s="45"/>
      <c r="F207" s="45"/>
    </row>
    <row r="208" ht="15.75" customHeight="1">
      <c r="A208" s="45"/>
      <c r="B208" s="45"/>
      <c r="C208" s="45"/>
      <c r="D208" s="45"/>
      <c r="E208" s="45"/>
      <c r="F208" s="45"/>
    </row>
    <row r="209" ht="15.75" customHeight="1">
      <c r="A209" s="45"/>
      <c r="B209" s="45"/>
      <c r="C209" s="45"/>
      <c r="D209" s="45"/>
      <c r="E209" s="45"/>
      <c r="F209" s="45"/>
    </row>
    <row r="210" ht="15.75" customHeight="1">
      <c r="A210" s="45"/>
      <c r="B210" s="45"/>
      <c r="C210" s="45"/>
      <c r="D210" s="45"/>
      <c r="E210" s="45"/>
      <c r="F210" s="45"/>
    </row>
    <row r="211" ht="15.75" customHeight="1">
      <c r="A211" s="45"/>
      <c r="B211" s="45"/>
      <c r="C211" s="45"/>
      <c r="D211" s="45"/>
      <c r="E211" s="45"/>
      <c r="F211" s="45"/>
    </row>
    <row r="212" ht="15.75" customHeight="1">
      <c r="A212" s="45"/>
      <c r="B212" s="45"/>
      <c r="C212" s="45"/>
      <c r="D212" s="45"/>
      <c r="E212" s="45"/>
      <c r="F212" s="45"/>
    </row>
    <row r="213" ht="15.75" customHeight="1">
      <c r="A213" s="45"/>
      <c r="B213" s="45"/>
      <c r="C213" s="45"/>
      <c r="D213" s="45"/>
      <c r="E213" s="45"/>
      <c r="F213" s="45"/>
    </row>
    <row r="214" ht="15.75" customHeight="1">
      <c r="A214" s="45"/>
      <c r="B214" s="45"/>
      <c r="C214" s="45"/>
      <c r="D214" s="45"/>
      <c r="E214" s="45"/>
      <c r="F214" s="45"/>
    </row>
    <row r="215" ht="15.75" customHeight="1">
      <c r="A215" s="45"/>
      <c r="B215" s="45"/>
      <c r="C215" s="45"/>
      <c r="D215" s="45"/>
      <c r="E215" s="45"/>
      <c r="F215" s="45"/>
    </row>
    <row r="216" ht="15.75" customHeight="1">
      <c r="A216" s="45"/>
      <c r="B216" s="45"/>
      <c r="C216" s="45"/>
      <c r="D216" s="45"/>
      <c r="E216" s="45"/>
      <c r="F216" s="45"/>
    </row>
    <row r="217" ht="15.75" customHeight="1">
      <c r="A217" s="45"/>
      <c r="B217" s="45"/>
      <c r="C217" s="45"/>
      <c r="D217" s="45"/>
      <c r="E217" s="45"/>
      <c r="F217" s="45"/>
    </row>
    <row r="218" ht="15.75" customHeight="1">
      <c r="A218" s="45"/>
      <c r="B218" s="45"/>
      <c r="C218" s="45"/>
      <c r="D218" s="45"/>
      <c r="E218" s="45"/>
      <c r="F218" s="45"/>
    </row>
    <row r="219" ht="15.75" customHeight="1">
      <c r="A219" s="45"/>
      <c r="B219" s="45"/>
      <c r="C219" s="45"/>
      <c r="D219" s="45"/>
      <c r="E219" s="45"/>
      <c r="F219" s="45"/>
    </row>
    <row r="220" ht="15.75" customHeight="1">
      <c r="A220" s="45"/>
      <c r="B220" s="45"/>
      <c r="C220" s="45"/>
      <c r="D220" s="45"/>
      <c r="E220" s="45"/>
      <c r="F220" s="45"/>
    </row>
    <row r="221" ht="15.75" customHeight="1">
      <c r="A221" s="45"/>
      <c r="B221" s="45"/>
      <c r="C221" s="45"/>
      <c r="D221" s="45"/>
      <c r="E221" s="45"/>
      <c r="F221" s="45"/>
    </row>
    <row r="222" ht="15.75" customHeight="1">
      <c r="A222" s="45"/>
      <c r="B222" s="45"/>
      <c r="C222" s="45"/>
      <c r="D222" s="45"/>
      <c r="E222" s="45"/>
      <c r="F222" s="45"/>
    </row>
    <row r="223" ht="15.75" customHeight="1">
      <c r="A223" s="45"/>
      <c r="B223" s="45"/>
      <c r="C223" s="45"/>
      <c r="D223" s="45"/>
      <c r="E223" s="45"/>
      <c r="F223" s="45"/>
    </row>
    <row r="224" ht="15.75" customHeight="1">
      <c r="A224" s="45"/>
      <c r="B224" s="45"/>
      <c r="C224" s="45"/>
      <c r="D224" s="45"/>
      <c r="E224" s="45"/>
      <c r="F224" s="45"/>
    </row>
    <row r="225" ht="15.75" customHeight="1">
      <c r="A225" s="45"/>
      <c r="B225" s="45"/>
      <c r="C225" s="45"/>
      <c r="D225" s="45"/>
      <c r="E225" s="45"/>
      <c r="F225" s="45"/>
    </row>
    <row r="226" ht="15.75" customHeight="1">
      <c r="A226" s="45"/>
      <c r="B226" s="45"/>
      <c r="C226" s="45"/>
      <c r="D226" s="45"/>
      <c r="E226" s="45"/>
      <c r="F226" s="45"/>
    </row>
    <row r="227" ht="15.75" customHeight="1">
      <c r="A227" s="45"/>
      <c r="B227" s="45"/>
      <c r="C227" s="45"/>
      <c r="D227" s="45"/>
      <c r="E227" s="45"/>
      <c r="F227" s="45"/>
    </row>
    <row r="228" ht="15.75" customHeight="1">
      <c r="A228" s="45"/>
      <c r="B228" s="45"/>
      <c r="C228" s="45"/>
      <c r="D228" s="45"/>
      <c r="E228" s="45"/>
      <c r="F228" s="45"/>
    </row>
    <row r="229" ht="15.75" customHeight="1">
      <c r="A229" s="45"/>
      <c r="B229" s="45"/>
      <c r="C229" s="45"/>
      <c r="D229" s="45"/>
      <c r="E229" s="45"/>
      <c r="F229" s="45"/>
    </row>
    <row r="230" ht="15.75" customHeight="1">
      <c r="A230" s="45"/>
      <c r="B230" s="45"/>
      <c r="C230" s="45"/>
      <c r="D230" s="45"/>
      <c r="E230" s="45"/>
      <c r="F230" s="45"/>
    </row>
    <row r="231" ht="15.75" customHeight="1">
      <c r="A231" s="45"/>
      <c r="B231" s="45"/>
      <c r="C231" s="45"/>
      <c r="D231" s="45"/>
      <c r="E231" s="45"/>
      <c r="F231" s="45"/>
    </row>
    <row r="232" ht="15.75" customHeight="1">
      <c r="A232" s="45"/>
      <c r="B232" s="45"/>
      <c r="C232" s="45"/>
      <c r="D232" s="45"/>
      <c r="E232" s="45"/>
      <c r="F232" s="45"/>
    </row>
    <row r="233" ht="15.75" customHeight="1">
      <c r="A233" s="45"/>
      <c r="B233" s="45"/>
      <c r="C233" s="45"/>
      <c r="D233" s="45"/>
      <c r="E233" s="45"/>
      <c r="F233" s="45"/>
    </row>
    <row r="234" ht="15.75" customHeight="1">
      <c r="A234" s="45"/>
      <c r="B234" s="45"/>
      <c r="C234" s="45"/>
      <c r="D234" s="45"/>
      <c r="E234" s="45"/>
      <c r="F234" s="45"/>
    </row>
    <row r="235" ht="15.75" customHeight="1">
      <c r="A235" s="45"/>
      <c r="B235" s="45"/>
      <c r="C235" s="45"/>
      <c r="D235" s="45"/>
      <c r="E235" s="45"/>
      <c r="F235" s="45"/>
    </row>
    <row r="236" ht="15.75" customHeight="1">
      <c r="A236" s="45"/>
      <c r="B236" s="45"/>
      <c r="C236" s="45"/>
      <c r="D236" s="45"/>
      <c r="E236" s="45"/>
      <c r="F236" s="45"/>
    </row>
    <row r="237" ht="15.75" customHeight="1">
      <c r="A237" s="45"/>
      <c r="B237" s="45"/>
      <c r="C237" s="45"/>
      <c r="D237" s="45"/>
      <c r="E237" s="45"/>
      <c r="F237" s="45"/>
    </row>
    <row r="238" ht="15.75" customHeight="1">
      <c r="A238" s="45"/>
      <c r="B238" s="45"/>
      <c r="C238" s="45"/>
      <c r="D238" s="45"/>
      <c r="E238" s="45"/>
      <c r="F238" s="45"/>
    </row>
    <row r="239" ht="15.75" customHeight="1">
      <c r="A239" s="45"/>
      <c r="B239" s="45"/>
      <c r="C239" s="45"/>
      <c r="D239" s="45"/>
      <c r="E239" s="45"/>
      <c r="F239" s="45"/>
    </row>
    <row r="240" ht="15.75" customHeight="1">
      <c r="A240" s="45"/>
      <c r="B240" s="45"/>
      <c r="C240" s="45"/>
      <c r="D240" s="45"/>
      <c r="E240" s="45"/>
      <c r="F240" s="45"/>
    </row>
    <row r="241" ht="15.75" customHeight="1">
      <c r="A241" s="45"/>
      <c r="B241" s="45"/>
      <c r="C241" s="45"/>
      <c r="D241" s="45"/>
      <c r="E241" s="45"/>
      <c r="F241" s="45"/>
    </row>
    <row r="242" ht="15.75" customHeight="1">
      <c r="A242" s="45"/>
      <c r="B242" s="45"/>
      <c r="C242" s="45"/>
      <c r="D242" s="45"/>
      <c r="E242" s="45"/>
      <c r="F242" s="45"/>
    </row>
    <row r="243" ht="15.75" customHeight="1">
      <c r="A243" s="45"/>
      <c r="B243" s="45"/>
      <c r="C243" s="45"/>
      <c r="D243" s="45"/>
      <c r="E243" s="45"/>
      <c r="F243" s="45"/>
    </row>
    <row r="244" ht="15.75" customHeight="1">
      <c r="A244" s="45"/>
      <c r="B244" s="45"/>
      <c r="C244" s="45"/>
      <c r="D244" s="45"/>
      <c r="E244" s="45"/>
      <c r="F244" s="45"/>
    </row>
    <row r="245" ht="15.75" customHeight="1">
      <c r="A245" s="45"/>
      <c r="B245" s="45"/>
      <c r="C245" s="45"/>
      <c r="D245" s="45"/>
      <c r="E245" s="45"/>
      <c r="F245" s="45"/>
    </row>
    <row r="246" ht="15.75" customHeight="1">
      <c r="A246" s="45"/>
      <c r="B246" s="45"/>
      <c r="C246" s="45"/>
      <c r="D246" s="45"/>
      <c r="E246" s="45"/>
      <c r="F246" s="45"/>
    </row>
    <row r="247" ht="15.75" customHeight="1">
      <c r="A247" s="45"/>
      <c r="B247" s="45"/>
      <c r="C247" s="45"/>
      <c r="D247" s="45"/>
      <c r="E247" s="45"/>
      <c r="F247" s="45"/>
    </row>
    <row r="248" ht="15.75" customHeight="1">
      <c r="A248" s="45"/>
      <c r="B248" s="45"/>
      <c r="C248" s="45"/>
      <c r="D248" s="45"/>
      <c r="E248" s="45"/>
      <c r="F248" s="45"/>
    </row>
    <row r="249" ht="15.75" customHeight="1">
      <c r="A249" s="45"/>
      <c r="B249" s="45"/>
      <c r="C249" s="45"/>
      <c r="D249" s="45"/>
      <c r="E249" s="45"/>
      <c r="F249" s="45"/>
    </row>
    <row r="250" ht="15.75" customHeight="1">
      <c r="A250" s="45"/>
      <c r="B250" s="45"/>
      <c r="C250" s="45"/>
      <c r="D250" s="45"/>
      <c r="E250" s="45"/>
      <c r="F250" s="45"/>
    </row>
    <row r="251" ht="15.75" customHeight="1">
      <c r="A251" s="45"/>
      <c r="B251" s="45"/>
      <c r="C251" s="45"/>
      <c r="D251" s="45"/>
      <c r="E251" s="45"/>
      <c r="F251" s="45"/>
    </row>
    <row r="252" ht="15.75" customHeight="1">
      <c r="A252" s="45"/>
      <c r="B252" s="45"/>
      <c r="C252" s="45"/>
      <c r="D252" s="45"/>
      <c r="E252" s="45"/>
      <c r="F252" s="45"/>
    </row>
    <row r="253" ht="15.75" customHeight="1">
      <c r="A253" s="45"/>
      <c r="B253" s="45"/>
      <c r="C253" s="45"/>
      <c r="D253" s="45"/>
      <c r="E253" s="45"/>
      <c r="F253" s="45"/>
    </row>
    <row r="254" ht="15.75" customHeight="1">
      <c r="A254" s="45"/>
      <c r="B254" s="45"/>
      <c r="C254" s="45"/>
      <c r="D254" s="45"/>
      <c r="E254" s="45"/>
      <c r="F254" s="45"/>
    </row>
    <row r="255" ht="15.75" customHeight="1">
      <c r="A255" s="45"/>
      <c r="B255" s="45"/>
      <c r="C255" s="45"/>
      <c r="D255" s="45"/>
      <c r="E255" s="45"/>
      <c r="F255" s="45"/>
    </row>
    <row r="256" ht="15.75" customHeight="1">
      <c r="A256" s="45"/>
      <c r="B256" s="45"/>
      <c r="C256" s="45"/>
      <c r="D256" s="45"/>
      <c r="E256" s="45"/>
      <c r="F256" s="45"/>
    </row>
    <row r="257" ht="15.75" customHeight="1">
      <c r="A257" s="45"/>
      <c r="B257" s="45"/>
      <c r="C257" s="45"/>
      <c r="D257" s="45"/>
      <c r="E257" s="45"/>
      <c r="F257" s="45"/>
    </row>
    <row r="258" ht="15.75" customHeight="1">
      <c r="A258" s="45"/>
      <c r="B258" s="45"/>
      <c r="C258" s="45"/>
      <c r="D258" s="45"/>
      <c r="E258" s="45"/>
      <c r="F258" s="45"/>
    </row>
    <row r="259" ht="15.75" customHeight="1">
      <c r="A259" s="45"/>
      <c r="B259" s="45"/>
      <c r="C259" s="45"/>
      <c r="D259" s="45"/>
      <c r="E259" s="45"/>
      <c r="F259" s="45"/>
    </row>
    <row r="260" ht="15.75" customHeight="1">
      <c r="A260" s="45"/>
      <c r="B260" s="45"/>
      <c r="C260" s="45"/>
      <c r="D260" s="45"/>
      <c r="E260" s="45"/>
      <c r="F260" s="45"/>
    </row>
    <row r="261" ht="15.75" customHeight="1">
      <c r="A261" s="45"/>
      <c r="B261" s="45"/>
      <c r="C261" s="45"/>
      <c r="D261" s="45"/>
      <c r="E261" s="45"/>
      <c r="F261" s="45"/>
    </row>
    <row r="262" ht="15.75" customHeight="1">
      <c r="A262" s="45"/>
      <c r="B262" s="45"/>
      <c r="C262" s="45"/>
      <c r="D262" s="45"/>
      <c r="E262" s="45"/>
      <c r="F262" s="45"/>
    </row>
    <row r="263" ht="15.75" customHeight="1">
      <c r="A263" s="45"/>
      <c r="B263" s="45"/>
      <c r="C263" s="45"/>
      <c r="D263" s="45"/>
      <c r="E263" s="45"/>
      <c r="F263" s="45"/>
    </row>
    <row r="264" ht="15.75" customHeight="1">
      <c r="A264" s="45"/>
      <c r="B264" s="45"/>
      <c r="C264" s="45"/>
      <c r="D264" s="45"/>
      <c r="E264" s="45"/>
      <c r="F264" s="45"/>
    </row>
    <row r="265" ht="15.75" customHeight="1">
      <c r="A265" s="45"/>
      <c r="B265" s="45"/>
      <c r="C265" s="45"/>
      <c r="D265" s="45"/>
      <c r="E265" s="45"/>
      <c r="F265" s="45"/>
    </row>
    <row r="266" ht="15.75" customHeight="1">
      <c r="A266" s="45"/>
      <c r="B266" s="45"/>
      <c r="C266" s="45"/>
      <c r="D266" s="45"/>
      <c r="E266" s="45"/>
      <c r="F266" s="45"/>
    </row>
    <row r="267" ht="15.75" customHeight="1">
      <c r="A267" s="45"/>
      <c r="B267" s="45"/>
      <c r="C267" s="45"/>
      <c r="D267" s="45"/>
      <c r="E267" s="45"/>
      <c r="F267" s="45"/>
    </row>
    <row r="268" ht="15.75" customHeight="1">
      <c r="A268" s="45"/>
      <c r="B268" s="45"/>
      <c r="C268" s="45"/>
      <c r="D268" s="45"/>
      <c r="E268" s="45"/>
      <c r="F268" s="45"/>
    </row>
    <row r="269" ht="15.75" customHeight="1">
      <c r="A269" s="45"/>
      <c r="B269" s="45"/>
      <c r="C269" s="45"/>
      <c r="D269" s="45"/>
      <c r="E269" s="45"/>
      <c r="F269" s="45"/>
    </row>
    <row r="270" ht="15.75" customHeight="1">
      <c r="A270" s="45"/>
      <c r="B270" s="45"/>
      <c r="C270" s="45"/>
      <c r="D270" s="45"/>
      <c r="E270" s="45"/>
      <c r="F270" s="45"/>
    </row>
    <row r="271" ht="15.75" customHeight="1">
      <c r="A271" s="45"/>
      <c r="B271" s="45"/>
      <c r="C271" s="45"/>
      <c r="D271" s="45"/>
      <c r="E271" s="45"/>
      <c r="F271" s="45"/>
    </row>
    <row r="272" ht="15.75" customHeight="1">
      <c r="A272" s="45"/>
      <c r="B272" s="45"/>
      <c r="C272" s="45"/>
      <c r="D272" s="45"/>
      <c r="E272" s="45"/>
      <c r="F272" s="45"/>
    </row>
    <row r="273" ht="15.75" customHeight="1">
      <c r="A273" s="45"/>
      <c r="B273" s="45"/>
      <c r="C273" s="45"/>
      <c r="D273" s="45"/>
      <c r="E273" s="45"/>
      <c r="F273" s="45"/>
    </row>
    <row r="274" ht="15.75" customHeight="1">
      <c r="A274" s="45"/>
      <c r="B274" s="45"/>
      <c r="C274" s="45"/>
      <c r="D274" s="45"/>
      <c r="E274" s="45"/>
      <c r="F274" s="45"/>
    </row>
    <row r="275" ht="15.75" customHeight="1">
      <c r="A275" s="45"/>
      <c r="B275" s="45"/>
      <c r="C275" s="45"/>
      <c r="D275" s="45"/>
      <c r="E275" s="45"/>
      <c r="F275" s="45"/>
    </row>
    <row r="276" ht="15.75" customHeight="1">
      <c r="A276" s="45"/>
      <c r="B276" s="45"/>
      <c r="C276" s="45"/>
      <c r="D276" s="45"/>
      <c r="E276" s="45"/>
      <c r="F276" s="45"/>
    </row>
    <row r="277" ht="15.75" customHeight="1">
      <c r="A277" s="45"/>
      <c r="B277" s="45"/>
      <c r="C277" s="45"/>
      <c r="D277" s="45"/>
      <c r="E277" s="45"/>
      <c r="F277" s="45"/>
    </row>
    <row r="278" ht="15.75" customHeight="1">
      <c r="A278" s="45"/>
      <c r="B278" s="45"/>
      <c r="C278" s="45"/>
      <c r="D278" s="45"/>
      <c r="E278" s="45"/>
      <c r="F278" s="45"/>
    </row>
    <row r="279" ht="15.75" customHeight="1">
      <c r="A279" s="45"/>
      <c r="B279" s="45"/>
      <c r="C279" s="45"/>
      <c r="D279" s="45"/>
      <c r="E279" s="45"/>
      <c r="F279" s="45"/>
    </row>
    <row r="280" ht="15.75" customHeight="1">
      <c r="A280" s="45"/>
      <c r="B280" s="45"/>
      <c r="C280" s="45"/>
      <c r="D280" s="45"/>
      <c r="E280" s="45"/>
      <c r="F280" s="45"/>
    </row>
    <row r="281" ht="15.75" customHeight="1">
      <c r="A281" s="45"/>
      <c r="B281" s="45"/>
      <c r="C281" s="45"/>
      <c r="D281" s="45"/>
      <c r="E281" s="45"/>
      <c r="F281" s="45"/>
    </row>
    <row r="282" ht="15.75" customHeight="1">
      <c r="A282" s="45"/>
      <c r="B282" s="45"/>
      <c r="C282" s="45"/>
      <c r="D282" s="45"/>
      <c r="E282" s="45"/>
      <c r="F282" s="45"/>
    </row>
    <row r="283" ht="15.75" customHeight="1">
      <c r="A283" s="45"/>
      <c r="B283" s="45"/>
      <c r="C283" s="45"/>
      <c r="D283" s="45"/>
      <c r="E283" s="45"/>
      <c r="F283" s="45"/>
    </row>
    <row r="284" ht="15.75" customHeight="1">
      <c r="A284" s="45"/>
      <c r="B284" s="45"/>
      <c r="C284" s="45"/>
      <c r="D284" s="45"/>
      <c r="E284" s="45"/>
      <c r="F284" s="45"/>
    </row>
    <row r="285" ht="15.75" customHeight="1">
      <c r="A285" s="45"/>
      <c r="B285" s="45"/>
      <c r="C285" s="45"/>
      <c r="D285" s="45"/>
      <c r="E285" s="45"/>
      <c r="F285" s="45"/>
    </row>
    <row r="286" ht="15.75" customHeight="1">
      <c r="A286" s="45"/>
      <c r="B286" s="45"/>
      <c r="C286" s="45"/>
      <c r="D286" s="45"/>
      <c r="E286" s="45"/>
      <c r="F286" s="45"/>
    </row>
    <row r="287" ht="15.75" customHeight="1">
      <c r="A287" s="45"/>
      <c r="B287" s="45"/>
      <c r="C287" s="45"/>
      <c r="D287" s="45"/>
      <c r="E287" s="45"/>
      <c r="F287" s="45"/>
    </row>
    <row r="288" ht="15.75" customHeight="1">
      <c r="A288" s="45"/>
      <c r="B288" s="45"/>
      <c r="C288" s="45"/>
      <c r="D288" s="45"/>
      <c r="E288" s="45"/>
      <c r="F288" s="45"/>
    </row>
    <row r="289" ht="15.75" customHeight="1">
      <c r="A289" s="45"/>
      <c r="B289" s="45"/>
      <c r="C289" s="45"/>
      <c r="D289" s="45"/>
      <c r="E289" s="45"/>
      <c r="F289" s="45"/>
    </row>
    <row r="290" ht="15.75" customHeight="1">
      <c r="A290" s="45"/>
      <c r="B290" s="45"/>
      <c r="C290" s="45"/>
      <c r="D290" s="45"/>
      <c r="E290" s="45"/>
      <c r="F290" s="45"/>
    </row>
    <row r="291" ht="15.75" customHeight="1">
      <c r="A291" s="45"/>
      <c r="B291" s="45"/>
      <c r="C291" s="45"/>
      <c r="D291" s="45"/>
      <c r="E291" s="45"/>
      <c r="F291" s="45"/>
    </row>
    <row r="292" ht="15.75" customHeight="1">
      <c r="A292" s="45"/>
      <c r="B292" s="45"/>
      <c r="C292" s="45"/>
      <c r="D292" s="45"/>
      <c r="E292" s="45"/>
      <c r="F292" s="45"/>
    </row>
    <row r="293" ht="15.75" customHeight="1">
      <c r="A293" s="45"/>
      <c r="B293" s="45"/>
      <c r="C293" s="45"/>
      <c r="D293" s="45"/>
      <c r="E293" s="45"/>
      <c r="F293" s="45"/>
    </row>
    <row r="294" ht="15.75" customHeight="1">
      <c r="A294" s="45"/>
      <c r="B294" s="45"/>
      <c r="C294" s="45"/>
      <c r="D294" s="45"/>
      <c r="E294" s="45"/>
      <c r="F294" s="45"/>
    </row>
    <row r="295" ht="15.75" customHeight="1">
      <c r="A295" s="45"/>
      <c r="B295" s="45"/>
      <c r="C295" s="45"/>
      <c r="D295" s="45"/>
      <c r="E295" s="45"/>
      <c r="F295" s="45"/>
    </row>
    <row r="296" ht="15.75" customHeight="1">
      <c r="A296" s="45"/>
      <c r="B296" s="45"/>
      <c r="C296" s="45"/>
      <c r="D296" s="45"/>
      <c r="E296" s="45"/>
      <c r="F296" s="45"/>
    </row>
    <row r="297" ht="15.75" customHeight="1">
      <c r="A297" s="45"/>
      <c r="B297" s="45"/>
      <c r="C297" s="45"/>
      <c r="D297" s="45"/>
      <c r="E297" s="45"/>
      <c r="F297" s="45"/>
    </row>
    <row r="298" ht="15.75" customHeight="1">
      <c r="A298" s="45"/>
      <c r="B298" s="45"/>
      <c r="C298" s="45"/>
      <c r="D298" s="45"/>
      <c r="E298" s="45"/>
      <c r="F298" s="45"/>
    </row>
    <row r="299" ht="15.75" customHeight="1">
      <c r="A299" s="45"/>
      <c r="B299" s="45"/>
      <c r="C299" s="45"/>
      <c r="D299" s="45"/>
      <c r="E299" s="45"/>
      <c r="F299" s="45"/>
    </row>
    <row r="300" ht="15.75" customHeight="1">
      <c r="A300" s="45"/>
      <c r="B300" s="45"/>
      <c r="C300" s="45"/>
      <c r="D300" s="45"/>
      <c r="E300" s="45"/>
      <c r="F300" s="45"/>
    </row>
    <row r="301" ht="15.75" customHeight="1">
      <c r="A301" s="45"/>
      <c r="B301" s="45"/>
      <c r="C301" s="45"/>
      <c r="D301" s="45"/>
      <c r="E301" s="45"/>
      <c r="F301" s="45"/>
    </row>
    <row r="302" ht="15.75" customHeight="1">
      <c r="A302" s="45"/>
      <c r="B302" s="45"/>
      <c r="C302" s="45"/>
      <c r="D302" s="45"/>
      <c r="E302" s="45"/>
      <c r="F302" s="45"/>
    </row>
    <row r="303" ht="15.75" customHeight="1">
      <c r="A303" s="45"/>
      <c r="B303" s="45"/>
      <c r="C303" s="45"/>
      <c r="D303" s="45"/>
      <c r="E303" s="45"/>
      <c r="F303" s="45"/>
    </row>
    <row r="304" ht="15.75" customHeight="1">
      <c r="A304" s="45"/>
      <c r="B304" s="45"/>
      <c r="C304" s="45"/>
      <c r="D304" s="45"/>
      <c r="E304" s="45"/>
      <c r="F304" s="45"/>
    </row>
    <row r="305" ht="15.75" customHeight="1">
      <c r="A305" s="45"/>
      <c r="B305" s="45"/>
      <c r="C305" s="45"/>
      <c r="D305" s="45"/>
      <c r="E305" s="45"/>
      <c r="F305" s="45"/>
    </row>
    <row r="306" ht="15.75" customHeight="1">
      <c r="A306" s="45"/>
      <c r="B306" s="45"/>
      <c r="C306" s="45"/>
      <c r="D306" s="45"/>
      <c r="E306" s="45"/>
      <c r="F306" s="45"/>
    </row>
    <row r="307" ht="15.75" customHeight="1">
      <c r="A307" s="45"/>
      <c r="B307" s="45"/>
      <c r="C307" s="45"/>
      <c r="D307" s="45"/>
      <c r="E307" s="45"/>
      <c r="F307" s="45"/>
    </row>
    <row r="308" ht="15.75" customHeight="1">
      <c r="A308" s="45"/>
      <c r="B308" s="45"/>
      <c r="C308" s="45"/>
      <c r="D308" s="45"/>
      <c r="E308" s="45"/>
      <c r="F308" s="45"/>
    </row>
    <row r="309" ht="15.75" customHeight="1">
      <c r="A309" s="45"/>
      <c r="B309" s="45"/>
      <c r="C309" s="45"/>
      <c r="D309" s="45"/>
      <c r="E309" s="45"/>
      <c r="F309" s="45"/>
    </row>
    <row r="310" ht="15.75" customHeight="1">
      <c r="A310" s="45"/>
      <c r="B310" s="45"/>
      <c r="C310" s="45"/>
      <c r="D310" s="45"/>
      <c r="E310" s="45"/>
      <c r="F310" s="45"/>
    </row>
    <row r="311" ht="15.75" customHeight="1">
      <c r="A311" s="45"/>
      <c r="B311" s="45"/>
      <c r="C311" s="45"/>
      <c r="D311" s="45"/>
      <c r="E311" s="45"/>
      <c r="F311" s="45"/>
    </row>
    <row r="312" ht="15.75" customHeight="1">
      <c r="A312" s="45"/>
      <c r="B312" s="45"/>
      <c r="C312" s="45"/>
      <c r="D312" s="45"/>
      <c r="E312" s="45"/>
      <c r="F312" s="45"/>
    </row>
    <row r="313" ht="15.75" customHeight="1">
      <c r="A313" s="45"/>
      <c r="B313" s="45"/>
      <c r="C313" s="45"/>
      <c r="D313" s="45"/>
      <c r="E313" s="45"/>
      <c r="F313" s="45"/>
    </row>
    <row r="314" ht="15.75" customHeight="1">
      <c r="A314" s="45"/>
      <c r="B314" s="45"/>
      <c r="C314" s="45"/>
      <c r="D314" s="45"/>
      <c r="E314" s="45"/>
      <c r="F314" s="45"/>
    </row>
    <row r="315" ht="15.75" customHeight="1">
      <c r="A315" s="45"/>
      <c r="B315" s="45"/>
      <c r="C315" s="45"/>
      <c r="D315" s="45"/>
      <c r="E315" s="45"/>
      <c r="F315" s="45"/>
    </row>
    <row r="316" ht="15.75" customHeight="1">
      <c r="A316" s="45"/>
      <c r="B316" s="45"/>
      <c r="C316" s="45"/>
      <c r="D316" s="45"/>
      <c r="E316" s="45"/>
      <c r="F316" s="45"/>
    </row>
    <row r="317" ht="15.75" customHeight="1">
      <c r="A317" s="45"/>
      <c r="B317" s="45"/>
      <c r="C317" s="45"/>
      <c r="D317" s="45"/>
      <c r="E317" s="45"/>
      <c r="F317" s="45"/>
    </row>
    <row r="318" ht="15.75" customHeight="1">
      <c r="A318" s="45"/>
      <c r="B318" s="45"/>
      <c r="C318" s="45"/>
      <c r="D318" s="45"/>
      <c r="E318" s="45"/>
      <c r="F318" s="45"/>
    </row>
    <row r="319" ht="15.75" customHeight="1">
      <c r="A319" s="45"/>
      <c r="B319" s="45"/>
      <c r="C319" s="45"/>
      <c r="D319" s="45"/>
      <c r="E319" s="45"/>
      <c r="F319" s="45"/>
    </row>
    <row r="320" ht="15.75" customHeight="1">
      <c r="A320" s="45"/>
      <c r="B320" s="45"/>
      <c r="C320" s="45"/>
      <c r="D320" s="45"/>
      <c r="E320" s="45"/>
      <c r="F320" s="45"/>
    </row>
    <row r="321" ht="15.75" customHeight="1">
      <c r="A321" s="45"/>
      <c r="B321" s="45"/>
      <c r="C321" s="45"/>
      <c r="D321" s="45"/>
      <c r="E321" s="45"/>
      <c r="F321" s="45"/>
    </row>
    <row r="322" ht="15.75" customHeight="1">
      <c r="A322" s="45"/>
      <c r="B322" s="45"/>
      <c r="C322" s="45"/>
      <c r="D322" s="45"/>
      <c r="E322" s="45"/>
      <c r="F322" s="45"/>
    </row>
    <row r="323" ht="15.75" customHeight="1">
      <c r="A323" s="45"/>
      <c r="B323" s="45"/>
      <c r="C323" s="45"/>
      <c r="D323" s="45"/>
      <c r="E323" s="45"/>
      <c r="F323" s="45"/>
    </row>
    <row r="324" ht="15.75" customHeight="1">
      <c r="A324" s="45"/>
      <c r="B324" s="45"/>
      <c r="C324" s="45"/>
      <c r="D324" s="45"/>
      <c r="E324" s="45"/>
      <c r="F324" s="45"/>
    </row>
    <row r="325" ht="15.75" customHeight="1">
      <c r="A325" s="45"/>
      <c r="B325" s="45"/>
      <c r="C325" s="45"/>
      <c r="D325" s="45"/>
      <c r="E325" s="45"/>
      <c r="F325" s="45"/>
    </row>
    <row r="326" ht="15.75" customHeight="1">
      <c r="A326" s="45"/>
      <c r="B326" s="45"/>
      <c r="C326" s="45"/>
      <c r="D326" s="45"/>
      <c r="E326" s="45"/>
      <c r="F326" s="45"/>
    </row>
    <row r="327" ht="15.75" customHeight="1">
      <c r="A327" s="45"/>
      <c r="B327" s="45"/>
      <c r="C327" s="45"/>
      <c r="D327" s="45"/>
      <c r="E327" s="45"/>
      <c r="F327" s="45"/>
    </row>
    <row r="328" ht="15.75" customHeight="1">
      <c r="A328" s="45"/>
      <c r="B328" s="45"/>
      <c r="C328" s="45"/>
      <c r="D328" s="45"/>
      <c r="E328" s="45"/>
      <c r="F328" s="45"/>
    </row>
    <row r="329" ht="15.75" customHeight="1">
      <c r="A329" s="45"/>
      <c r="B329" s="45"/>
      <c r="C329" s="45"/>
      <c r="D329" s="45"/>
      <c r="E329" s="45"/>
      <c r="F329" s="45"/>
    </row>
    <row r="330" ht="15.75" customHeight="1">
      <c r="A330" s="45"/>
      <c r="B330" s="45"/>
      <c r="C330" s="45"/>
      <c r="D330" s="45"/>
      <c r="E330" s="45"/>
      <c r="F330" s="45"/>
    </row>
    <row r="331" ht="15.75" customHeight="1">
      <c r="A331" s="45"/>
      <c r="B331" s="45"/>
      <c r="C331" s="45"/>
      <c r="D331" s="45"/>
      <c r="E331" s="45"/>
      <c r="F331" s="45"/>
    </row>
    <row r="332" ht="15.75" customHeight="1">
      <c r="A332" s="45"/>
      <c r="B332" s="45"/>
      <c r="C332" s="45"/>
      <c r="D332" s="45"/>
      <c r="E332" s="45"/>
      <c r="F332" s="45"/>
    </row>
    <row r="333" ht="15.75" customHeight="1">
      <c r="A333" s="45"/>
      <c r="B333" s="45"/>
      <c r="C333" s="45"/>
      <c r="D333" s="45"/>
      <c r="E333" s="45"/>
      <c r="F333" s="45"/>
    </row>
    <row r="334" ht="15.75" customHeight="1">
      <c r="A334" s="45"/>
      <c r="B334" s="45"/>
      <c r="C334" s="45"/>
      <c r="D334" s="45"/>
      <c r="E334" s="45"/>
      <c r="F334" s="45"/>
    </row>
    <row r="335" ht="15.75" customHeight="1">
      <c r="A335" s="45"/>
      <c r="B335" s="45"/>
      <c r="C335" s="45"/>
      <c r="D335" s="45"/>
      <c r="E335" s="45"/>
      <c r="F335" s="45"/>
    </row>
    <row r="336" ht="15.75" customHeight="1">
      <c r="A336" s="45"/>
      <c r="B336" s="45"/>
      <c r="C336" s="45"/>
      <c r="D336" s="45"/>
      <c r="E336" s="45"/>
      <c r="F336" s="45"/>
    </row>
    <row r="337" ht="15.75" customHeight="1">
      <c r="A337" s="45"/>
      <c r="B337" s="45"/>
      <c r="C337" s="45"/>
      <c r="D337" s="45"/>
      <c r="E337" s="45"/>
      <c r="F337" s="45"/>
    </row>
    <row r="338" ht="15.75" customHeight="1">
      <c r="A338" s="45"/>
      <c r="B338" s="45"/>
      <c r="C338" s="45"/>
      <c r="D338" s="45"/>
      <c r="E338" s="45"/>
      <c r="F338" s="45"/>
    </row>
    <row r="339" ht="15.75" customHeight="1">
      <c r="A339" s="45"/>
      <c r="B339" s="45"/>
      <c r="C339" s="45"/>
      <c r="D339" s="45"/>
      <c r="E339" s="45"/>
      <c r="F339" s="45"/>
    </row>
    <row r="340" ht="15.75" customHeight="1">
      <c r="A340" s="45"/>
      <c r="B340" s="45"/>
      <c r="C340" s="45"/>
      <c r="D340" s="45"/>
      <c r="E340" s="45"/>
      <c r="F340" s="45"/>
    </row>
    <row r="341" ht="15.75" customHeight="1">
      <c r="A341" s="45"/>
      <c r="B341" s="45"/>
      <c r="C341" s="45"/>
      <c r="D341" s="45"/>
      <c r="E341" s="45"/>
      <c r="F341" s="45"/>
    </row>
    <row r="342" ht="15.75" customHeight="1">
      <c r="A342" s="45"/>
      <c r="B342" s="45"/>
      <c r="C342" s="45"/>
      <c r="D342" s="45"/>
      <c r="E342" s="45"/>
      <c r="F342" s="45"/>
    </row>
    <row r="343" ht="15.75" customHeight="1">
      <c r="A343" s="45"/>
      <c r="B343" s="45"/>
      <c r="C343" s="45"/>
      <c r="D343" s="45"/>
      <c r="E343" s="45"/>
      <c r="F343" s="45"/>
    </row>
    <row r="344" ht="15.75" customHeight="1">
      <c r="A344" s="45"/>
      <c r="B344" s="45"/>
      <c r="C344" s="45"/>
      <c r="D344" s="45"/>
      <c r="E344" s="45"/>
      <c r="F344" s="45"/>
    </row>
    <row r="345" ht="15.75" customHeight="1">
      <c r="A345" s="45"/>
      <c r="B345" s="45"/>
      <c r="C345" s="45"/>
      <c r="D345" s="45"/>
      <c r="E345" s="45"/>
      <c r="F345" s="45"/>
    </row>
    <row r="346" ht="15.75" customHeight="1">
      <c r="A346" s="45"/>
      <c r="B346" s="45"/>
      <c r="C346" s="45"/>
      <c r="D346" s="45"/>
      <c r="E346" s="45"/>
      <c r="F346" s="45"/>
    </row>
    <row r="347" ht="15.75" customHeight="1">
      <c r="A347" s="45"/>
      <c r="B347" s="45"/>
      <c r="C347" s="45"/>
      <c r="D347" s="45"/>
      <c r="E347" s="45"/>
      <c r="F347" s="45"/>
    </row>
    <row r="348" ht="15.75" customHeight="1">
      <c r="A348" s="45"/>
      <c r="B348" s="45"/>
      <c r="C348" s="45"/>
      <c r="D348" s="45"/>
      <c r="E348" s="45"/>
      <c r="F348" s="45"/>
    </row>
    <row r="349" ht="15.75" customHeight="1">
      <c r="A349" s="45"/>
      <c r="B349" s="45"/>
      <c r="C349" s="45"/>
      <c r="D349" s="45"/>
      <c r="E349" s="45"/>
      <c r="F349" s="45"/>
    </row>
    <row r="350" ht="15.75" customHeight="1">
      <c r="A350" s="45"/>
      <c r="B350" s="45"/>
      <c r="C350" s="45"/>
      <c r="D350" s="45"/>
      <c r="E350" s="45"/>
      <c r="F350" s="45"/>
    </row>
    <row r="351" ht="15.75" customHeight="1">
      <c r="A351" s="45"/>
      <c r="B351" s="45"/>
      <c r="C351" s="45"/>
      <c r="D351" s="45"/>
      <c r="E351" s="45"/>
      <c r="F351" s="45"/>
    </row>
    <row r="352" ht="15.75" customHeight="1">
      <c r="A352" s="45"/>
      <c r="B352" s="45"/>
      <c r="C352" s="45"/>
      <c r="D352" s="45"/>
      <c r="E352" s="45"/>
      <c r="F352" s="45"/>
    </row>
    <row r="353" ht="15.75" customHeight="1">
      <c r="A353" s="45"/>
      <c r="B353" s="45"/>
      <c r="C353" s="45"/>
      <c r="D353" s="45"/>
      <c r="E353" s="45"/>
      <c r="F353" s="45"/>
    </row>
    <row r="354" ht="15.75" customHeight="1">
      <c r="A354" s="45"/>
      <c r="B354" s="45"/>
      <c r="C354" s="45"/>
      <c r="D354" s="45"/>
      <c r="E354" s="45"/>
      <c r="F354" s="45"/>
    </row>
    <row r="355" ht="15.75" customHeight="1">
      <c r="A355" s="45"/>
      <c r="B355" s="45"/>
      <c r="C355" s="45"/>
      <c r="D355" s="45"/>
      <c r="E355" s="45"/>
      <c r="F355" s="45"/>
    </row>
    <row r="356" ht="15.75" customHeight="1">
      <c r="A356" s="45"/>
      <c r="B356" s="45"/>
      <c r="C356" s="45"/>
      <c r="D356" s="45"/>
      <c r="E356" s="45"/>
      <c r="F356" s="45"/>
    </row>
    <row r="357" ht="15.75" customHeight="1">
      <c r="A357" s="45"/>
      <c r="B357" s="45"/>
      <c r="C357" s="45"/>
      <c r="D357" s="45"/>
      <c r="E357" s="45"/>
      <c r="F357" s="45"/>
    </row>
    <row r="358" ht="15.75" customHeight="1">
      <c r="A358" s="45"/>
      <c r="B358" s="45"/>
      <c r="C358" s="45"/>
      <c r="D358" s="45"/>
      <c r="E358" s="45"/>
      <c r="F358" s="45"/>
    </row>
    <row r="359" ht="15.75" customHeight="1">
      <c r="A359" s="45"/>
      <c r="B359" s="45"/>
      <c r="C359" s="45"/>
      <c r="D359" s="45"/>
      <c r="E359" s="45"/>
      <c r="F359" s="45"/>
    </row>
    <row r="360" ht="15.75" customHeight="1">
      <c r="A360" s="45"/>
      <c r="B360" s="45"/>
      <c r="C360" s="45"/>
      <c r="D360" s="45"/>
      <c r="E360" s="45"/>
      <c r="F360" s="45"/>
    </row>
    <row r="361" ht="15.75" customHeight="1">
      <c r="A361" s="45"/>
      <c r="B361" s="45"/>
      <c r="C361" s="45"/>
      <c r="D361" s="45"/>
      <c r="E361" s="45"/>
      <c r="F361" s="45"/>
    </row>
    <row r="362" ht="15.75" customHeight="1">
      <c r="A362" s="45"/>
      <c r="B362" s="45"/>
      <c r="C362" s="45"/>
      <c r="D362" s="45"/>
      <c r="E362" s="45"/>
      <c r="F362" s="45"/>
    </row>
    <row r="363" ht="15.75" customHeight="1">
      <c r="A363" s="45"/>
      <c r="B363" s="45"/>
      <c r="C363" s="45"/>
      <c r="D363" s="45"/>
      <c r="E363" s="45"/>
      <c r="F363" s="45"/>
    </row>
    <row r="364" ht="15.75" customHeight="1">
      <c r="A364" s="45"/>
      <c r="B364" s="45"/>
      <c r="C364" s="45"/>
      <c r="D364" s="45"/>
      <c r="E364" s="45"/>
      <c r="F364" s="45"/>
    </row>
    <row r="365" ht="15.75" customHeight="1">
      <c r="A365" s="45"/>
      <c r="B365" s="45"/>
      <c r="C365" s="45"/>
      <c r="D365" s="45"/>
      <c r="E365" s="45"/>
      <c r="F365" s="45"/>
    </row>
    <row r="366" ht="15.75" customHeight="1">
      <c r="A366" s="45"/>
      <c r="B366" s="45"/>
      <c r="C366" s="45"/>
      <c r="D366" s="45"/>
      <c r="E366" s="45"/>
      <c r="F366" s="45"/>
    </row>
    <row r="367" ht="15.75" customHeight="1">
      <c r="A367" s="45"/>
      <c r="B367" s="45"/>
      <c r="C367" s="45"/>
      <c r="D367" s="45"/>
      <c r="E367" s="45"/>
      <c r="F367" s="45"/>
    </row>
    <row r="368" ht="15.75" customHeight="1">
      <c r="A368" s="45"/>
      <c r="B368" s="45"/>
      <c r="C368" s="45"/>
      <c r="D368" s="45"/>
      <c r="E368" s="45"/>
      <c r="F368" s="45"/>
    </row>
    <row r="369" ht="15.75" customHeight="1">
      <c r="A369" s="45"/>
      <c r="B369" s="45"/>
      <c r="C369" s="45"/>
      <c r="D369" s="45"/>
      <c r="E369" s="45"/>
      <c r="F369" s="45"/>
    </row>
    <row r="370" ht="15.75" customHeight="1">
      <c r="A370" s="45"/>
      <c r="B370" s="45"/>
      <c r="C370" s="45"/>
      <c r="D370" s="45"/>
      <c r="E370" s="45"/>
      <c r="F370" s="45"/>
    </row>
    <row r="371" ht="15.75" customHeight="1">
      <c r="A371" s="45"/>
      <c r="B371" s="45"/>
      <c r="C371" s="45"/>
      <c r="D371" s="45"/>
      <c r="E371" s="45"/>
      <c r="F371" s="45"/>
    </row>
    <row r="372" ht="15.75" customHeight="1">
      <c r="A372" s="45"/>
      <c r="B372" s="45"/>
      <c r="C372" s="45"/>
      <c r="D372" s="45"/>
      <c r="E372" s="45"/>
      <c r="F372" s="45"/>
    </row>
    <row r="373" ht="15.75" customHeight="1">
      <c r="A373" s="45"/>
      <c r="B373" s="45"/>
      <c r="C373" s="45"/>
      <c r="D373" s="45"/>
      <c r="E373" s="45"/>
      <c r="F373" s="45"/>
    </row>
    <row r="374" ht="15.75" customHeight="1">
      <c r="A374" s="45"/>
      <c r="B374" s="45"/>
      <c r="C374" s="45"/>
      <c r="D374" s="45"/>
      <c r="E374" s="45"/>
      <c r="F374" s="45"/>
    </row>
    <row r="375" ht="15.75" customHeight="1">
      <c r="A375" s="45"/>
      <c r="B375" s="45"/>
      <c r="C375" s="45"/>
      <c r="D375" s="45"/>
      <c r="E375" s="45"/>
      <c r="F375" s="45"/>
    </row>
    <row r="376" ht="15.75" customHeight="1">
      <c r="A376" s="45"/>
      <c r="B376" s="45"/>
      <c r="C376" s="45"/>
      <c r="D376" s="45"/>
      <c r="E376" s="45"/>
      <c r="F376" s="45"/>
    </row>
    <row r="377" ht="15.75" customHeight="1">
      <c r="A377" s="45"/>
      <c r="B377" s="45"/>
      <c r="C377" s="45"/>
      <c r="D377" s="45"/>
      <c r="E377" s="45"/>
      <c r="F377" s="45"/>
    </row>
    <row r="378" ht="15.75" customHeight="1">
      <c r="A378" s="45"/>
      <c r="B378" s="45"/>
      <c r="C378" s="45"/>
      <c r="D378" s="45"/>
      <c r="E378" s="45"/>
      <c r="F378" s="45"/>
    </row>
    <row r="379" ht="15.75" customHeight="1">
      <c r="A379" s="45"/>
      <c r="B379" s="45"/>
      <c r="C379" s="45"/>
      <c r="D379" s="45"/>
      <c r="E379" s="45"/>
      <c r="F379" s="45"/>
    </row>
    <row r="380" ht="15.75" customHeight="1">
      <c r="A380" s="45"/>
      <c r="B380" s="45"/>
      <c r="C380" s="45"/>
      <c r="D380" s="45"/>
      <c r="E380" s="45"/>
      <c r="F380" s="45"/>
    </row>
    <row r="381" ht="15.75" customHeight="1">
      <c r="A381" s="45"/>
      <c r="B381" s="45"/>
      <c r="C381" s="45"/>
      <c r="D381" s="45"/>
      <c r="E381" s="45"/>
      <c r="F381" s="45"/>
    </row>
    <row r="382" ht="15.75" customHeight="1">
      <c r="A382" s="45"/>
      <c r="B382" s="45"/>
      <c r="C382" s="45"/>
      <c r="D382" s="45"/>
      <c r="E382" s="45"/>
      <c r="F382" s="45"/>
    </row>
    <row r="383" ht="15.75" customHeight="1">
      <c r="A383" s="45"/>
      <c r="B383" s="45"/>
      <c r="C383" s="45"/>
      <c r="D383" s="45"/>
      <c r="E383" s="45"/>
      <c r="F383" s="45"/>
    </row>
    <row r="384" ht="15.75" customHeight="1">
      <c r="A384" s="45"/>
      <c r="B384" s="45"/>
      <c r="C384" s="45"/>
      <c r="D384" s="45"/>
      <c r="E384" s="45"/>
      <c r="F384" s="45"/>
    </row>
    <row r="385" ht="15.75" customHeight="1">
      <c r="A385" s="45"/>
      <c r="B385" s="45"/>
      <c r="C385" s="45"/>
      <c r="D385" s="45"/>
      <c r="E385" s="45"/>
      <c r="F385" s="45"/>
    </row>
    <row r="386" ht="15.75" customHeight="1">
      <c r="A386" s="45"/>
      <c r="B386" s="45"/>
      <c r="C386" s="45"/>
      <c r="D386" s="45"/>
      <c r="E386" s="45"/>
      <c r="F386" s="45"/>
    </row>
    <row r="387" ht="15.75" customHeight="1">
      <c r="A387" s="45"/>
      <c r="B387" s="45"/>
      <c r="C387" s="45"/>
      <c r="D387" s="45"/>
      <c r="E387" s="45"/>
      <c r="F387" s="45"/>
    </row>
    <row r="388" ht="15.75" customHeight="1">
      <c r="A388" s="45"/>
      <c r="B388" s="45"/>
      <c r="C388" s="45"/>
      <c r="D388" s="45"/>
      <c r="E388" s="45"/>
      <c r="F388" s="45"/>
    </row>
    <row r="389" ht="15.75" customHeight="1">
      <c r="A389" s="45"/>
      <c r="B389" s="45"/>
      <c r="C389" s="45"/>
      <c r="D389" s="45"/>
      <c r="E389" s="45"/>
      <c r="F389" s="45"/>
    </row>
    <row r="390" ht="15.75" customHeight="1">
      <c r="A390" s="45"/>
      <c r="B390" s="45"/>
      <c r="C390" s="45"/>
      <c r="D390" s="45"/>
      <c r="E390" s="45"/>
      <c r="F390" s="45"/>
    </row>
    <row r="391" ht="15.75" customHeight="1">
      <c r="A391" s="45"/>
      <c r="B391" s="45"/>
      <c r="C391" s="45"/>
      <c r="D391" s="45"/>
      <c r="E391" s="45"/>
      <c r="F391" s="45"/>
    </row>
    <row r="392" ht="15.75" customHeight="1">
      <c r="A392" s="45"/>
      <c r="B392" s="45"/>
      <c r="C392" s="45"/>
      <c r="D392" s="45"/>
      <c r="E392" s="45"/>
      <c r="F392" s="45"/>
    </row>
    <row r="393" ht="15.75" customHeight="1">
      <c r="A393" s="45"/>
      <c r="B393" s="45"/>
      <c r="C393" s="45"/>
      <c r="D393" s="45"/>
      <c r="E393" s="45"/>
      <c r="F393" s="45"/>
    </row>
    <row r="394" ht="15.75" customHeight="1">
      <c r="A394" s="45"/>
      <c r="B394" s="45"/>
      <c r="C394" s="45"/>
      <c r="D394" s="45"/>
      <c r="E394" s="45"/>
      <c r="F394" s="45"/>
    </row>
    <row r="395" ht="15.75" customHeight="1">
      <c r="A395" s="45"/>
      <c r="B395" s="45"/>
      <c r="C395" s="45"/>
      <c r="D395" s="45"/>
      <c r="E395" s="45"/>
      <c r="F395" s="45"/>
    </row>
    <row r="396" ht="15.75" customHeight="1">
      <c r="A396" s="45"/>
      <c r="B396" s="45"/>
      <c r="C396" s="45"/>
      <c r="D396" s="45"/>
      <c r="E396" s="45"/>
      <c r="F396" s="45"/>
    </row>
    <row r="397" ht="15.75" customHeight="1">
      <c r="A397" s="45"/>
      <c r="B397" s="45"/>
      <c r="C397" s="45"/>
      <c r="D397" s="45"/>
      <c r="E397" s="45"/>
      <c r="F397" s="45"/>
    </row>
    <row r="398" ht="15.75" customHeight="1">
      <c r="A398" s="45"/>
      <c r="B398" s="45"/>
      <c r="C398" s="45"/>
      <c r="D398" s="45"/>
      <c r="E398" s="45"/>
      <c r="F398" s="45"/>
    </row>
    <row r="399" ht="15.75" customHeight="1">
      <c r="A399" s="45"/>
      <c r="B399" s="45"/>
      <c r="C399" s="45"/>
      <c r="D399" s="45"/>
      <c r="E399" s="45"/>
      <c r="F399" s="45"/>
    </row>
    <row r="400" ht="15.75" customHeight="1">
      <c r="A400" s="45"/>
      <c r="B400" s="45"/>
      <c r="C400" s="45"/>
      <c r="D400" s="45"/>
      <c r="E400" s="45"/>
      <c r="F400" s="45"/>
    </row>
    <row r="401" ht="15.75" customHeight="1">
      <c r="A401" s="45"/>
      <c r="B401" s="45"/>
      <c r="C401" s="45"/>
      <c r="D401" s="45"/>
      <c r="E401" s="45"/>
      <c r="F401" s="45"/>
    </row>
    <row r="402" ht="15.75" customHeight="1">
      <c r="A402" s="45"/>
      <c r="B402" s="45"/>
      <c r="C402" s="45"/>
      <c r="D402" s="45"/>
      <c r="E402" s="45"/>
      <c r="F402" s="45"/>
    </row>
    <row r="403" ht="15.75" customHeight="1">
      <c r="A403" s="45"/>
      <c r="B403" s="45"/>
      <c r="C403" s="45"/>
      <c r="D403" s="45"/>
      <c r="E403" s="45"/>
      <c r="F403" s="45"/>
    </row>
    <row r="404" ht="15.75" customHeight="1">
      <c r="A404" s="45"/>
      <c r="B404" s="45"/>
      <c r="C404" s="45"/>
      <c r="D404" s="45"/>
      <c r="E404" s="45"/>
      <c r="F404" s="45"/>
    </row>
    <row r="405" ht="15.75" customHeight="1">
      <c r="A405" s="45"/>
      <c r="B405" s="45"/>
      <c r="C405" s="45"/>
      <c r="D405" s="45"/>
      <c r="E405" s="45"/>
      <c r="F405" s="45"/>
    </row>
    <row r="406" ht="15.75" customHeight="1">
      <c r="A406" s="45"/>
      <c r="B406" s="45"/>
      <c r="C406" s="45"/>
      <c r="D406" s="45"/>
      <c r="E406" s="45"/>
      <c r="F406" s="45"/>
    </row>
    <row r="407" ht="15.75" customHeight="1">
      <c r="A407" s="45"/>
      <c r="B407" s="45"/>
      <c r="C407" s="45"/>
      <c r="D407" s="45"/>
      <c r="E407" s="45"/>
      <c r="F407" s="45"/>
    </row>
    <row r="408" ht="15.75" customHeight="1">
      <c r="A408" s="45"/>
      <c r="B408" s="45"/>
      <c r="C408" s="45"/>
      <c r="D408" s="45"/>
      <c r="E408" s="45"/>
      <c r="F408" s="45"/>
    </row>
    <row r="409" ht="15.75" customHeight="1">
      <c r="A409" s="45"/>
      <c r="B409" s="45"/>
      <c r="C409" s="45"/>
      <c r="D409" s="45"/>
      <c r="E409" s="45"/>
      <c r="F409" s="45"/>
    </row>
    <row r="410" ht="15.75" customHeight="1">
      <c r="A410" s="45"/>
      <c r="B410" s="45"/>
      <c r="C410" s="45"/>
      <c r="D410" s="45"/>
      <c r="E410" s="45"/>
      <c r="F410" s="45"/>
    </row>
    <row r="411" ht="15.75" customHeight="1">
      <c r="A411" s="45"/>
      <c r="B411" s="45"/>
      <c r="C411" s="45"/>
      <c r="D411" s="45"/>
      <c r="E411" s="45"/>
      <c r="F411" s="45"/>
    </row>
    <row r="412" ht="15.75" customHeight="1">
      <c r="A412" s="45"/>
      <c r="B412" s="45"/>
      <c r="C412" s="45"/>
      <c r="D412" s="45"/>
      <c r="E412" s="45"/>
      <c r="F412" s="45"/>
    </row>
    <row r="413" ht="15.75" customHeight="1">
      <c r="A413" s="45"/>
      <c r="B413" s="45"/>
      <c r="C413" s="45"/>
      <c r="D413" s="45"/>
      <c r="E413" s="45"/>
      <c r="F413" s="45"/>
    </row>
    <row r="414" ht="15.75" customHeight="1">
      <c r="A414" s="45"/>
      <c r="B414" s="45"/>
      <c r="C414" s="45"/>
      <c r="D414" s="45"/>
      <c r="E414" s="45"/>
      <c r="F414" s="45"/>
    </row>
    <row r="415" ht="15.75" customHeight="1">
      <c r="A415" s="45"/>
      <c r="B415" s="45"/>
      <c r="C415" s="45"/>
      <c r="D415" s="45"/>
      <c r="E415" s="45"/>
      <c r="F415" s="45"/>
    </row>
    <row r="416" ht="15.75" customHeight="1">
      <c r="A416" s="45"/>
      <c r="B416" s="45"/>
      <c r="C416" s="45"/>
      <c r="D416" s="45"/>
      <c r="E416" s="45"/>
      <c r="F416" s="45"/>
    </row>
    <row r="417" ht="15.75" customHeight="1">
      <c r="A417" s="45"/>
      <c r="B417" s="45"/>
      <c r="C417" s="45"/>
      <c r="D417" s="45"/>
      <c r="E417" s="45"/>
      <c r="F417" s="45"/>
    </row>
    <row r="418" ht="15.75" customHeight="1">
      <c r="A418" s="45"/>
      <c r="B418" s="45"/>
      <c r="C418" s="45"/>
      <c r="D418" s="45"/>
      <c r="E418" s="45"/>
      <c r="F418" s="45"/>
    </row>
    <row r="419" ht="15.75" customHeight="1">
      <c r="A419" s="45"/>
      <c r="B419" s="45"/>
      <c r="C419" s="45"/>
      <c r="D419" s="45"/>
      <c r="E419" s="45"/>
      <c r="F419" s="45"/>
    </row>
    <row r="420" ht="15.75" customHeight="1">
      <c r="A420" s="45"/>
      <c r="B420" s="45"/>
      <c r="C420" s="45"/>
      <c r="D420" s="45"/>
      <c r="E420" s="45"/>
      <c r="F420" s="45"/>
    </row>
    <row r="421" ht="15.75" customHeight="1">
      <c r="A421" s="45"/>
      <c r="B421" s="45"/>
      <c r="C421" s="45"/>
      <c r="D421" s="45"/>
      <c r="E421" s="45"/>
      <c r="F421" s="45"/>
    </row>
    <row r="422" ht="15.75" customHeight="1">
      <c r="A422" s="45"/>
      <c r="B422" s="45"/>
      <c r="C422" s="45"/>
      <c r="D422" s="45"/>
      <c r="E422" s="45"/>
      <c r="F422" s="45"/>
    </row>
    <row r="423" ht="15.75" customHeight="1">
      <c r="A423" s="45"/>
      <c r="B423" s="45"/>
      <c r="C423" s="45"/>
      <c r="D423" s="45"/>
      <c r="E423" s="45"/>
      <c r="F423" s="45"/>
    </row>
    <row r="424" ht="15.75" customHeight="1">
      <c r="A424" s="45"/>
      <c r="B424" s="45"/>
      <c r="C424" s="45"/>
      <c r="D424" s="45"/>
      <c r="E424" s="45"/>
      <c r="F424" s="45"/>
    </row>
    <row r="425" ht="15.75" customHeight="1">
      <c r="A425" s="45"/>
      <c r="B425" s="45"/>
      <c r="C425" s="45"/>
      <c r="D425" s="45"/>
      <c r="E425" s="45"/>
      <c r="F425" s="45"/>
    </row>
    <row r="426" ht="15.75" customHeight="1">
      <c r="A426" s="45"/>
      <c r="B426" s="45"/>
      <c r="C426" s="45"/>
      <c r="D426" s="45"/>
      <c r="E426" s="45"/>
      <c r="F426" s="45"/>
    </row>
    <row r="427" ht="15.75" customHeight="1">
      <c r="A427" s="45"/>
      <c r="B427" s="45"/>
      <c r="C427" s="45"/>
      <c r="D427" s="45"/>
      <c r="E427" s="45"/>
      <c r="F427" s="45"/>
    </row>
    <row r="428" ht="15.75" customHeight="1">
      <c r="A428" s="45"/>
      <c r="B428" s="45"/>
      <c r="C428" s="45"/>
      <c r="D428" s="45"/>
      <c r="E428" s="45"/>
      <c r="F428" s="45"/>
    </row>
    <row r="429" ht="15.75" customHeight="1">
      <c r="A429" s="45"/>
      <c r="B429" s="45"/>
      <c r="C429" s="45"/>
      <c r="D429" s="45"/>
      <c r="E429" s="45"/>
      <c r="F429" s="45"/>
    </row>
    <row r="430" ht="15.75" customHeight="1">
      <c r="A430" s="45"/>
      <c r="B430" s="45"/>
      <c r="C430" s="45"/>
      <c r="D430" s="45"/>
      <c r="E430" s="45"/>
      <c r="F430" s="45"/>
    </row>
    <row r="431" ht="15.75" customHeight="1">
      <c r="A431" s="45"/>
      <c r="B431" s="45"/>
      <c r="C431" s="45"/>
      <c r="D431" s="45"/>
      <c r="E431" s="45"/>
      <c r="F431" s="45"/>
    </row>
    <row r="432" ht="15.75" customHeight="1">
      <c r="A432" s="45"/>
      <c r="B432" s="45"/>
      <c r="C432" s="45"/>
      <c r="D432" s="45"/>
      <c r="E432" s="45"/>
      <c r="F432" s="45"/>
    </row>
    <row r="433" ht="15.75" customHeight="1">
      <c r="A433" s="45"/>
      <c r="B433" s="45"/>
      <c r="C433" s="45"/>
      <c r="D433" s="45"/>
      <c r="E433" s="45"/>
      <c r="F433" s="45"/>
    </row>
    <row r="434" ht="15.75" customHeight="1">
      <c r="A434" s="45"/>
      <c r="B434" s="45"/>
      <c r="C434" s="45"/>
      <c r="D434" s="45"/>
      <c r="E434" s="45"/>
      <c r="F434" s="45"/>
    </row>
    <row r="435" ht="15.75" customHeight="1">
      <c r="A435" s="45"/>
      <c r="B435" s="45"/>
      <c r="C435" s="45"/>
      <c r="D435" s="45"/>
      <c r="E435" s="45"/>
      <c r="F435" s="45"/>
    </row>
    <row r="436" ht="15.75" customHeight="1">
      <c r="A436" s="45"/>
      <c r="B436" s="45"/>
      <c r="C436" s="45"/>
      <c r="D436" s="45"/>
      <c r="E436" s="45"/>
      <c r="F436" s="45"/>
    </row>
    <row r="437" ht="15.75" customHeight="1">
      <c r="A437" s="45"/>
      <c r="B437" s="45"/>
      <c r="C437" s="45"/>
      <c r="D437" s="45"/>
      <c r="E437" s="45"/>
      <c r="F437" s="45"/>
    </row>
    <row r="438" ht="15.75" customHeight="1">
      <c r="A438" s="45"/>
      <c r="B438" s="45"/>
      <c r="C438" s="45"/>
      <c r="D438" s="45"/>
      <c r="E438" s="45"/>
      <c r="F438" s="45"/>
    </row>
    <row r="439" ht="15.75" customHeight="1">
      <c r="A439" s="45"/>
      <c r="B439" s="45"/>
      <c r="C439" s="45"/>
      <c r="D439" s="45"/>
      <c r="E439" s="45"/>
      <c r="F439" s="45"/>
    </row>
    <row r="440" ht="15.75" customHeight="1">
      <c r="A440" s="45"/>
      <c r="B440" s="45"/>
      <c r="C440" s="45"/>
      <c r="D440" s="45"/>
      <c r="E440" s="45"/>
      <c r="F440" s="45"/>
    </row>
    <row r="441" ht="15.75" customHeight="1">
      <c r="A441" s="45"/>
      <c r="B441" s="45"/>
      <c r="C441" s="45"/>
      <c r="D441" s="45"/>
      <c r="E441" s="45"/>
      <c r="F441" s="45"/>
    </row>
    <row r="442" ht="15.75" customHeight="1">
      <c r="A442" s="45"/>
      <c r="B442" s="45"/>
      <c r="C442" s="45"/>
      <c r="D442" s="45"/>
      <c r="E442" s="45"/>
      <c r="F442" s="45"/>
    </row>
    <row r="443" ht="15.75" customHeight="1">
      <c r="A443" s="45"/>
      <c r="B443" s="45"/>
      <c r="C443" s="45"/>
      <c r="D443" s="45"/>
      <c r="E443" s="45"/>
      <c r="F443" s="45"/>
    </row>
    <row r="444" ht="15.75" customHeight="1">
      <c r="A444" s="45"/>
      <c r="B444" s="45"/>
      <c r="C444" s="45"/>
      <c r="D444" s="45"/>
      <c r="E444" s="45"/>
      <c r="F444" s="45"/>
    </row>
    <row r="445" ht="15.75" customHeight="1">
      <c r="A445" s="45"/>
      <c r="B445" s="45"/>
      <c r="C445" s="45"/>
      <c r="D445" s="45"/>
      <c r="E445" s="45"/>
      <c r="F445" s="45"/>
    </row>
    <row r="446" ht="15.75" customHeight="1">
      <c r="A446" s="45"/>
      <c r="B446" s="45"/>
      <c r="C446" s="45"/>
      <c r="D446" s="45"/>
      <c r="E446" s="45"/>
      <c r="F446" s="45"/>
    </row>
    <row r="447" ht="15.75" customHeight="1">
      <c r="A447" s="45"/>
      <c r="B447" s="45"/>
      <c r="C447" s="45"/>
      <c r="D447" s="45"/>
      <c r="E447" s="45"/>
      <c r="F447" s="45"/>
    </row>
    <row r="448" ht="15.75" customHeight="1">
      <c r="A448" s="45"/>
      <c r="B448" s="45"/>
      <c r="C448" s="45"/>
      <c r="D448" s="45"/>
      <c r="E448" s="45"/>
      <c r="F448" s="45"/>
    </row>
    <row r="449" ht="15.75" customHeight="1">
      <c r="A449" s="45"/>
      <c r="B449" s="45"/>
      <c r="C449" s="45"/>
      <c r="D449" s="45"/>
      <c r="E449" s="45"/>
      <c r="F449" s="45"/>
    </row>
    <row r="450" ht="15.75" customHeight="1">
      <c r="A450" s="45"/>
      <c r="B450" s="45"/>
      <c r="C450" s="45"/>
      <c r="D450" s="45"/>
      <c r="E450" s="45"/>
      <c r="F450" s="45"/>
    </row>
    <row r="451" ht="15.75" customHeight="1">
      <c r="A451" s="45"/>
      <c r="B451" s="45"/>
      <c r="C451" s="45"/>
      <c r="D451" s="45"/>
      <c r="E451" s="45"/>
      <c r="F451" s="45"/>
    </row>
    <row r="452" ht="15.75" customHeight="1">
      <c r="A452" s="45"/>
      <c r="B452" s="45"/>
      <c r="C452" s="45"/>
      <c r="D452" s="45"/>
      <c r="E452" s="45"/>
      <c r="F452" s="45"/>
    </row>
    <row r="453" ht="15.75" customHeight="1">
      <c r="A453" s="45"/>
      <c r="B453" s="45"/>
      <c r="C453" s="45"/>
      <c r="D453" s="45"/>
      <c r="E453" s="45"/>
      <c r="F453" s="45"/>
    </row>
    <row r="454" ht="15.75" customHeight="1">
      <c r="A454" s="45"/>
      <c r="B454" s="45"/>
      <c r="C454" s="45"/>
      <c r="D454" s="45"/>
      <c r="E454" s="45"/>
      <c r="F454" s="45"/>
    </row>
    <row r="455" ht="15.75" customHeight="1">
      <c r="A455" s="45"/>
      <c r="B455" s="45"/>
      <c r="C455" s="45"/>
      <c r="D455" s="45"/>
      <c r="E455" s="45"/>
      <c r="F455" s="45"/>
    </row>
    <row r="456" ht="15.75" customHeight="1">
      <c r="A456" s="45"/>
      <c r="B456" s="45"/>
      <c r="C456" s="45"/>
      <c r="D456" s="45"/>
      <c r="E456" s="45"/>
      <c r="F456" s="45"/>
    </row>
    <row r="457" ht="15.75" customHeight="1">
      <c r="A457" s="45"/>
      <c r="B457" s="45"/>
      <c r="C457" s="45"/>
      <c r="D457" s="45"/>
      <c r="E457" s="45"/>
      <c r="F457" s="45"/>
    </row>
    <row r="458" ht="15.75" customHeight="1">
      <c r="A458" s="45"/>
      <c r="B458" s="45"/>
      <c r="C458" s="45"/>
      <c r="D458" s="45"/>
      <c r="E458" s="45"/>
      <c r="F458" s="45"/>
    </row>
    <row r="459" ht="15.75" customHeight="1">
      <c r="A459" s="45"/>
      <c r="B459" s="45"/>
      <c r="C459" s="45"/>
      <c r="D459" s="45"/>
      <c r="E459" s="45"/>
      <c r="F459" s="45"/>
    </row>
    <row r="460" ht="15.75" customHeight="1">
      <c r="A460" s="45"/>
      <c r="B460" s="45"/>
      <c r="C460" s="45"/>
      <c r="D460" s="45"/>
      <c r="E460" s="45"/>
      <c r="F460" s="45"/>
    </row>
    <row r="461" ht="15.75" customHeight="1">
      <c r="A461" s="45"/>
      <c r="B461" s="45"/>
      <c r="C461" s="45"/>
      <c r="D461" s="45"/>
      <c r="E461" s="45"/>
      <c r="F461" s="45"/>
    </row>
    <row r="462" ht="15.75" customHeight="1">
      <c r="A462" s="45"/>
      <c r="B462" s="45"/>
      <c r="C462" s="45"/>
      <c r="D462" s="45"/>
      <c r="E462" s="45"/>
      <c r="F462" s="45"/>
    </row>
    <row r="463" ht="15.75" customHeight="1">
      <c r="A463" s="45"/>
      <c r="B463" s="45"/>
      <c r="C463" s="45"/>
      <c r="D463" s="45"/>
      <c r="E463" s="45"/>
      <c r="F463" s="45"/>
    </row>
    <row r="464" ht="15.75" customHeight="1">
      <c r="A464" s="45"/>
      <c r="B464" s="45"/>
      <c r="C464" s="45"/>
      <c r="D464" s="45"/>
      <c r="E464" s="45"/>
      <c r="F464" s="45"/>
    </row>
    <row r="465" ht="15.75" customHeight="1">
      <c r="A465" s="45"/>
      <c r="B465" s="45"/>
      <c r="C465" s="45"/>
      <c r="D465" s="45"/>
      <c r="E465" s="45"/>
      <c r="F465" s="45"/>
    </row>
    <row r="466" ht="15.75" customHeight="1">
      <c r="A466" s="45"/>
      <c r="B466" s="45"/>
      <c r="C466" s="45"/>
      <c r="D466" s="45"/>
      <c r="E466" s="45"/>
      <c r="F466" s="45"/>
    </row>
    <row r="467" ht="15.75" customHeight="1">
      <c r="A467" s="45"/>
      <c r="B467" s="45"/>
      <c r="C467" s="45"/>
      <c r="D467" s="45"/>
      <c r="E467" s="45"/>
      <c r="F467" s="45"/>
    </row>
    <row r="468" ht="15.75" customHeight="1">
      <c r="A468" s="45"/>
      <c r="B468" s="45"/>
      <c r="C468" s="45"/>
      <c r="D468" s="45"/>
      <c r="E468" s="45"/>
      <c r="F468" s="45"/>
    </row>
    <row r="469" ht="15.75" customHeight="1">
      <c r="A469" s="45"/>
      <c r="B469" s="45"/>
      <c r="C469" s="45"/>
      <c r="D469" s="45"/>
      <c r="E469" s="45"/>
      <c r="F469" s="45"/>
    </row>
    <row r="470" ht="15.75" customHeight="1">
      <c r="A470" s="45"/>
      <c r="B470" s="45"/>
      <c r="C470" s="45"/>
      <c r="D470" s="45"/>
      <c r="E470" s="45"/>
      <c r="F470" s="45"/>
    </row>
    <row r="471" ht="15.75" customHeight="1">
      <c r="A471" s="45"/>
      <c r="B471" s="45"/>
      <c r="C471" s="45"/>
      <c r="D471" s="45"/>
      <c r="E471" s="45"/>
      <c r="F471" s="45"/>
    </row>
    <row r="472" ht="15.75" customHeight="1">
      <c r="A472" s="45"/>
      <c r="B472" s="45"/>
      <c r="C472" s="45"/>
      <c r="D472" s="45"/>
      <c r="E472" s="45"/>
      <c r="F472" s="45"/>
    </row>
    <row r="473" ht="15.75" customHeight="1">
      <c r="A473" s="45"/>
      <c r="B473" s="45"/>
      <c r="C473" s="45"/>
      <c r="D473" s="45"/>
      <c r="E473" s="45"/>
      <c r="F473" s="45"/>
    </row>
    <row r="474" ht="15.75" customHeight="1">
      <c r="A474" s="45"/>
      <c r="B474" s="45"/>
      <c r="C474" s="45"/>
      <c r="D474" s="45"/>
      <c r="E474" s="45"/>
      <c r="F474" s="45"/>
    </row>
    <row r="475" ht="15.75" customHeight="1">
      <c r="A475" s="45"/>
      <c r="B475" s="45"/>
      <c r="C475" s="45"/>
      <c r="D475" s="45"/>
      <c r="E475" s="45"/>
      <c r="F475" s="45"/>
    </row>
    <row r="476" ht="15.75" customHeight="1">
      <c r="A476" s="45"/>
      <c r="B476" s="45"/>
      <c r="C476" s="45"/>
      <c r="D476" s="45"/>
      <c r="E476" s="45"/>
      <c r="F476" s="45"/>
    </row>
    <row r="477" ht="15.75" customHeight="1">
      <c r="A477" s="45"/>
      <c r="B477" s="45"/>
      <c r="C477" s="45"/>
      <c r="D477" s="45"/>
      <c r="E477" s="45"/>
      <c r="F477" s="45"/>
    </row>
    <row r="478" ht="15.75" customHeight="1">
      <c r="A478" s="45"/>
      <c r="B478" s="45"/>
      <c r="C478" s="45"/>
      <c r="D478" s="45"/>
      <c r="E478" s="45"/>
      <c r="F478" s="45"/>
    </row>
    <row r="479" ht="15.75" customHeight="1">
      <c r="A479" s="45"/>
      <c r="B479" s="45"/>
      <c r="C479" s="45"/>
      <c r="D479" s="45"/>
      <c r="E479" s="45"/>
      <c r="F479" s="45"/>
    </row>
    <row r="480" ht="15.75" customHeight="1">
      <c r="A480" s="45"/>
      <c r="B480" s="45"/>
      <c r="C480" s="45"/>
      <c r="D480" s="45"/>
      <c r="E480" s="45"/>
      <c r="F480" s="45"/>
    </row>
    <row r="481" ht="15.75" customHeight="1">
      <c r="A481" s="45"/>
      <c r="B481" s="45"/>
      <c r="C481" s="45"/>
      <c r="D481" s="45"/>
      <c r="E481" s="45"/>
      <c r="F481" s="45"/>
    </row>
    <row r="482" ht="15.75" customHeight="1">
      <c r="A482" s="45"/>
      <c r="B482" s="45"/>
      <c r="C482" s="45"/>
      <c r="D482" s="45"/>
      <c r="E482" s="45"/>
      <c r="F482" s="45"/>
    </row>
    <row r="483" ht="15.75" customHeight="1">
      <c r="A483" s="45"/>
      <c r="B483" s="45"/>
      <c r="C483" s="45"/>
      <c r="D483" s="45"/>
      <c r="E483" s="45"/>
      <c r="F483" s="45"/>
    </row>
    <row r="484" ht="15.75" customHeight="1">
      <c r="A484" s="45"/>
      <c r="B484" s="45"/>
      <c r="C484" s="45"/>
      <c r="D484" s="45"/>
      <c r="E484" s="45"/>
      <c r="F484" s="45"/>
    </row>
    <row r="485" ht="15.75" customHeight="1">
      <c r="A485" s="45"/>
      <c r="B485" s="45"/>
      <c r="C485" s="45"/>
      <c r="D485" s="45"/>
      <c r="E485" s="45"/>
      <c r="F485" s="45"/>
    </row>
    <row r="486" ht="15.75" customHeight="1">
      <c r="A486" s="45"/>
      <c r="B486" s="45"/>
      <c r="C486" s="45"/>
      <c r="D486" s="45"/>
      <c r="E486" s="45"/>
      <c r="F486" s="45"/>
    </row>
    <row r="487" ht="15.75" customHeight="1">
      <c r="A487" s="45"/>
      <c r="B487" s="45"/>
      <c r="C487" s="45"/>
      <c r="D487" s="45"/>
      <c r="E487" s="45"/>
      <c r="F487" s="45"/>
    </row>
    <row r="488" ht="15.75" customHeight="1">
      <c r="A488" s="45"/>
      <c r="B488" s="45"/>
      <c r="C488" s="45"/>
      <c r="D488" s="45"/>
      <c r="E488" s="45"/>
      <c r="F488" s="45"/>
    </row>
    <row r="489" ht="15.75" customHeight="1">
      <c r="A489" s="45"/>
      <c r="B489" s="45"/>
      <c r="C489" s="45"/>
      <c r="D489" s="45"/>
      <c r="E489" s="45"/>
      <c r="F489" s="45"/>
    </row>
    <row r="490" ht="15.75" customHeight="1">
      <c r="A490" s="45"/>
      <c r="B490" s="45"/>
      <c r="C490" s="45"/>
      <c r="D490" s="45"/>
      <c r="E490" s="45"/>
      <c r="F490" s="45"/>
    </row>
    <row r="491" ht="15.75" customHeight="1">
      <c r="A491" s="45"/>
      <c r="B491" s="45"/>
      <c r="C491" s="45"/>
      <c r="D491" s="45"/>
      <c r="E491" s="45"/>
      <c r="F491" s="45"/>
    </row>
    <row r="492" ht="15.75" customHeight="1">
      <c r="A492" s="45"/>
      <c r="B492" s="45"/>
      <c r="C492" s="45"/>
      <c r="D492" s="45"/>
      <c r="E492" s="45"/>
      <c r="F492" s="45"/>
    </row>
    <row r="493" ht="15.75" customHeight="1">
      <c r="A493" s="45"/>
      <c r="B493" s="45"/>
      <c r="C493" s="45"/>
      <c r="D493" s="45"/>
      <c r="E493" s="45"/>
      <c r="F493" s="45"/>
    </row>
    <row r="494" ht="15.75" customHeight="1">
      <c r="A494" s="45"/>
      <c r="B494" s="45"/>
      <c r="C494" s="45"/>
      <c r="D494" s="45"/>
      <c r="E494" s="45"/>
      <c r="F494" s="45"/>
    </row>
    <row r="495" ht="15.75" customHeight="1">
      <c r="A495" s="45"/>
      <c r="B495" s="45"/>
      <c r="C495" s="45"/>
      <c r="D495" s="45"/>
      <c r="E495" s="45"/>
      <c r="F495" s="45"/>
    </row>
    <row r="496" ht="15.75" customHeight="1">
      <c r="A496" s="45"/>
      <c r="B496" s="45"/>
      <c r="C496" s="45"/>
      <c r="D496" s="45"/>
      <c r="E496" s="45"/>
      <c r="F496" s="45"/>
    </row>
    <row r="497" ht="15.75" customHeight="1">
      <c r="A497" s="45"/>
      <c r="B497" s="45"/>
      <c r="C497" s="45"/>
      <c r="D497" s="45"/>
      <c r="E497" s="45"/>
      <c r="F497" s="45"/>
    </row>
    <row r="498" ht="15.75" customHeight="1">
      <c r="A498" s="45"/>
      <c r="B498" s="45"/>
      <c r="C498" s="45"/>
      <c r="D498" s="45"/>
      <c r="E498" s="45"/>
      <c r="F498" s="45"/>
    </row>
    <row r="499" ht="15.75" customHeight="1">
      <c r="A499" s="45"/>
      <c r="B499" s="45"/>
      <c r="C499" s="45"/>
      <c r="D499" s="45"/>
      <c r="E499" s="45"/>
      <c r="F499" s="45"/>
    </row>
    <row r="500" ht="15.75" customHeight="1">
      <c r="A500" s="45"/>
      <c r="B500" s="45"/>
      <c r="C500" s="45"/>
      <c r="D500" s="45"/>
      <c r="E500" s="45"/>
      <c r="F500" s="45"/>
    </row>
    <row r="501" ht="15.75" customHeight="1">
      <c r="A501" s="45"/>
      <c r="B501" s="45"/>
      <c r="C501" s="45"/>
      <c r="D501" s="45"/>
      <c r="E501" s="45"/>
      <c r="F501" s="45"/>
    </row>
    <row r="502" ht="15.75" customHeight="1">
      <c r="A502" s="45"/>
      <c r="B502" s="45"/>
      <c r="C502" s="45"/>
      <c r="D502" s="45"/>
      <c r="E502" s="45"/>
      <c r="F502" s="45"/>
    </row>
    <row r="503" ht="15.75" customHeight="1">
      <c r="A503" s="45"/>
      <c r="B503" s="45"/>
      <c r="C503" s="45"/>
      <c r="D503" s="45"/>
      <c r="E503" s="45"/>
      <c r="F503" s="45"/>
    </row>
    <row r="504" ht="15.75" customHeight="1">
      <c r="A504" s="45"/>
      <c r="B504" s="45"/>
      <c r="C504" s="45"/>
      <c r="D504" s="45"/>
      <c r="E504" s="45"/>
      <c r="F504" s="45"/>
    </row>
    <row r="505" ht="15.75" customHeight="1">
      <c r="A505" s="45"/>
      <c r="B505" s="45"/>
      <c r="C505" s="45"/>
      <c r="D505" s="45"/>
      <c r="E505" s="45"/>
      <c r="F505" s="45"/>
    </row>
    <row r="506" ht="15.75" customHeight="1">
      <c r="A506" s="45"/>
      <c r="B506" s="45"/>
      <c r="C506" s="45"/>
      <c r="D506" s="45"/>
      <c r="E506" s="45"/>
      <c r="F506" s="45"/>
    </row>
    <row r="507" ht="15.75" customHeight="1">
      <c r="A507" s="45"/>
      <c r="B507" s="45"/>
      <c r="C507" s="45"/>
      <c r="D507" s="45"/>
      <c r="E507" s="45"/>
      <c r="F507" s="45"/>
    </row>
    <row r="508" ht="15.75" customHeight="1">
      <c r="A508" s="45"/>
      <c r="B508" s="45"/>
      <c r="C508" s="45"/>
      <c r="D508" s="45"/>
      <c r="E508" s="45"/>
      <c r="F508" s="45"/>
    </row>
    <row r="509" ht="15.75" customHeight="1">
      <c r="A509" s="45"/>
      <c r="B509" s="45"/>
      <c r="C509" s="45"/>
      <c r="D509" s="45"/>
      <c r="E509" s="45"/>
      <c r="F509" s="45"/>
    </row>
    <row r="510" ht="15.75" customHeight="1">
      <c r="A510" s="45"/>
      <c r="B510" s="45"/>
      <c r="C510" s="45"/>
      <c r="D510" s="45"/>
      <c r="E510" s="45"/>
      <c r="F510" s="45"/>
    </row>
    <row r="511" ht="15.75" customHeight="1">
      <c r="A511" s="45"/>
      <c r="B511" s="45"/>
      <c r="C511" s="45"/>
      <c r="D511" s="45"/>
      <c r="E511" s="45"/>
      <c r="F511" s="45"/>
    </row>
    <row r="512" ht="15.75" customHeight="1">
      <c r="A512" s="45"/>
      <c r="B512" s="45"/>
      <c r="C512" s="45"/>
      <c r="D512" s="45"/>
      <c r="E512" s="45"/>
      <c r="F512" s="45"/>
    </row>
    <row r="513" ht="15.75" customHeight="1">
      <c r="A513" s="45"/>
      <c r="B513" s="45"/>
      <c r="C513" s="45"/>
      <c r="D513" s="45"/>
      <c r="E513" s="45"/>
      <c r="F513" s="45"/>
    </row>
    <row r="514" ht="15.75" customHeight="1">
      <c r="A514" s="45"/>
      <c r="B514" s="45"/>
      <c r="C514" s="45"/>
      <c r="D514" s="45"/>
      <c r="E514" s="45"/>
      <c r="F514" s="45"/>
    </row>
    <row r="515" ht="15.75" customHeight="1">
      <c r="A515" s="45"/>
      <c r="B515" s="45"/>
      <c r="C515" s="45"/>
      <c r="D515" s="45"/>
      <c r="E515" s="45"/>
      <c r="F515" s="45"/>
    </row>
    <row r="516" ht="15.75" customHeight="1">
      <c r="A516" s="45"/>
      <c r="B516" s="45"/>
      <c r="C516" s="45"/>
      <c r="D516" s="45"/>
      <c r="E516" s="45"/>
      <c r="F516" s="45"/>
    </row>
    <row r="517" ht="15.75" customHeight="1">
      <c r="A517" s="45"/>
      <c r="B517" s="45"/>
      <c r="C517" s="45"/>
      <c r="D517" s="45"/>
      <c r="E517" s="45"/>
      <c r="F517" s="45"/>
    </row>
    <row r="518" ht="15.75" customHeight="1">
      <c r="A518" s="45"/>
      <c r="B518" s="45"/>
      <c r="C518" s="45"/>
      <c r="D518" s="45"/>
      <c r="E518" s="45"/>
      <c r="F518" s="45"/>
    </row>
    <row r="519" ht="15.75" customHeight="1">
      <c r="A519" s="45"/>
      <c r="B519" s="45"/>
      <c r="C519" s="45"/>
      <c r="D519" s="45"/>
      <c r="E519" s="45"/>
      <c r="F519" s="45"/>
    </row>
    <row r="520" ht="15.75" customHeight="1">
      <c r="A520" s="45"/>
      <c r="B520" s="45"/>
      <c r="C520" s="45"/>
      <c r="D520" s="45"/>
      <c r="E520" s="45"/>
      <c r="F520" s="45"/>
    </row>
    <row r="521" ht="15.75" customHeight="1">
      <c r="A521" s="45"/>
      <c r="B521" s="45"/>
      <c r="C521" s="45"/>
      <c r="D521" s="45"/>
      <c r="E521" s="45"/>
      <c r="F521" s="45"/>
    </row>
    <row r="522" ht="15.75" customHeight="1">
      <c r="A522" s="45"/>
      <c r="B522" s="45"/>
      <c r="C522" s="45"/>
      <c r="D522" s="45"/>
      <c r="E522" s="45"/>
      <c r="F522" s="45"/>
    </row>
    <row r="523" ht="15.75" customHeight="1">
      <c r="A523" s="45"/>
      <c r="B523" s="45"/>
      <c r="C523" s="45"/>
      <c r="D523" s="45"/>
      <c r="E523" s="45"/>
      <c r="F523" s="45"/>
    </row>
    <row r="524" ht="15.75" customHeight="1">
      <c r="A524" s="45"/>
      <c r="B524" s="45"/>
      <c r="C524" s="45"/>
      <c r="D524" s="45"/>
      <c r="E524" s="45"/>
      <c r="F524" s="45"/>
    </row>
    <row r="525" ht="15.75" customHeight="1">
      <c r="A525" s="45"/>
      <c r="B525" s="45"/>
      <c r="C525" s="45"/>
      <c r="D525" s="45"/>
      <c r="E525" s="45"/>
      <c r="F525" s="45"/>
    </row>
    <row r="526" ht="15.75" customHeight="1">
      <c r="A526" s="45"/>
      <c r="B526" s="45"/>
      <c r="C526" s="45"/>
      <c r="D526" s="45"/>
      <c r="E526" s="45"/>
      <c r="F526" s="45"/>
    </row>
    <row r="527" ht="15.75" customHeight="1">
      <c r="A527" s="45"/>
      <c r="B527" s="45"/>
      <c r="C527" s="45"/>
      <c r="D527" s="45"/>
      <c r="E527" s="45"/>
      <c r="F527" s="45"/>
    </row>
    <row r="528" ht="15.75" customHeight="1">
      <c r="A528" s="45"/>
      <c r="B528" s="45"/>
      <c r="C528" s="45"/>
      <c r="D528" s="45"/>
      <c r="E528" s="45"/>
      <c r="F528" s="45"/>
    </row>
    <row r="529" ht="15.75" customHeight="1">
      <c r="A529" s="45"/>
      <c r="B529" s="45"/>
      <c r="C529" s="45"/>
      <c r="D529" s="45"/>
      <c r="E529" s="45"/>
      <c r="F529" s="45"/>
    </row>
    <row r="530" ht="15.75" customHeight="1">
      <c r="A530" s="45"/>
      <c r="B530" s="45"/>
      <c r="C530" s="45"/>
      <c r="D530" s="45"/>
      <c r="E530" s="45"/>
      <c r="F530" s="45"/>
    </row>
    <row r="531" ht="15.75" customHeight="1">
      <c r="A531" s="45"/>
      <c r="B531" s="45"/>
      <c r="C531" s="45"/>
      <c r="D531" s="45"/>
      <c r="E531" s="45"/>
      <c r="F531" s="45"/>
    </row>
    <row r="532" ht="15.75" customHeight="1">
      <c r="A532" s="45"/>
      <c r="B532" s="45"/>
      <c r="C532" s="45"/>
      <c r="D532" s="45"/>
      <c r="E532" s="45"/>
      <c r="F532" s="45"/>
    </row>
    <row r="533" ht="15.75" customHeight="1">
      <c r="A533" s="45"/>
      <c r="B533" s="45"/>
      <c r="C533" s="45"/>
      <c r="D533" s="45"/>
      <c r="E533" s="45"/>
      <c r="F533" s="45"/>
    </row>
    <row r="534" ht="15.75" customHeight="1">
      <c r="A534" s="45"/>
      <c r="B534" s="45"/>
      <c r="C534" s="45"/>
      <c r="D534" s="45"/>
      <c r="E534" s="45"/>
      <c r="F534" s="45"/>
    </row>
    <row r="535" ht="15.75" customHeight="1">
      <c r="A535" s="45"/>
      <c r="B535" s="45"/>
      <c r="C535" s="45"/>
      <c r="D535" s="45"/>
      <c r="E535" s="45"/>
      <c r="F535" s="45"/>
    </row>
    <row r="536" ht="15.75" customHeight="1">
      <c r="A536" s="45"/>
      <c r="B536" s="45"/>
      <c r="C536" s="45"/>
      <c r="D536" s="45"/>
      <c r="E536" s="45"/>
      <c r="F536" s="45"/>
    </row>
    <row r="537" ht="15.75" customHeight="1">
      <c r="A537" s="45"/>
      <c r="B537" s="45"/>
      <c r="C537" s="45"/>
      <c r="D537" s="45"/>
      <c r="E537" s="45"/>
      <c r="F537" s="45"/>
    </row>
    <row r="538" ht="15.75" customHeight="1">
      <c r="A538" s="45"/>
      <c r="B538" s="45"/>
      <c r="C538" s="45"/>
      <c r="D538" s="45"/>
      <c r="E538" s="45"/>
      <c r="F538" s="45"/>
    </row>
    <row r="539" ht="15.75" customHeight="1">
      <c r="A539" s="45"/>
      <c r="B539" s="45"/>
      <c r="C539" s="45"/>
      <c r="D539" s="45"/>
      <c r="E539" s="45"/>
      <c r="F539" s="45"/>
    </row>
    <row r="540" ht="15.75" customHeight="1">
      <c r="A540" s="45"/>
      <c r="B540" s="45"/>
      <c r="C540" s="45"/>
      <c r="D540" s="45"/>
      <c r="E540" s="45"/>
      <c r="F540" s="45"/>
    </row>
    <row r="541" ht="15.75" customHeight="1">
      <c r="A541" s="45"/>
      <c r="B541" s="45"/>
      <c r="C541" s="45"/>
      <c r="D541" s="45"/>
      <c r="E541" s="45"/>
      <c r="F541" s="45"/>
    </row>
    <row r="542" ht="15.75" customHeight="1">
      <c r="A542" s="45"/>
      <c r="B542" s="45"/>
      <c r="C542" s="45"/>
      <c r="D542" s="45"/>
      <c r="E542" s="45"/>
      <c r="F542" s="45"/>
    </row>
    <row r="543" ht="15.75" customHeight="1">
      <c r="A543" s="45"/>
      <c r="B543" s="45"/>
      <c r="C543" s="45"/>
      <c r="D543" s="45"/>
      <c r="E543" s="45"/>
      <c r="F543" s="45"/>
    </row>
    <row r="544" ht="15.75" customHeight="1">
      <c r="A544" s="45"/>
      <c r="B544" s="45"/>
      <c r="C544" s="45"/>
      <c r="D544" s="45"/>
      <c r="E544" s="45"/>
      <c r="F544" s="45"/>
    </row>
    <row r="545" ht="15.75" customHeight="1">
      <c r="A545" s="45"/>
      <c r="B545" s="45"/>
      <c r="C545" s="45"/>
      <c r="D545" s="45"/>
      <c r="E545" s="45"/>
      <c r="F545" s="45"/>
    </row>
    <row r="546" ht="15.75" customHeight="1">
      <c r="A546" s="45"/>
      <c r="B546" s="45"/>
      <c r="C546" s="45"/>
      <c r="D546" s="45"/>
      <c r="E546" s="45"/>
      <c r="F546" s="45"/>
    </row>
    <row r="547" ht="15.75" customHeight="1">
      <c r="A547" s="45"/>
      <c r="B547" s="45"/>
      <c r="C547" s="45"/>
      <c r="D547" s="45"/>
      <c r="E547" s="45"/>
      <c r="F547" s="45"/>
    </row>
    <row r="548" ht="15.75" customHeight="1">
      <c r="A548" s="45"/>
      <c r="B548" s="45"/>
      <c r="C548" s="45"/>
      <c r="D548" s="45"/>
      <c r="E548" s="45"/>
      <c r="F548" s="45"/>
    </row>
    <row r="549" ht="15.75" customHeight="1">
      <c r="A549" s="45"/>
      <c r="B549" s="45"/>
      <c r="C549" s="45"/>
      <c r="D549" s="45"/>
      <c r="E549" s="45"/>
      <c r="F549" s="45"/>
    </row>
    <row r="550" ht="15.75" customHeight="1">
      <c r="A550" s="45"/>
      <c r="B550" s="45"/>
      <c r="C550" s="45"/>
      <c r="D550" s="45"/>
      <c r="E550" s="45"/>
      <c r="F550" s="45"/>
    </row>
    <row r="551" ht="15.75" customHeight="1">
      <c r="A551" s="45"/>
      <c r="B551" s="45"/>
      <c r="C551" s="45"/>
      <c r="D551" s="45"/>
      <c r="E551" s="45"/>
      <c r="F551" s="45"/>
    </row>
    <row r="552" ht="15.75" customHeight="1">
      <c r="A552" s="45"/>
      <c r="B552" s="45"/>
      <c r="C552" s="45"/>
      <c r="D552" s="45"/>
      <c r="E552" s="45"/>
      <c r="F552" s="45"/>
    </row>
    <row r="553" ht="15.75" customHeight="1">
      <c r="A553" s="45"/>
      <c r="B553" s="45"/>
      <c r="C553" s="45"/>
      <c r="D553" s="45"/>
      <c r="E553" s="45"/>
      <c r="F553" s="45"/>
    </row>
    <row r="554" ht="15.75" customHeight="1">
      <c r="A554" s="45"/>
      <c r="B554" s="45"/>
      <c r="C554" s="45"/>
      <c r="D554" s="45"/>
      <c r="E554" s="45"/>
      <c r="F554" s="45"/>
    </row>
    <row r="555" ht="15.75" customHeight="1">
      <c r="A555" s="45"/>
      <c r="B555" s="45"/>
      <c r="C555" s="45"/>
      <c r="D555" s="45"/>
      <c r="E555" s="45"/>
      <c r="F555" s="45"/>
    </row>
    <row r="556" ht="15.75" customHeight="1">
      <c r="A556" s="45"/>
      <c r="B556" s="45"/>
      <c r="C556" s="45"/>
      <c r="D556" s="45"/>
      <c r="E556" s="45"/>
      <c r="F556" s="45"/>
    </row>
    <row r="557" ht="15.75" customHeight="1">
      <c r="A557" s="45"/>
      <c r="B557" s="45"/>
      <c r="C557" s="45"/>
      <c r="D557" s="45"/>
      <c r="E557" s="45"/>
      <c r="F557" s="45"/>
    </row>
    <row r="558" ht="15.75" customHeight="1">
      <c r="A558" s="45"/>
      <c r="B558" s="45"/>
      <c r="C558" s="45"/>
      <c r="D558" s="45"/>
      <c r="E558" s="45"/>
      <c r="F558" s="45"/>
    </row>
    <row r="559" ht="15.75" customHeight="1">
      <c r="A559" s="45"/>
      <c r="B559" s="45"/>
      <c r="C559" s="45"/>
      <c r="D559" s="45"/>
      <c r="E559" s="45"/>
      <c r="F559" s="45"/>
    </row>
    <row r="560" ht="15.75" customHeight="1">
      <c r="A560" s="45"/>
      <c r="B560" s="45"/>
      <c r="C560" s="45"/>
      <c r="D560" s="45"/>
      <c r="E560" s="45"/>
      <c r="F560" s="45"/>
    </row>
    <row r="561" ht="15.75" customHeight="1">
      <c r="A561" s="45"/>
      <c r="B561" s="45"/>
      <c r="C561" s="45"/>
      <c r="D561" s="45"/>
      <c r="E561" s="45"/>
      <c r="F561" s="45"/>
    </row>
    <row r="562" ht="15.75" customHeight="1">
      <c r="A562" s="45"/>
      <c r="B562" s="45"/>
      <c r="C562" s="45"/>
      <c r="D562" s="45"/>
      <c r="E562" s="45"/>
      <c r="F562" s="45"/>
    </row>
    <row r="563" ht="15.75" customHeight="1">
      <c r="A563" s="45"/>
      <c r="B563" s="45"/>
      <c r="C563" s="45"/>
      <c r="D563" s="45"/>
      <c r="E563" s="45"/>
      <c r="F563" s="45"/>
    </row>
    <row r="564" ht="15.75" customHeight="1">
      <c r="A564" s="45"/>
      <c r="B564" s="45"/>
      <c r="C564" s="45"/>
      <c r="D564" s="45"/>
      <c r="E564" s="45"/>
      <c r="F564" s="45"/>
    </row>
    <row r="565" ht="15.75" customHeight="1">
      <c r="A565" s="45"/>
      <c r="B565" s="45"/>
      <c r="C565" s="45"/>
      <c r="D565" s="45"/>
      <c r="E565" s="45"/>
      <c r="F565" s="45"/>
    </row>
    <row r="566" ht="15.75" customHeight="1">
      <c r="A566" s="45"/>
      <c r="B566" s="45"/>
      <c r="C566" s="45"/>
      <c r="D566" s="45"/>
      <c r="E566" s="45"/>
      <c r="F566" s="45"/>
    </row>
    <row r="567" ht="15.75" customHeight="1">
      <c r="A567" s="45"/>
      <c r="B567" s="45"/>
      <c r="C567" s="45"/>
      <c r="D567" s="45"/>
      <c r="E567" s="45"/>
      <c r="F567" s="45"/>
    </row>
    <row r="568" ht="15.75" customHeight="1">
      <c r="A568" s="45"/>
      <c r="B568" s="45"/>
      <c r="C568" s="45"/>
      <c r="D568" s="45"/>
      <c r="E568" s="45"/>
      <c r="F568" s="45"/>
    </row>
    <row r="569" ht="15.75" customHeight="1">
      <c r="A569" s="45"/>
      <c r="B569" s="45"/>
      <c r="C569" s="45"/>
      <c r="D569" s="45"/>
      <c r="E569" s="45"/>
      <c r="F569" s="45"/>
    </row>
    <row r="570" ht="15.75" customHeight="1">
      <c r="A570" s="45"/>
      <c r="B570" s="45"/>
      <c r="C570" s="45"/>
      <c r="D570" s="45"/>
      <c r="E570" s="45"/>
      <c r="F570" s="45"/>
    </row>
    <row r="571" ht="15.75" customHeight="1">
      <c r="A571" s="45"/>
      <c r="B571" s="45"/>
      <c r="C571" s="45"/>
      <c r="D571" s="45"/>
      <c r="E571" s="45"/>
      <c r="F571" s="45"/>
    </row>
    <row r="572" ht="15.75" customHeight="1">
      <c r="A572" s="45"/>
      <c r="B572" s="45"/>
      <c r="C572" s="45"/>
      <c r="D572" s="45"/>
      <c r="E572" s="45"/>
      <c r="F572" s="45"/>
    </row>
    <row r="573" ht="15.75" customHeight="1">
      <c r="A573" s="45"/>
      <c r="B573" s="45"/>
      <c r="C573" s="45"/>
      <c r="D573" s="45"/>
      <c r="E573" s="45"/>
      <c r="F573" s="45"/>
    </row>
    <row r="574" ht="15.75" customHeight="1">
      <c r="A574" s="45"/>
      <c r="B574" s="45"/>
      <c r="C574" s="45"/>
      <c r="D574" s="45"/>
      <c r="E574" s="45"/>
      <c r="F574" s="45"/>
    </row>
    <row r="575" ht="15.75" customHeight="1">
      <c r="A575" s="45"/>
      <c r="B575" s="45"/>
      <c r="C575" s="45"/>
      <c r="D575" s="45"/>
      <c r="E575" s="45"/>
      <c r="F575" s="45"/>
    </row>
    <row r="576" ht="15.75" customHeight="1">
      <c r="A576" s="45"/>
      <c r="B576" s="45"/>
      <c r="C576" s="45"/>
      <c r="D576" s="45"/>
      <c r="E576" s="45"/>
      <c r="F576" s="45"/>
    </row>
    <row r="577" ht="15.75" customHeight="1">
      <c r="A577" s="45"/>
      <c r="B577" s="45"/>
      <c r="C577" s="45"/>
      <c r="D577" s="45"/>
      <c r="E577" s="45"/>
      <c r="F577" s="45"/>
    </row>
    <row r="578" ht="15.75" customHeight="1">
      <c r="A578" s="45"/>
      <c r="B578" s="45"/>
      <c r="C578" s="45"/>
      <c r="D578" s="45"/>
      <c r="E578" s="45"/>
      <c r="F578" s="45"/>
    </row>
    <row r="579" ht="15.75" customHeight="1">
      <c r="A579" s="45"/>
      <c r="B579" s="45"/>
      <c r="C579" s="45"/>
      <c r="D579" s="45"/>
      <c r="E579" s="45"/>
      <c r="F579" s="45"/>
    </row>
    <row r="580" ht="15.75" customHeight="1">
      <c r="A580" s="45"/>
      <c r="B580" s="45"/>
      <c r="C580" s="45"/>
      <c r="D580" s="45"/>
      <c r="E580" s="45"/>
      <c r="F580" s="45"/>
    </row>
    <row r="581" ht="15.75" customHeight="1">
      <c r="A581" s="45"/>
      <c r="B581" s="45"/>
      <c r="C581" s="45"/>
      <c r="D581" s="45"/>
      <c r="E581" s="45"/>
      <c r="F581" s="45"/>
    </row>
    <row r="582" ht="15.75" customHeight="1">
      <c r="A582" s="45"/>
      <c r="B582" s="45"/>
      <c r="C582" s="45"/>
      <c r="D582" s="45"/>
      <c r="E582" s="45"/>
      <c r="F582" s="45"/>
    </row>
    <row r="583" ht="15.75" customHeight="1">
      <c r="A583" s="45"/>
      <c r="B583" s="45"/>
      <c r="C583" s="45"/>
      <c r="D583" s="45"/>
      <c r="E583" s="45"/>
      <c r="F583" s="45"/>
    </row>
    <row r="584" ht="15.75" customHeight="1">
      <c r="A584" s="45"/>
      <c r="B584" s="45"/>
      <c r="C584" s="45"/>
      <c r="D584" s="45"/>
      <c r="E584" s="45"/>
      <c r="F584" s="45"/>
    </row>
    <row r="585" ht="15.75" customHeight="1">
      <c r="A585" s="45"/>
      <c r="B585" s="45"/>
      <c r="C585" s="45"/>
      <c r="D585" s="45"/>
      <c r="E585" s="45"/>
      <c r="F585" s="45"/>
    </row>
    <row r="586" ht="15.75" customHeight="1">
      <c r="A586" s="45"/>
      <c r="B586" s="45"/>
      <c r="C586" s="45"/>
      <c r="D586" s="45"/>
      <c r="E586" s="45"/>
      <c r="F586" s="45"/>
    </row>
    <row r="587" ht="15.75" customHeight="1">
      <c r="A587" s="45"/>
      <c r="B587" s="45"/>
      <c r="C587" s="45"/>
      <c r="D587" s="45"/>
      <c r="E587" s="45"/>
      <c r="F587" s="45"/>
    </row>
    <row r="588" ht="15.75" customHeight="1">
      <c r="A588" s="45"/>
      <c r="B588" s="45"/>
      <c r="C588" s="45"/>
      <c r="D588" s="45"/>
      <c r="E588" s="45"/>
      <c r="F588" s="45"/>
    </row>
    <row r="589" ht="15.75" customHeight="1">
      <c r="A589" s="45"/>
      <c r="B589" s="45"/>
      <c r="C589" s="45"/>
      <c r="D589" s="45"/>
      <c r="E589" s="45"/>
      <c r="F589" s="45"/>
    </row>
    <row r="590" ht="15.75" customHeight="1">
      <c r="A590" s="45"/>
      <c r="B590" s="45"/>
      <c r="C590" s="45"/>
      <c r="D590" s="45"/>
      <c r="E590" s="45"/>
      <c r="F590" s="45"/>
    </row>
    <row r="591" ht="15.75" customHeight="1">
      <c r="A591" s="45"/>
      <c r="B591" s="45"/>
      <c r="C591" s="45"/>
      <c r="D591" s="45"/>
      <c r="E591" s="45"/>
      <c r="F591" s="45"/>
    </row>
    <row r="592" ht="15.75" customHeight="1">
      <c r="A592" s="45"/>
      <c r="B592" s="45"/>
      <c r="C592" s="45"/>
      <c r="D592" s="45"/>
      <c r="E592" s="45"/>
      <c r="F592" s="45"/>
    </row>
    <row r="593" ht="15.75" customHeight="1">
      <c r="A593" s="45"/>
      <c r="B593" s="45"/>
      <c r="C593" s="45"/>
      <c r="D593" s="45"/>
      <c r="E593" s="45"/>
      <c r="F593" s="45"/>
    </row>
    <row r="594" ht="15.75" customHeight="1">
      <c r="A594" s="45"/>
      <c r="B594" s="45"/>
      <c r="C594" s="45"/>
      <c r="D594" s="45"/>
      <c r="E594" s="45"/>
      <c r="F594" s="45"/>
    </row>
    <row r="595" ht="15.75" customHeight="1">
      <c r="A595" s="45"/>
      <c r="B595" s="45"/>
      <c r="C595" s="45"/>
      <c r="D595" s="45"/>
      <c r="E595" s="45"/>
      <c r="F595" s="45"/>
    </row>
    <row r="596" ht="15.75" customHeight="1">
      <c r="A596" s="45"/>
      <c r="B596" s="45"/>
      <c r="C596" s="45"/>
      <c r="D596" s="45"/>
      <c r="E596" s="45"/>
      <c r="F596" s="45"/>
    </row>
    <row r="597" ht="15.75" customHeight="1">
      <c r="A597" s="45"/>
      <c r="B597" s="45"/>
      <c r="C597" s="45"/>
      <c r="D597" s="45"/>
      <c r="E597" s="45"/>
      <c r="F597" s="45"/>
    </row>
    <row r="598" ht="15.75" customHeight="1">
      <c r="A598" s="45"/>
      <c r="B598" s="45"/>
      <c r="C598" s="45"/>
      <c r="D598" s="45"/>
      <c r="E598" s="45"/>
      <c r="F598" s="45"/>
    </row>
    <row r="599" ht="15.75" customHeight="1">
      <c r="A599" s="45"/>
      <c r="B599" s="45"/>
      <c r="C599" s="45"/>
      <c r="D599" s="45"/>
      <c r="E599" s="45"/>
      <c r="F599" s="45"/>
    </row>
    <row r="600" ht="15.75" customHeight="1">
      <c r="A600" s="45"/>
      <c r="B600" s="45"/>
      <c r="C600" s="45"/>
      <c r="D600" s="45"/>
      <c r="E600" s="45"/>
      <c r="F600" s="45"/>
    </row>
    <row r="601" ht="15.75" customHeight="1">
      <c r="A601" s="45"/>
      <c r="B601" s="45"/>
      <c r="C601" s="45"/>
      <c r="D601" s="45"/>
      <c r="E601" s="45"/>
      <c r="F601" s="45"/>
    </row>
    <row r="602" ht="15.75" customHeight="1">
      <c r="A602" s="45"/>
      <c r="B602" s="45"/>
      <c r="C602" s="45"/>
      <c r="D602" s="45"/>
      <c r="E602" s="45"/>
      <c r="F602" s="45"/>
    </row>
    <row r="603" ht="15.75" customHeight="1">
      <c r="A603" s="45"/>
      <c r="B603" s="45"/>
      <c r="C603" s="45"/>
      <c r="D603" s="45"/>
      <c r="E603" s="45"/>
      <c r="F603" s="45"/>
    </row>
    <row r="604" ht="15.75" customHeight="1">
      <c r="A604" s="45"/>
      <c r="B604" s="45"/>
      <c r="C604" s="45"/>
      <c r="D604" s="45"/>
      <c r="E604" s="45"/>
      <c r="F604" s="45"/>
    </row>
    <row r="605" ht="15.75" customHeight="1">
      <c r="A605" s="45"/>
      <c r="B605" s="45"/>
      <c r="C605" s="45"/>
      <c r="D605" s="45"/>
      <c r="E605" s="45"/>
      <c r="F605" s="45"/>
    </row>
    <row r="606" ht="15.75" customHeight="1">
      <c r="A606" s="45"/>
      <c r="B606" s="45"/>
      <c r="C606" s="45"/>
      <c r="D606" s="45"/>
      <c r="E606" s="45"/>
      <c r="F606" s="45"/>
    </row>
    <row r="607" ht="15.75" customHeight="1">
      <c r="A607" s="45"/>
      <c r="B607" s="45"/>
      <c r="C607" s="45"/>
      <c r="D607" s="45"/>
      <c r="E607" s="45"/>
      <c r="F607" s="45"/>
    </row>
    <row r="608" ht="15.75" customHeight="1">
      <c r="A608" s="45"/>
      <c r="B608" s="45"/>
      <c r="C608" s="45"/>
      <c r="D608" s="45"/>
      <c r="E608" s="45"/>
      <c r="F608" s="45"/>
    </row>
    <row r="609" ht="15.75" customHeight="1">
      <c r="A609" s="45"/>
      <c r="B609" s="45"/>
      <c r="C609" s="45"/>
      <c r="D609" s="45"/>
      <c r="E609" s="45"/>
      <c r="F609" s="45"/>
    </row>
    <row r="610" ht="15.75" customHeight="1">
      <c r="A610" s="45"/>
      <c r="B610" s="45"/>
      <c r="C610" s="45"/>
      <c r="D610" s="45"/>
      <c r="E610" s="45"/>
      <c r="F610" s="45"/>
    </row>
    <row r="611" ht="15.75" customHeight="1">
      <c r="A611" s="45"/>
      <c r="B611" s="45"/>
      <c r="C611" s="45"/>
      <c r="D611" s="45"/>
      <c r="E611" s="45"/>
      <c r="F611" s="45"/>
    </row>
    <row r="612" ht="15.75" customHeight="1">
      <c r="A612" s="45"/>
      <c r="B612" s="45"/>
      <c r="C612" s="45"/>
      <c r="D612" s="45"/>
      <c r="E612" s="45"/>
      <c r="F612" s="45"/>
    </row>
    <row r="613" ht="15.75" customHeight="1">
      <c r="A613" s="45"/>
      <c r="B613" s="45"/>
      <c r="C613" s="45"/>
      <c r="D613" s="45"/>
      <c r="E613" s="45"/>
      <c r="F613" s="45"/>
    </row>
    <row r="614" ht="15.75" customHeight="1">
      <c r="A614" s="45"/>
      <c r="B614" s="45"/>
      <c r="C614" s="45"/>
      <c r="D614" s="45"/>
      <c r="E614" s="45"/>
      <c r="F614" s="45"/>
    </row>
    <row r="615" ht="15.75" customHeight="1">
      <c r="A615" s="45"/>
      <c r="B615" s="45"/>
      <c r="C615" s="45"/>
      <c r="D615" s="45"/>
      <c r="E615" s="45"/>
      <c r="F615" s="45"/>
    </row>
    <row r="616" ht="15.75" customHeight="1">
      <c r="A616" s="45"/>
      <c r="B616" s="45"/>
      <c r="C616" s="45"/>
      <c r="D616" s="45"/>
      <c r="E616" s="45"/>
      <c r="F616" s="45"/>
    </row>
    <row r="617" ht="15.75" customHeight="1">
      <c r="A617" s="45"/>
      <c r="B617" s="45"/>
      <c r="C617" s="45"/>
      <c r="D617" s="45"/>
      <c r="E617" s="45"/>
      <c r="F617" s="45"/>
    </row>
    <row r="618" ht="15.75" customHeight="1">
      <c r="A618" s="45"/>
      <c r="B618" s="45"/>
      <c r="C618" s="45"/>
      <c r="D618" s="45"/>
      <c r="E618" s="45"/>
      <c r="F618" s="45"/>
    </row>
    <row r="619" ht="15.75" customHeight="1">
      <c r="A619" s="45"/>
      <c r="B619" s="45"/>
      <c r="C619" s="45"/>
      <c r="D619" s="45"/>
      <c r="E619" s="45"/>
      <c r="F619" s="45"/>
    </row>
    <row r="620" ht="15.75" customHeight="1">
      <c r="A620" s="45"/>
      <c r="B620" s="45"/>
      <c r="C620" s="45"/>
      <c r="D620" s="45"/>
      <c r="E620" s="45"/>
      <c r="F620" s="45"/>
    </row>
    <row r="621" ht="15.75" customHeight="1">
      <c r="A621" s="45"/>
      <c r="B621" s="45"/>
      <c r="C621" s="45"/>
      <c r="D621" s="45"/>
      <c r="E621" s="45"/>
      <c r="F621" s="45"/>
    </row>
    <row r="622" ht="15.75" customHeight="1">
      <c r="A622" s="45"/>
      <c r="B622" s="45"/>
      <c r="C622" s="45"/>
      <c r="D622" s="45"/>
      <c r="E622" s="45"/>
      <c r="F622" s="45"/>
    </row>
    <row r="623" ht="15.75" customHeight="1">
      <c r="A623" s="45"/>
      <c r="B623" s="45"/>
      <c r="C623" s="45"/>
      <c r="D623" s="45"/>
      <c r="E623" s="45"/>
      <c r="F623" s="45"/>
    </row>
    <row r="624" ht="15.75" customHeight="1">
      <c r="A624" s="45"/>
      <c r="B624" s="45"/>
      <c r="C624" s="45"/>
      <c r="D624" s="45"/>
      <c r="E624" s="45"/>
      <c r="F624" s="45"/>
    </row>
    <row r="625" ht="15.75" customHeight="1">
      <c r="A625" s="45"/>
      <c r="B625" s="45"/>
      <c r="C625" s="45"/>
      <c r="D625" s="45"/>
      <c r="E625" s="45"/>
      <c r="F625" s="45"/>
    </row>
    <row r="626" ht="15.75" customHeight="1">
      <c r="A626" s="45"/>
      <c r="B626" s="45"/>
      <c r="C626" s="45"/>
      <c r="D626" s="45"/>
      <c r="E626" s="45"/>
      <c r="F626" s="45"/>
    </row>
    <row r="627" ht="15.75" customHeight="1">
      <c r="A627" s="45"/>
      <c r="B627" s="45"/>
      <c r="C627" s="45"/>
      <c r="D627" s="45"/>
      <c r="E627" s="45"/>
      <c r="F627" s="45"/>
    </row>
    <row r="628" ht="15.75" customHeight="1">
      <c r="A628" s="45"/>
      <c r="B628" s="45"/>
      <c r="C628" s="45"/>
      <c r="D628" s="45"/>
      <c r="E628" s="45"/>
      <c r="F628" s="45"/>
    </row>
    <row r="629" ht="15.75" customHeight="1">
      <c r="A629" s="45"/>
      <c r="B629" s="45"/>
      <c r="C629" s="45"/>
      <c r="D629" s="45"/>
      <c r="E629" s="45"/>
      <c r="F629" s="45"/>
    </row>
    <row r="630" ht="15.75" customHeight="1">
      <c r="A630" s="45"/>
      <c r="B630" s="45"/>
      <c r="C630" s="45"/>
      <c r="D630" s="45"/>
      <c r="E630" s="45"/>
      <c r="F630" s="45"/>
    </row>
    <row r="631" ht="15.75" customHeight="1">
      <c r="A631" s="45"/>
      <c r="B631" s="45"/>
      <c r="C631" s="45"/>
      <c r="D631" s="45"/>
      <c r="E631" s="45"/>
      <c r="F631" s="45"/>
    </row>
    <row r="632" ht="15.75" customHeight="1">
      <c r="A632" s="45"/>
      <c r="B632" s="45"/>
      <c r="C632" s="45"/>
      <c r="D632" s="45"/>
      <c r="E632" s="45"/>
      <c r="F632" s="45"/>
    </row>
    <row r="633" ht="15.75" customHeight="1">
      <c r="A633" s="45"/>
      <c r="B633" s="45"/>
      <c r="C633" s="45"/>
      <c r="D633" s="45"/>
      <c r="E633" s="45"/>
      <c r="F633" s="45"/>
    </row>
    <row r="634" ht="15.75" customHeight="1">
      <c r="A634" s="45"/>
      <c r="B634" s="45"/>
      <c r="C634" s="45"/>
      <c r="D634" s="45"/>
      <c r="E634" s="45"/>
      <c r="F634" s="45"/>
    </row>
    <row r="635" ht="15.75" customHeight="1">
      <c r="A635" s="45"/>
      <c r="B635" s="45"/>
      <c r="C635" s="45"/>
      <c r="D635" s="45"/>
      <c r="E635" s="45"/>
      <c r="F635" s="45"/>
    </row>
    <row r="636" ht="15.75" customHeight="1">
      <c r="A636" s="45"/>
      <c r="B636" s="45"/>
      <c r="C636" s="45"/>
      <c r="D636" s="45"/>
      <c r="E636" s="45"/>
      <c r="F636" s="45"/>
    </row>
    <row r="637" ht="15.75" customHeight="1">
      <c r="A637" s="45"/>
      <c r="B637" s="45"/>
      <c r="C637" s="45"/>
      <c r="D637" s="45"/>
      <c r="E637" s="45"/>
      <c r="F637" s="45"/>
    </row>
    <row r="638" ht="15.75" customHeight="1">
      <c r="A638" s="45"/>
      <c r="B638" s="45"/>
      <c r="C638" s="45"/>
      <c r="D638" s="45"/>
      <c r="E638" s="45"/>
      <c r="F638" s="45"/>
    </row>
    <row r="639" ht="15.75" customHeight="1">
      <c r="A639" s="45"/>
      <c r="B639" s="45"/>
      <c r="C639" s="45"/>
      <c r="D639" s="45"/>
      <c r="E639" s="45"/>
      <c r="F639" s="45"/>
    </row>
    <row r="640" ht="15.75" customHeight="1">
      <c r="A640" s="45"/>
      <c r="B640" s="45"/>
      <c r="C640" s="45"/>
      <c r="D640" s="45"/>
      <c r="E640" s="45"/>
      <c r="F640" s="45"/>
    </row>
    <row r="641" ht="15.75" customHeight="1">
      <c r="A641" s="45"/>
      <c r="B641" s="45"/>
      <c r="C641" s="45"/>
      <c r="D641" s="45"/>
      <c r="E641" s="45"/>
      <c r="F641" s="45"/>
    </row>
    <row r="642" ht="15.75" customHeight="1">
      <c r="A642" s="45"/>
      <c r="B642" s="45"/>
      <c r="C642" s="45"/>
      <c r="D642" s="45"/>
      <c r="E642" s="45"/>
      <c r="F642" s="45"/>
    </row>
    <row r="643" ht="15.75" customHeight="1">
      <c r="A643" s="45"/>
      <c r="B643" s="45"/>
      <c r="C643" s="45"/>
      <c r="D643" s="45"/>
      <c r="E643" s="45"/>
      <c r="F643" s="45"/>
    </row>
    <row r="644" ht="15.75" customHeight="1">
      <c r="A644" s="45"/>
      <c r="B644" s="45"/>
      <c r="C644" s="45"/>
      <c r="D644" s="45"/>
      <c r="E644" s="45"/>
      <c r="F644" s="45"/>
    </row>
    <row r="645" ht="15.75" customHeight="1">
      <c r="A645" s="45"/>
      <c r="B645" s="45"/>
      <c r="C645" s="45"/>
      <c r="D645" s="45"/>
      <c r="E645" s="45"/>
      <c r="F645" s="45"/>
    </row>
    <row r="646" ht="15.75" customHeight="1">
      <c r="A646" s="45"/>
      <c r="B646" s="45"/>
      <c r="C646" s="45"/>
      <c r="D646" s="45"/>
      <c r="E646" s="45"/>
      <c r="F646" s="45"/>
    </row>
    <row r="647" ht="15.75" customHeight="1">
      <c r="A647" s="45"/>
      <c r="B647" s="45"/>
      <c r="C647" s="45"/>
      <c r="D647" s="45"/>
      <c r="E647" s="45"/>
      <c r="F647" s="45"/>
    </row>
    <row r="648" ht="15.75" customHeight="1">
      <c r="A648" s="45"/>
      <c r="B648" s="45"/>
      <c r="C648" s="45"/>
      <c r="D648" s="45"/>
      <c r="E648" s="45"/>
      <c r="F648" s="45"/>
    </row>
    <row r="649" ht="15.75" customHeight="1">
      <c r="A649" s="45"/>
      <c r="B649" s="45"/>
      <c r="C649" s="45"/>
      <c r="D649" s="45"/>
      <c r="E649" s="45"/>
      <c r="F649" s="45"/>
    </row>
    <row r="650" ht="15.75" customHeight="1">
      <c r="A650" s="45"/>
      <c r="B650" s="45"/>
      <c r="C650" s="45"/>
      <c r="D650" s="45"/>
      <c r="E650" s="45"/>
      <c r="F650" s="45"/>
    </row>
    <row r="651" ht="15.75" customHeight="1">
      <c r="A651" s="45"/>
      <c r="B651" s="45"/>
      <c r="C651" s="45"/>
      <c r="D651" s="45"/>
      <c r="E651" s="45"/>
      <c r="F651" s="45"/>
    </row>
    <row r="652" ht="15.75" customHeight="1">
      <c r="A652" s="45"/>
      <c r="B652" s="45"/>
      <c r="C652" s="45"/>
      <c r="D652" s="45"/>
      <c r="E652" s="45"/>
      <c r="F652" s="45"/>
    </row>
    <row r="653" ht="15.75" customHeight="1">
      <c r="A653" s="45"/>
      <c r="B653" s="45"/>
      <c r="C653" s="45"/>
      <c r="D653" s="45"/>
      <c r="E653" s="45"/>
      <c r="F653" s="45"/>
    </row>
    <row r="654" ht="15.75" customHeight="1">
      <c r="A654" s="45"/>
      <c r="B654" s="45"/>
      <c r="C654" s="45"/>
      <c r="D654" s="45"/>
      <c r="E654" s="45"/>
      <c r="F654" s="45"/>
    </row>
    <row r="655" ht="15.75" customHeight="1">
      <c r="A655" s="45"/>
      <c r="B655" s="45"/>
      <c r="C655" s="45"/>
      <c r="D655" s="45"/>
      <c r="E655" s="45"/>
      <c r="F655" s="45"/>
    </row>
    <row r="656" ht="15.75" customHeight="1">
      <c r="A656" s="45"/>
      <c r="B656" s="45"/>
      <c r="C656" s="45"/>
      <c r="D656" s="45"/>
      <c r="E656" s="45"/>
      <c r="F656" s="45"/>
    </row>
    <row r="657" ht="15.75" customHeight="1">
      <c r="A657" s="45"/>
      <c r="B657" s="45"/>
      <c r="C657" s="45"/>
      <c r="D657" s="45"/>
      <c r="E657" s="45"/>
      <c r="F657" s="45"/>
    </row>
    <row r="658" ht="15.75" customHeight="1">
      <c r="A658" s="45"/>
      <c r="B658" s="45"/>
      <c r="C658" s="45"/>
      <c r="D658" s="45"/>
      <c r="E658" s="45"/>
      <c r="F658" s="45"/>
    </row>
    <row r="659" ht="15.75" customHeight="1">
      <c r="A659" s="45"/>
      <c r="B659" s="45"/>
      <c r="C659" s="45"/>
      <c r="D659" s="45"/>
      <c r="E659" s="45"/>
      <c r="F659" s="45"/>
    </row>
    <row r="660" ht="15.75" customHeight="1">
      <c r="A660" s="45"/>
      <c r="B660" s="45"/>
      <c r="C660" s="45"/>
      <c r="D660" s="45"/>
      <c r="E660" s="45"/>
      <c r="F660" s="45"/>
    </row>
    <row r="661" ht="15.75" customHeight="1">
      <c r="A661" s="45"/>
      <c r="B661" s="45"/>
      <c r="C661" s="45"/>
      <c r="D661" s="45"/>
      <c r="E661" s="45"/>
      <c r="F661" s="45"/>
    </row>
    <row r="662" ht="15.75" customHeight="1">
      <c r="A662" s="45"/>
      <c r="B662" s="45"/>
      <c r="C662" s="45"/>
      <c r="D662" s="45"/>
      <c r="E662" s="45"/>
      <c r="F662" s="45"/>
    </row>
    <row r="663" ht="15.75" customHeight="1">
      <c r="A663" s="45"/>
      <c r="B663" s="45"/>
      <c r="C663" s="45"/>
      <c r="D663" s="45"/>
      <c r="E663" s="45"/>
      <c r="F663" s="45"/>
    </row>
    <row r="664" ht="15.75" customHeight="1">
      <c r="A664" s="45"/>
      <c r="B664" s="45"/>
      <c r="C664" s="45"/>
      <c r="D664" s="45"/>
      <c r="E664" s="45"/>
      <c r="F664" s="45"/>
    </row>
    <row r="665" ht="15.75" customHeight="1">
      <c r="A665" s="45"/>
      <c r="B665" s="45"/>
      <c r="C665" s="45"/>
      <c r="D665" s="45"/>
      <c r="E665" s="45"/>
      <c r="F665" s="45"/>
    </row>
    <row r="666" ht="15.75" customHeight="1">
      <c r="A666" s="45"/>
      <c r="B666" s="45"/>
      <c r="C666" s="45"/>
      <c r="D666" s="45"/>
      <c r="E666" s="45"/>
      <c r="F666" s="45"/>
    </row>
    <row r="667" ht="15.75" customHeight="1">
      <c r="A667" s="45"/>
      <c r="B667" s="45"/>
      <c r="C667" s="45"/>
      <c r="D667" s="45"/>
      <c r="E667" s="45"/>
      <c r="F667" s="45"/>
    </row>
    <row r="668" ht="15.75" customHeight="1">
      <c r="A668" s="45"/>
      <c r="B668" s="45"/>
      <c r="C668" s="45"/>
      <c r="D668" s="45"/>
      <c r="E668" s="45"/>
      <c r="F668" s="45"/>
    </row>
    <row r="669" ht="15.75" customHeight="1">
      <c r="A669" s="45"/>
      <c r="B669" s="45"/>
      <c r="C669" s="45"/>
      <c r="D669" s="45"/>
      <c r="E669" s="45"/>
      <c r="F669" s="45"/>
    </row>
    <row r="670" ht="15.75" customHeight="1">
      <c r="A670" s="45"/>
      <c r="B670" s="45"/>
      <c r="C670" s="45"/>
      <c r="D670" s="45"/>
      <c r="E670" s="45"/>
      <c r="F670" s="45"/>
    </row>
    <row r="671" ht="15.75" customHeight="1">
      <c r="A671" s="45"/>
      <c r="B671" s="45"/>
      <c r="C671" s="45"/>
      <c r="D671" s="45"/>
      <c r="E671" s="45"/>
      <c r="F671" s="45"/>
    </row>
    <row r="672" ht="15.75" customHeight="1">
      <c r="A672" s="45"/>
      <c r="B672" s="45"/>
      <c r="C672" s="45"/>
      <c r="D672" s="45"/>
      <c r="E672" s="45"/>
      <c r="F672" s="45"/>
    </row>
    <row r="673" ht="15.75" customHeight="1">
      <c r="A673" s="45"/>
      <c r="B673" s="45"/>
      <c r="C673" s="45"/>
      <c r="D673" s="45"/>
      <c r="E673" s="45"/>
      <c r="F673" s="45"/>
    </row>
    <row r="674" ht="15.75" customHeight="1">
      <c r="A674" s="45"/>
      <c r="B674" s="45"/>
      <c r="C674" s="45"/>
      <c r="D674" s="45"/>
      <c r="E674" s="45"/>
      <c r="F674" s="45"/>
    </row>
    <row r="675" ht="15.75" customHeight="1">
      <c r="A675" s="45"/>
      <c r="B675" s="45"/>
      <c r="C675" s="45"/>
      <c r="D675" s="45"/>
      <c r="E675" s="45"/>
      <c r="F675" s="45"/>
    </row>
    <row r="676" ht="15.75" customHeight="1">
      <c r="A676" s="45"/>
      <c r="B676" s="45"/>
      <c r="C676" s="45"/>
      <c r="D676" s="45"/>
      <c r="E676" s="45"/>
      <c r="F676" s="45"/>
    </row>
    <row r="677" ht="15.75" customHeight="1">
      <c r="A677" s="45"/>
      <c r="B677" s="45"/>
      <c r="C677" s="45"/>
      <c r="D677" s="45"/>
      <c r="E677" s="45"/>
      <c r="F677" s="45"/>
    </row>
    <row r="678" ht="15.75" customHeight="1">
      <c r="A678" s="45"/>
      <c r="B678" s="45"/>
      <c r="C678" s="45"/>
      <c r="D678" s="45"/>
      <c r="E678" s="45"/>
      <c r="F678" s="45"/>
    </row>
    <row r="679" ht="15.75" customHeight="1">
      <c r="A679" s="45"/>
      <c r="B679" s="45"/>
      <c r="C679" s="45"/>
      <c r="D679" s="45"/>
      <c r="E679" s="45"/>
      <c r="F679" s="45"/>
    </row>
    <row r="680" ht="15.75" customHeight="1">
      <c r="A680" s="45"/>
      <c r="B680" s="45"/>
      <c r="C680" s="45"/>
      <c r="D680" s="45"/>
      <c r="E680" s="45"/>
      <c r="F680" s="45"/>
    </row>
    <row r="681" ht="15.75" customHeight="1">
      <c r="A681" s="45"/>
      <c r="B681" s="45"/>
      <c r="C681" s="45"/>
      <c r="D681" s="45"/>
      <c r="E681" s="45"/>
      <c r="F681" s="45"/>
    </row>
    <row r="682" ht="15.75" customHeight="1">
      <c r="A682" s="45"/>
      <c r="B682" s="45"/>
      <c r="C682" s="45"/>
      <c r="D682" s="45"/>
      <c r="E682" s="45"/>
      <c r="F682" s="45"/>
    </row>
    <row r="683" ht="15.75" customHeight="1">
      <c r="A683" s="45"/>
      <c r="B683" s="45"/>
      <c r="C683" s="45"/>
      <c r="D683" s="45"/>
      <c r="E683" s="45"/>
      <c r="F683" s="45"/>
    </row>
    <row r="684" ht="15.75" customHeight="1">
      <c r="A684" s="45"/>
      <c r="B684" s="45"/>
      <c r="C684" s="45"/>
      <c r="D684" s="45"/>
      <c r="E684" s="45"/>
      <c r="F684" s="45"/>
    </row>
    <row r="685" ht="15.75" customHeight="1">
      <c r="A685" s="45"/>
      <c r="B685" s="45"/>
      <c r="C685" s="45"/>
      <c r="D685" s="45"/>
      <c r="E685" s="45"/>
      <c r="F685" s="45"/>
    </row>
    <row r="686" ht="15.75" customHeight="1">
      <c r="A686" s="45"/>
      <c r="B686" s="45"/>
      <c r="C686" s="45"/>
      <c r="D686" s="45"/>
      <c r="E686" s="45"/>
      <c r="F686" s="45"/>
    </row>
    <row r="687" ht="15.75" customHeight="1">
      <c r="A687" s="45"/>
      <c r="B687" s="45"/>
      <c r="C687" s="45"/>
      <c r="D687" s="45"/>
      <c r="E687" s="45"/>
      <c r="F687" s="45"/>
    </row>
    <row r="688" ht="15.75" customHeight="1">
      <c r="A688" s="45"/>
      <c r="B688" s="45"/>
      <c r="C688" s="45"/>
      <c r="D688" s="45"/>
      <c r="E688" s="45"/>
      <c r="F688" s="45"/>
    </row>
    <row r="689" ht="15.75" customHeight="1">
      <c r="A689" s="45"/>
      <c r="B689" s="45"/>
      <c r="C689" s="45"/>
      <c r="D689" s="45"/>
      <c r="E689" s="45"/>
      <c r="F689" s="45"/>
    </row>
    <row r="690" ht="15.75" customHeight="1">
      <c r="A690" s="45"/>
      <c r="B690" s="45"/>
      <c r="C690" s="45"/>
      <c r="D690" s="45"/>
      <c r="E690" s="45"/>
      <c r="F690" s="45"/>
    </row>
    <row r="691" ht="15.75" customHeight="1">
      <c r="A691" s="45"/>
      <c r="B691" s="45"/>
      <c r="C691" s="45"/>
      <c r="D691" s="45"/>
      <c r="E691" s="45"/>
      <c r="F691" s="45"/>
    </row>
    <row r="692" ht="15.75" customHeight="1">
      <c r="A692" s="45"/>
      <c r="B692" s="45"/>
      <c r="C692" s="45"/>
      <c r="D692" s="45"/>
      <c r="E692" s="45"/>
      <c r="F692" s="45"/>
    </row>
    <row r="693" ht="15.75" customHeight="1">
      <c r="A693" s="45"/>
      <c r="B693" s="45"/>
      <c r="C693" s="45"/>
      <c r="D693" s="45"/>
      <c r="E693" s="45"/>
      <c r="F693" s="45"/>
    </row>
    <row r="694" ht="15.75" customHeight="1">
      <c r="A694" s="45"/>
      <c r="B694" s="45"/>
      <c r="C694" s="45"/>
      <c r="D694" s="45"/>
      <c r="E694" s="45"/>
      <c r="F694" s="45"/>
    </row>
    <row r="695" ht="15.75" customHeight="1">
      <c r="A695" s="45"/>
      <c r="B695" s="45"/>
      <c r="C695" s="45"/>
      <c r="D695" s="45"/>
      <c r="E695" s="45"/>
      <c r="F695" s="45"/>
    </row>
    <row r="696" ht="15.75" customHeight="1">
      <c r="A696" s="45"/>
      <c r="B696" s="45"/>
      <c r="C696" s="45"/>
      <c r="D696" s="45"/>
      <c r="E696" s="45"/>
      <c r="F696" s="45"/>
    </row>
    <row r="697" ht="15.75" customHeight="1">
      <c r="A697" s="45"/>
      <c r="B697" s="45"/>
      <c r="C697" s="45"/>
      <c r="D697" s="45"/>
      <c r="E697" s="45"/>
      <c r="F697" s="45"/>
    </row>
    <row r="698" ht="15.75" customHeight="1">
      <c r="A698" s="45"/>
      <c r="B698" s="45"/>
      <c r="C698" s="45"/>
      <c r="D698" s="45"/>
      <c r="E698" s="45"/>
      <c r="F698" s="45"/>
    </row>
    <row r="699" ht="15.75" customHeight="1">
      <c r="A699" s="45"/>
      <c r="B699" s="45"/>
      <c r="C699" s="45"/>
      <c r="D699" s="45"/>
      <c r="E699" s="45"/>
      <c r="F699" s="45"/>
    </row>
    <row r="700" ht="15.75" customHeight="1">
      <c r="A700" s="45"/>
      <c r="B700" s="45"/>
      <c r="C700" s="45"/>
      <c r="D700" s="45"/>
      <c r="E700" s="45"/>
      <c r="F700" s="45"/>
    </row>
    <row r="701" ht="15.75" customHeight="1">
      <c r="A701" s="45"/>
      <c r="B701" s="45"/>
      <c r="C701" s="45"/>
      <c r="D701" s="45"/>
      <c r="E701" s="45"/>
      <c r="F701" s="45"/>
    </row>
    <row r="702" ht="15.75" customHeight="1">
      <c r="A702" s="45"/>
      <c r="B702" s="45"/>
      <c r="C702" s="45"/>
      <c r="D702" s="45"/>
      <c r="E702" s="45"/>
      <c r="F702" s="45"/>
    </row>
    <row r="703" ht="15.75" customHeight="1">
      <c r="A703" s="45"/>
      <c r="B703" s="45"/>
      <c r="C703" s="45"/>
      <c r="D703" s="45"/>
      <c r="E703" s="45"/>
      <c r="F703" s="45"/>
    </row>
    <row r="704" ht="15.75" customHeight="1">
      <c r="A704" s="45"/>
      <c r="B704" s="45"/>
      <c r="C704" s="45"/>
      <c r="D704" s="45"/>
      <c r="E704" s="45"/>
      <c r="F704" s="45"/>
    </row>
    <row r="705" ht="15.75" customHeight="1">
      <c r="A705" s="45"/>
      <c r="B705" s="45"/>
      <c r="C705" s="45"/>
      <c r="D705" s="45"/>
      <c r="E705" s="45"/>
      <c r="F705" s="45"/>
    </row>
    <row r="706" ht="15.75" customHeight="1">
      <c r="A706" s="45"/>
      <c r="B706" s="45"/>
      <c r="C706" s="45"/>
      <c r="D706" s="45"/>
      <c r="E706" s="45"/>
      <c r="F706" s="45"/>
    </row>
    <row r="707" ht="15.75" customHeight="1">
      <c r="A707" s="45"/>
      <c r="B707" s="45"/>
      <c r="C707" s="45"/>
      <c r="D707" s="45"/>
      <c r="E707" s="45"/>
      <c r="F707" s="45"/>
    </row>
    <row r="708" ht="15.75" customHeight="1">
      <c r="A708" s="45"/>
      <c r="B708" s="45"/>
      <c r="C708" s="45"/>
      <c r="D708" s="45"/>
      <c r="E708" s="45"/>
      <c r="F708" s="45"/>
    </row>
    <row r="709" ht="15.75" customHeight="1">
      <c r="A709" s="45"/>
      <c r="B709" s="45"/>
      <c r="C709" s="45"/>
      <c r="D709" s="45"/>
      <c r="E709" s="45"/>
      <c r="F709" s="45"/>
    </row>
    <row r="710" ht="15.75" customHeight="1">
      <c r="A710" s="45"/>
      <c r="B710" s="45"/>
      <c r="C710" s="45"/>
      <c r="D710" s="45"/>
      <c r="E710" s="45"/>
      <c r="F710" s="45"/>
    </row>
    <row r="711" ht="15.75" customHeight="1">
      <c r="A711" s="45"/>
      <c r="B711" s="45"/>
      <c r="C711" s="45"/>
      <c r="D711" s="45"/>
      <c r="E711" s="45"/>
      <c r="F711" s="45"/>
    </row>
    <row r="712" ht="15.75" customHeight="1">
      <c r="A712" s="45"/>
      <c r="B712" s="45"/>
      <c r="C712" s="45"/>
      <c r="D712" s="45"/>
      <c r="E712" s="45"/>
      <c r="F712" s="45"/>
    </row>
    <row r="713" ht="15.75" customHeight="1">
      <c r="A713" s="45"/>
      <c r="B713" s="45"/>
      <c r="C713" s="45"/>
      <c r="D713" s="45"/>
      <c r="E713" s="45"/>
      <c r="F713" s="45"/>
    </row>
    <row r="714" ht="15.75" customHeight="1">
      <c r="A714" s="45"/>
      <c r="B714" s="45"/>
      <c r="C714" s="45"/>
      <c r="D714" s="45"/>
      <c r="E714" s="45"/>
      <c r="F714" s="45"/>
    </row>
    <row r="715" ht="15.75" customHeight="1">
      <c r="A715" s="45"/>
      <c r="B715" s="45"/>
      <c r="C715" s="45"/>
      <c r="D715" s="45"/>
      <c r="E715" s="45"/>
      <c r="F715" s="45"/>
    </row>
    <row r="716" ht="15.75" customHeight="1">
      <c r="A716" s="45"/>
      <c r="B716" s="45"/>
      <c r="C716" s="45"/>
      <c r="D716" s="45"/>
      <c r="E716" s="45"/>
      <c r="F716" s="45"/>
    </row>
    <row r="717" ht="15.75" customHeight="1">
      <c r="A717" s="45"/>
      <c r="B717" s="45"/>
      <c r="C717" s="45"/>
      <c r="D717" s="45"/>
      <c r="E717" s="45"/>
      <c r="F717" s="45"/>
    </row>
    <row r="718" ht="15.75" customHeight="1">
      <c r="A718" s="45"/>
      <c r="B718" s="45"/>
      <c r="C718" s="45"/>
      <c r="D718" s="45"/>
      <c r="E718" s="45"/>
      <c r="F718" s="45"/>
    </row>
    <row r="719" ht="15.75" customHeight="1">
      <c r="A719" s="45"/>
      <c r="B719" s="45"/>
      <c r="C719" s="45"/>
      <c r="D719" s="45"/>
      <c r="E719" s="45"/>
      <c r="F719" s="45"/>
    </row>
    <row r="720" ht="15.75" customHeight="1">
      <c r="A720" s="45"/>
      <c r="B720" s="45"/>
      <c r="C720" s="45"/>
      <c r="D720" s="45"/>
      <c r="E720" s="45"/>
      <c r="F720" s="45"/>
    </row>
    <row r="721" ht="15.75" customHeight="1">
      <c r="A721" s="45"/>
      <c r="B721" s="45"/>
      <c r="C721" s="45"/>
      <c r="D721" s="45"/>
      <c r="E721" s="45"/>
      <c r="F721" s="45"/>
    </row>
    <row r="722" ht="15.75" customHeight="1">
      <c r="A722" s="45"/>
      <c r="B722" s="45"/>
      <c r="C722" s="45"/>
      <c r="D722" s="45"/>
      <c r="E722" s="45"/>
      <c r="F722" s="45"/>
    </row>
    <row r="723" ht="15.75" customHeight="1">
      <c r="A723" s="45"/>
      <c r="B723" s="45"/>
      <c r="C723" s="45"/>
      <c r="D723" s="45"/>
      <c r="E723" s="45"/>
      <c r="F723" s="45"/>
    </row>
    <row r="724" ht="15.75" customHeight="1">
      <c r="A724" s="45"/>
      <c r="B724" s="45"/>
      <c r="C724" s="45"/>
      <c r="D724" s="45"/>
      <c r="E724" s="45"/>
      <c r="F724" s="45"/>
    </row>
    <row r="725" ht="15.75" customHeight="1">
      <c r="A725" s="45"/>
      <c r="B725" s="45"/>
      <c r="C725" s="45"/>
      <c r="D725" s="45"/>
      <c r="E725" s="45"/>
      <c r="F725" s="45"/>
    </row>
    <row r="726" ht="15.75" customHeight="1">
      <c r="A726" s="45"/>
      <c r="B726" s="45"/>
      <c r="C726" s="45"/>
      <c r="D726" s="45"/>
      <c r="E726" s="45"/>
      <c r="F726" s="45"/>
    </row>
    <row r="727" ht="15.75" customHeight="1">
      <c r="A727" s="45"/>
      <c r="B727" s="45"/>
      <c r="C727" s="45"/>
      <c r="D727" s="45"/>
      <c r="E727" s="45"/>
      <c r="F727" s="45"/>
    </row>
    <row r="728" ht="15.75" customHeight="1">
      <c r="A728" s="45"/>
      <c r="B728" s="45"/>
      <c r="C728" s="45"/>
      <c r="D728" s="45"/>
      <c r="E728" s="45"/>
      <c r="F728" s="45"/>
    </row>
    <row r="729" ht="15.75" customHeight="1">
      <c r="A729" s="45"/>
      <c r="B729" s="45"/>
      <c r="C729" s="45"/>
      <c r="D729" s="45"/>
      <c r="E729" s="45"/>
      <c r="F729" s="45"/>
    </row>
    <row r="730" ht="15.75" customHeight="1">
      <c r="A730" s="45"/>
      <c r="B730" s="45"/>
      <c r="C730" s="45"/>
      <c r="D730" s="45"/>
      <c r="E730" s="45"/>
      <c r="F730" s="45"/>
    </row>
    <row r="731" ht="15.75" customHeight="1">
      <c r="A731" s="45"/>
      <c r="B731" s="45"/>
      <c r="C731" s="45"/>
      <c r="D731" s="45"/>
      <c r="E731" s="45"/>
      <c r="F731" s="45"/>
    </row>
    <row r="732" ht="15.75" customHeight="1">
      <c r="A732" s="45"/>
      <c r="B732" s="45"/>
      <c r="C732" s="45"/>
      <c r="D732" s="45"/>
      <c r="E732" s="45"/>
      <c r="F732" s="45"/>
    </row>
    <row r="733" ht="15.75" customHeight="1">
      <c r="A733" s="45"/>
      <c r="B733" s="45"/>
      <c r="C733" s="45"/>
      <c r="D733" s="45"/>
      <c r="E733" s="45"/>
      <c r="F733" s="45"/>
    </row>
    <row r="734" ht="15.75" customHeight="1">
      <c r="A734" s="45"/>
      <c r="B734" s="45"/>
      <c r="C734" s="45"/>
      <c r="D734" s="45"/>
      <c r="E734" s="45"/>
      <c r="F734" s="45"/>
    </row>
    <row r="735" ht="15.75" customHeight="1">
      <c r="A735" s="45"/>
      <c r="B735" s="45"/>
      <c r="C735" s="45"/>
      <c r="D735" s="45"/>
      <c r="E735" s="45"/>
      <c r="F735" s="45"/>
    </row>
    <row r="736" ht="15.75" customHeight="1">
      <c r="A736" s="45"/>
      <c r="B736" s="45"/>
      <c r="C736" s="45"/>
      <c r="D736" s="45"/>
      <c r="E736" s="45"/>
      <c r="F736" s="45"/>
    </row>
    <row r="737" ht="15.75" customHeight="1">
      <c r="A737" s="45"/>
      <c r="B737" s="45"/>
      <c r="C737" s="45"/>
      <c r="D737" s="45"/>
      <c r="E737" s="45"/>
      <c r="F737" s="45"/>
    </row>
    <row r="738" ht="15.75" customHeight="1">
      <c r="A738" s="45"/>
      <c r="B738" s="45"/>
      <c r="C738" s="45"/>
      <c r="D738" s="45"/>
      <c r="E738" s="45"/>
      <c r="F738" s="45"/>
    </row>
    <row r="739" ht="15.75" customHeight="1">
      <c r="A739" s="45"/>
      <c r="B739" s="45"/>
      <c r="C739" s="45"/>
      <c r="D739" s="45"/>
      <c r="E739" s="45"/>
      <c r="F739" s="45"/>
    </row>
    <row r="740" ht="15.75" customHeight="1">
      <c r="A740" s="45"/>
      <c r="B740" s="45"/>
      <c r="C740" s="45"/>
      <c r="D740" s="45"/>
      <c r="E740" s="45"/>
      <c r="F740" s="45"/>
    </row>
    <row r="741" ht="15.75" customHeight="1">
      <c r="A741" s="45"/>
      <c r="B741" s="45"/>
      <c r="C741" s="45"/>
      <c r="D741" s="45"/>
      <c r="E741" s="45"/>
      <c r="F741" s="45"/>
    </row>
    <row r="742" ht="15.75" customHeight="1">
      <c r="A742" s="45"/>
      <c r="B742" s="45"/>
      <c r="C742" s="45"/>
      <c r="D742" s="45"/>
      <c r="E742" s="45"/>
      <c r="F742" s="45"/>
    </row>
    <row r="743" ht="15.75" customHeight="1">
      <c r="A743" s="45"/>
      <c r="B743" s="45"/>
      <c r="C743" s="45"/>
      <c r="D743" s="45"/>
      <c r="E743" s="45"/>
      <c r="F743" s="45"/>
    </row>
    <row r="744" ht="15.75" customHeight="1">
      <c r="A744" s="45"/>
      <c r="B744" s="45"/>
      <c r="C744" s="45"/>
      <c r="D744" s="45"/>
      <c r="E744" s="45"/>
      <c r="F744" s="45"/>
    </row>
    <row r="745" ht="15.75" customHeight="1">
      <c r="A745" s="45"/>
      <c r="B745" s="45"/>
      <c r="C745" s="45"/>
      <c r="D745" s="45"/>
      <c r="E745" s="45"/>
      <c r="F745" s="45"/>
    </row>
    <row r="746" ht="15.75" customHeight="1">
      <c r="A746" s="45"/>
      <c r="B746" s="45"/>
      <c r="C746" s="45"/>
      <c r="D746" s="45"/>
      <c r="E746" s="45"/>
      <c r="F746" s="45"/>
    </row>
    <row r="747" ht="15.75" customHeight="1">
      <c r="A747" s="45"/>
      <c r="B747" s="45"/>
      <c r="C747" s="45"/>
      <c r="D747" s="45"/>
      <c r="E747" s="45"/>
      <c r="F747" s="45"/>
    </row>
    <row r="748" ht="15.75" customHeight="1">
      <c r="A748" s="45"/>
      <c r="B748" s="45"/>
      <c r="C748" s="45"/>
      <c r="D748" s="45"/>
      <c r="E748" s="45"/>
      <c r="F748" s="45"/>
    </row>
    <row r="749" ht="15.75" customHeight="1">
      <c r="A749" s="45"/>
      <c r="B749" s="45"/>
      <c r="C749" s="45"/>
      <c r="D749" s="45"/>
      <c r="E749" s="45"/>
      <c r="F749" s="45"/>
    </row>
    <row r="750" ht="15.75" customHeight="1">
      <c r="A750" s="45"/>
      <c r="B750" s="45"/>
      <c r="C750" s="45"/>
      <c r="D750" s="45"/>
      <c r="E750" s="45"/>
      <c r="F750" s="45"/>
    </row>
    <row r="751" ht="15.75" customHeight="1">
      <c r="A751" s="45"/>
      <c r="B751" s="45"/>
      <c r="C751" s="45"/>
      <c r="D751" s="45"/>
      <c r="E751" s="45"/>
      <c r="F751" s="45"/>
    </row>
    <row r="752" ht="15.75" customHeight="1">
      <c r="A752" s="45"/>
      <c r="B752" s="45"/>
      <c r="C752" s="45"/>
      <c r="D752" s="45"/>
      <c r="E752" s="45"/>
      <c r="F752" s="45"/>
    </row>
    <row r="753" ht="15.75" customHeight="1">
      <c r="A753" s="45"/>
      <c r="B753" s="45"/>
      <c r="C753" s="45"/>
      <c r="D753" s="45"/>
      <c r="E753" s="45"/>
      <c r="F753" s="45"/>
    </row>
    <row r="754" ht="15.75" customHeight="1">
      <c r="A754" s="45"/>
      <c r="B754" s="45"/>
      <c r="C754" s="45"/>
      <c r="D754" s="45"/>
      <c r="E754" s="45"/>
      <c r="F754" s="45"/>
    </row>
    <row r="755" ht="15.75" customHeight="1">
      <c r="A755" s="45"/>
      <c r="B755" s="45"/>
      <c r="C755" s="45"/>
      <c r="D755" s="45"/>
      <c r="E755" s="45"/>
      <c r="F755" s="45"/>
    </row>
    <row r="756" ht="15.75" customHeight="1">
      <c r="A756" s="45"/>
      <c r="B756" s="45"/>
      <c r="C756" s="45"/>
      <c r="D756" s="45"/>
      <c r="E756" s="45"/>
      <c r="F756" s="45"/>
    </row>
    <row r="757" ht="15.75" customHeight="1">
      <c r="A757" s="45"/>
      <c r="B757" s="45"/>
      <c r="C757" s="45"/>
      <c r="D757" s="45"/>
      <c r="E757" s="45"/>
      <c r="F757" s="45"/>
    </row>
    <row r="758" ht="15.75" customHeight="1">
      <c r="A758" s="45"/>
      <c r="B758" s="45"/>
      <c r="C758" s="45"/>
      <c r="D758" s="45"/>
      <c r="E758" s="45"/>
      <c r="F758" s="45"/>
    </row>
    <row r="759" ht="15.75" customHeight="1">
      <c r="A759" s="45"/>
      <c r="B759" s="45"/>
      <c r="C759" s="45"/>
      <c r="D759" s="45"/>
      <c r="E759" s="45"/>
      <c r="F759" s="45"/>
    </row>
    <row r="760" ht="15.75" customHeight="1">
      <c r="A760" s="45"/>
      <c r="B760" s="45"/>
      <c r="C760" s="45"/>
      <c r="D760" s="45"/>
      <c r="E760" s="45"/>
      <c r="F760" s="45"/>
    </row>
    <row r="761" ht="15.75" customHeight="1">
      <c r="A761" s="45"/>
      <c r="B761" s="45"/>
      <c r="C761" s="45"/>
      <c r="D761" s="45"/>
      <c r="E761" s="45"/>
      <c r="F761" s="45"/>
    </row>
    <row r="762" ht="15.75" customHeight="1">
      <c r="A762" s="45"/>
      <c r="B762" s="45"/>
      <c r="C762" s="45"/>
      <c r="D762" s="45"/>
      <c r="E762" s="45"/>
      <c r="F762" s="45"/>
    </row>
    <row r="763" ht="15.75" customHeight="1">
      <c r="A763" s="45"/>
      <c r="B763" s="45"/>
      <c r="C763" s="45"/>
      <c r="D763" s="45"/>
      <c r="E763" s="45"/>
      <c r="F763" s="45"/>
    </row>
    <row r="764" ht="15.75" customHeight="1">
      <c r="A764" s="45"/>
      <c r="B764" s="45"/>
      <c r="C764" s="45"/>
      <c r="D764" s="45"/>
      <c r="E764" s="45"/>
      <c r="F764" s="45"/>
    </row>
    <row r="765" ht="15.75" customHeight="1">
      <c r="A765" s="45"/>
      <c r="B765" s="45"/>
      <c r="C765" s="45"/>
      <c r="D765" s="45"/>
      <c r="E765" s="45"/>
      <c r="F765" s="45"/>
    </row>
    <row r="766" ht="15.75" customHeight="1">
      <c r="A766" s="45"/>
      <c r="B766" s="45"/>
      <c r="C766" s="45"/>
      <c r="D766" s="45"/>
      <c r="E766" s="45"/>
      <c r="F766" s="45"/>
    </row>
    <row r="767" ht="15.75" customHeight="1">
      <c r="A767" s="45"/>
      <c r="B767" s="45"/>
      <c r="C767" s="45"/>
      <c r="D767" s="45"/>
      <c r="E767" s="45"/>
      <c r="F767" s="45"/>
    </row>
    <row r="768" ht="15.75" customHeight="1">
      <c r="A768" s="45"/>
      <c r="B768" s="45"/>
      <c r="C768" s="45"/>
      <c r="D768" s="45"/>
      <c r="E768" s="45"/>
      <c r="F768" s="45"/>
    </row>
    <row r="769" ht="15.75" customHeight="1">
      <c r="A769" s="45"/>
      <c r="B769" s="45"/>
      <c r="C769" s="45"/>
      <c r="D769" s="45"/>
      <c r="E769" s="45"/>
      <c r="F769" s="45"/>
    </row>
    <row r="770" ht="15.75" customHeight="1">
      <c r="A770" s="45"/>
      <c r="B770" s="45"/>
      <c r="C770" s="45"/>
      <c r="D770" s="45"/>
      <c r="E770" s="45"/>
      <c r="F770" s="45"/>
    </row>
    <row r="771" ht="15.75" customHeight="1">
      <c r="A771" s="45"/>
      <c r="B771" s="45"/>
      <c r="C771" s="45"/>
      <c r="D771" s="45"/>
      <c r="E771" s="45"/>
      <c r="F771" s="45"/>
    </row>
    <row r="772" ht="15.75" customHeight="1">
      <c r="A772" s="45"/>
      <c r="B772" s="45"/>
      <c r="C772" s="45"/>
      <c r="D772" s="45"/>
      <c r="E772" s="45"/>
      <c r="F772" s="45"/>
    </row>
    <row r="773" ht="15.75" customHeight="1">
      <c r="A773" s="45"/>
      <c r="B773" s="45"/>
      <c r="C773" s="45"/>
      <c r="D773" s="45"/>
      <c r="E773" s="45"/>
      <c r="F773" s="45"/>
    </row>
    <row r="774" ht="15.75" customHeight="1">
      <c r="A774" s="45"/>
      <c r="B774" s="45"/>
      <c r="C774" s="45"/>
      <c r="D774" s="45"/>
      <c r="E774" s="45"/>
      <c r="F774" s="45"/>
    </row>
    <row r="775" ht="15.75" customHeight="1">
      <c r="A775" s="45"/>
      <c r="B775" s="45"/>
      <c r="C775" s="45"/>
      <c r="D775" s="45"/>
      <c r="E775" s="45"/>
      <c r="F775" s="45"/>
    </row>
    <row r="776" ht="15.75" customHeight="1">
      <c r="A776" s="45"/>
      <c r="B776" s="45"/>
      <c r="C776" s="45"/>
      <c r="D776" s="45"/>
      <c r="E776" s="45"/>
      <c r="F776" s="45"/>
    </row>
    <row r="777" ht="15.75" customHeight="1">
      <c r="A777" s="45"/>
      <c r="B777" s="45"/>
      <c r="C777" s="45"/>
      <c r="D777" s="45"/>
      <c r="E777" s="45"/>
      <c r="F777" s="45"/>
    </row>
    <row r="778" ht="15.75" customHeight="1">
      <c r="A778" s="45"/>
      <c r="B778" s="45"/>
      <c r="C778" s="45"/>
      <c r="D778" s="45"/>
      <c r="E778" s="45"/>
      <c r="F778" s="45"/>
    </row>
    <row r="779" ht="15.75" customHeight="1">
      <c r="A779" s="45"/>
      <c r="B779" s="45"/>
      <c r="C779" s="45"/>
      <c r="D779" s="45"/>
      <c r="E779" s="45"/>
      <c r="F779" s="45"/>
    </row>
    <row r="780" ht="15.75" customHeight="1">
      <c r="A780" s="45"/>
      <c r="B780" s="45"/>
      <c r="C780" s="45"/>
      <c r="D780" s="45"/>
      <c r="E780" s="45"/>
      <c r="F780" s="45"/>
    </row>
    <row r="781" ht="15.75" customHeight="1">
      <c r="A781" s="45"/>
      <c r="B781" s="45"/>
      <c r="C781" s="45"/>
      <c r="D781" s="45"/>
      <c r="E781" s="45"/>
      <c r="F781" s="45"/>
    </row>
    <row r="782" ht="15.75" customHeight="1">
      <c r="A782" s="45"/>
      <c r="B782" s="45"/>
      <c r="C782" s="45"/>
      <c r="D782" s="45"/>
      <c r="E782" s="45"/>
      <c r="F782" s="45"/>
    </row>
    <row r="783" ht="15.75" customHeight="1">
      <c r="A783" s="45"/>
      <c r="B783" s="45"/>
      <c r="C783" s="45"/>
      <c r="D783" s="45"/>
      <c r="E783" s="45"/>
      <c r="F783" s="45"/>
    </row>
    <row r="784" ht="15.75" customHeight="1">
      <c r="A784" s="45"/>
      <c r="B784" s="45"/>
      <c r="C784" s="45"/>
      <c r="D784" s="45"/>
      <c r="E784" s="45"/>
      <c r="F784" s="45"/>
    </row>
    <row r="785" ht="15.75" customHeight="1">
      <c r="A785" s="45"/>
      <c r="B785" s="45"/>
      <c r="C785" s="45"/>
      <c r="D785" s="45"/>
      <c r="E785" s="45"/>
      <c r="F785" s="45"/>
    </row>
    <row r="786" ht="15.75" customHeight="1">
      <c r="A786" s="45"/>
      <c r="B786" s="45"/>
      <c r="C786" s="45"/>
      <c r="D786" s="45"/>
      <c r="E786" s="45"/>
      <c r="F786" s="45"/>
    </row>
    <row r="787" ht="15.75" customHeight="1">
      <c r="A787" s="45"/>
      <c r="B787" s="45"/>
      <c r="C787" s="45"/>
      <c r="D787" s="45"/>
      <c r="E787" s="45"/>
      <c r="F787" s="45"/>
    </row>
    <row r="788" ht="15.75" customHeight="1">
      <c r="A788" s="45"/>
      <c r="B788" s="45"/>
      <c r="C788" s="45"/>
      <c r="D788" s="45"/>
      <c r="E788" s="45"/>
      <c r="F788" s="45"/>
    </row>
    <row r="789" ht="15.75" customHeight="1">
      <c r="A789" s="45"/>
      <c r="B789" s="45"/>
      <c r="C789" s="45"/>
      <c r="D789" s="45"/>
      <c r="E789" s="45"/>
      <c r="F789" s="45"/>
    </row>
    <row r="790" ht="15.75" customHeight="1">
      <c r="A790" s="45"/>
      <c r="B790" s="45"/>
      <c r="C790" s="45"/>
      <c r="D790" s="45"/>
      <c r="E790" s="45"/>
      <c r="F790" s="45"/>
    </row>
    <row r="791" ht="15.75" customHeight="1">
      <c r="A791" s="45"/>
      <c r="B791" s="45"/>
      <c r="C791" s="45"/>
      <c r="D791" s="45"/>
      <c r="E791" s="45"/>
      <c r="F791" s="45"/>
    </row>
    <row r="792" ht="15.75" customHeight="1">
      <c r="A792" s="45"/>
      <c r="B792" s="45"/>
      <c r="C792" s="45"/>
      <c r="D792" s="45"/>
      <c r="E792" s="45"/>
      <c r="F792" s="45"/>
    </row>
    <row r="793" ht="15.75" customHeight="1">
      <c r="A793" s="45"/>
      <c r="B793" s="45"/>
      <c r="C793" s="45"/>
      <c r="D793" s="45"/>
      <c r="E793" s="45"/>
      <c r="F793" s="45"/>
    </row>
    <row r="794" ht="15.75" customHeight="1">
      <c r="A794" s="45"/>
      <c r="B794" s="45"/>
      <c r="C794" s="45"/>
      <c r="D794" s="45"/>
      <c r="E794" s="45"/>
      <c r="F794" s="45"/>
    </row>
    <row r="795" ht="15.75" customHeight="1">
      <c r="A795" s="45"/>
      <c r="B795" s="45"/>
      <c r="C795" s="45"/>
      <c r="D795" s="45"/>
      <c r="E795" s="45"/>
      <c r="F795" s="45"/>
    </row>
    <row r="796" ht="15.75" customHeight="1">
      <c r="A796" s="45"/>
      <c r="B796" s="45"/>
      <c r="C796" s="45"/>
      <c r="D796" s="45"/>
      <c r="E796" s="45"/>
      <c r="F796" s="45"/>
    </row>
    <row r="797" ht="15.75" customHeight="1">
      <c r="A797" s="45"/>
      <c r="B797" s="45"/>
      <c r="C797" s="45"/>
      <c r="D797" s="45"/>
      <c r="E797" s="45"/>
      <c r="F797" s="45"/>
    </row>
    <row r="798" ht="15.75" customHeight="1">
      <c r="A798" s="45"/>
      <c r="B798" s="45"/>
      <c r="C798" s="45"/>
      <c r="D798" s="45"/>
      <c r="E798" s="45"/>
      <c r="F798" s="45"/>
    </row>
    <row r="799" ht="15.75" customHeight="1">
      <c r="A799" s="45"/>
      <c r="B799" s="45"/>
      <c r="C799" s="45"/>
      <c r="D799" s="45"/>
      <c r="E799" s="45"/>
      <c r="F799" s="45"/>
    </row>
    <row r="800" ht="15.75" customHeight="1">
      <c r="A800" s="45"/>
      <c r="B800" s="45"/>
      <c r="C800" s="45"/>
      <c r="D800" s="45"/>
      <c r="E800" s="45"/>
      <c r="F800" s="45"/>
    </row>
    <row r="801" ht="15.75" customHeight="1">
      <c r="A801" s="45"/>
      <c r="B801" s="45"/>
      <c r="C801" s="45"/>
      <c r="D801" s="45"/>
      <c r="E801" s="45"/>
      <c r="F801" s="45"/>
    </row>
    <row r="802" ht="15.75" customHeight="1">
      <c r="A802" s="45"/>
      <c r="B802" s="45"/>
      <c r="C802" s="45"/>
      <c r="D802" s="45"/>
      <c r="E802" s="45"/>
      <c r="F802" s="45"/>
    </row>
    <row r="803" ht="15.75" customHeight="1">
      <c r="A803" s="45"/>
      <c r="B803" s="45"/>
      <c r="C803" s="45"/>
      <c r="D803" s="45"/>
      <c r="E803" s="45"/>
      <c r="F803" s="45"/>
    </row>
    <row r="804" ht="15.75" customHeight="1">
      <c r="A804" s="45"/>
      <c r="B804" s="45"/>
      <c r="C804" s="45"/>
      <c r="D804" s="45"/>
      <c r="E804" s="45"/>
      <c r="F804" s="45"/>
    </row>
    <row r="805" ht="15.75" customHeight="1">
      <c r="A805" s="45"/>
      <c r="B805" s="45"/>
      <c r="C805" s="45"/>
      <c r="D805" s="45"/>
      <c r="E805" s="45"/>
      <c r="F805" s="45"/>
    </row>
    <row r="806" ht="15.75" customHeight="1">
      <c r="A806" s="45"/>
      <c r="B806" s="45"/>
      <c r="C806" s="45"/>
      <c r="D806" s="45"/>
      <c r="E806" s="45"/>
      <c r="F806" s="45"/>
    </row>
    <row r="807" ht="15.75" customHeight="1">
      <c r="A807" s="45"/>
      <c r="B807" s="45"/>
      <c r="C807" s="45"/>
      <c r="D807" s="45"/>
      <c r="E807" s="45"/>
      <c r="F807" s="45"/>
    </row>
    <row r="808" ht="15.75" customHeight="1">
      <c r="A808" s="45"/>
      <c r="B808" s="45"/>
      <c r="C808" s="45"/>
      <c r="D808" s="45"/>
      <c r="E808" s="45"/>
      <c r="F808" s="45"/>
    </row>
    <row r="809" ht="15.75" customHeight="1">
      <c r="A809" s="45"/>
      <c r="B809" s="45"/>
      <c r="C809" s="45"/>
      <c r="D809" s="45"/>
      <c r="E809" s="45"/>
      <c r="F809" s="45"/>
    </row>
    <row r="810" ht="15.75" customHeight="1">
      <c r="A810" s="45"/>
      <c r="B810" s="45"/>
      <c r="C810" s="45"/>
      <c r="D810" s="45"/>
      <c r="E810" s="45"/>
      <c r="F810" s="45"/>
    </row>
    <row r="811" ht="15.75" customHeight="1">
      <c r="A811" s="45"/>
      <c r="B811" s="45"/>
      <c r="C811" s="45"/>
      <c r="D811" s="45"/>
      <c r="E811" s="45"/>
      <c r="F811" s="45"/>
    </row>
    <row r="812" ht="15.75" customHeight="1">
      <c r="A812" s="45"/>
      <c r="B812" s="45"/>
      <c r="C812" s="45"/>
      <c r="D812" s="45"/>
      <c r="E812" s="45"/>
      <c r="F812" s="45"/>
    </row>
    <row r="813" ht="15.75" customHeight="1">
      <c r="A813" s="45"/>
      <c r="B813" s="45"/>
      <c r="C813" s="45"/>
      <c r="D813" s="45"/>
      <c r="E813" s="45"/>
      <c r="F813" s="45"/>
    </row>
    <row r="814" ht="15.75" customHeight="1">
      <c r="A814" s="45"/>
      <c r="B814" s="45"/>
      <c r="C814" s="45"/>
      <c r="D814" s="45"/>
      <c r="E814" s="45"/>
      <c r="F814" s="45"/>
    </row>
    <row r="815" ht="15.75" customHeight="1">
      <c r="A815" s="45"/>
      <c r="B815" s="45"/>
      <c r="C815" s="45"/>
      <c r="D815" s="45"/>
      <c r="E815" s="45"/>
      <c r="F815" s="45"/>
    </row>
    <row r="816" ht="15.75" customHeight="1">
      <c r="A816" s="45"/>
      <c r="B816" s="45"/>
      <c r="C816" s="45"/>
      <c r="D816" s="45"/>
      <c r="E816" s="45"/>
      <c r="F816" s="45"/>
    </row>
    <row r="817" ht="15.75" customHeight="1">
      <c r="A817" s="45"/>
      <c r="B817" s="45"/>
      <c r="C817" s="45"/>
      <c r="D817" s="45"/>
      <c r="E817" s="45"/>
      <c r="F817" s="45"/>
    </row>
    <row r="818" ht="15.75" customHeight="1">
      <c r="A818" s="45"/>
      <c r="B818" s="45"/>
      <c r="C818" s="45"/>
      <c r="D818" s="45"/>
      <c r="E818" s="45"/>
      <c r="F818" s="45"/>
    </row>
    <row r="819" ht="15.75" customHeight="1">
      <c r="A819" s="45"/>
      <c r="B819" s="45"/>
      <c r="C819" s="45"/>
      <c r="D819" s="45"/>
      <c r="E819" s="45"/>
      <c r="F819" s="45"/>
    </row>
    <row r="820" ht="15.75" customHeight="1">
      <c r="A820" s="45"/>
      <c r="B820" s="45"/>
      <c r="C820" s="45"/>
      <c r="D820" s="45"/>
      <c r="E820" s="45"/>
      <c r="F820" s="45"/>
    </row>
    <row r="821" ht="15.75" customHeight="1">
      <c r="A821" s="45"/>
      <c r="B821" s="45"/>
      <c r="C821" s="45"/>
      <c r="D821" s="45"/>
      <c r="E821" s="45"/>
      <c r="F821" s="45"/>
    </row>
    <row r="822" ht="15.75" customHeight="1">
      <c r="A822" s="45"/>
      <c r="B822" s="45"/>
      <c r="C822" s="45"/>
      <c r="D822" s="45"/>
      <c r="E822" s="45"/>
      <c r="F822" s="45"/>
    </row>
    <row r="823" ht="15.75" customHeight="1">
      <c r="A823" s="45"/>
      <c r="B823" s="45"/>
      <c r="C823" s="45"/>
      <c r="D823" s="45"/>
      <c r="E823" s="45"/>
      <c r="F823" s="45"/>
    </row>
    <row r="824" ht="15.75" customHeight="1">
      <c r="A824" s="45"/>
      <c r="B824" s="45"/>
      <c r="C824" s="45"/>
      <c r="D824" s="45"/>
      <c r="E824" s="45"/>
      <c r="F824" s="45"/>
    </row>
    <row r="825" ht="15.75" customHeight="1">
      <c r="A825" s="45"/>
      <c r="B825" s="45"/>
      <c r="C825" s="45"/>
      <c r="D825" s="45"/>
      <c r="E825" s="45"/>
      <c r="F825" s="45"/>
    </row>
    <row r="826" ht="15.75" customHeight="1">
      <c r="A826" s="45"/>
      <c r="B826" s="45"/>
      <c r="C826" s="45"/>
      <c r="D826" s="45"/>
      <c r="E826" s="45"/>
      <c r="F826" s="45"/>
    </row>
    <row r="827" ht="15.75" customHeight="1">
      <c r="A827" s="45"/>
      <c r="B827" s="45"/>
      <c r="C827" s="45"/>
      <c r="D827" s="45"/>
      <c r="E827" s="45"/>
      <c r="F827" s="45"/>
    </row>
    <row r="828" ht="15.75" customHeight="1">
      <c r="A828" s="45"/>
      <c r="B828" s="45"/>
      <c r="C828" s="45"/>
      <c r="D828" s="45"/>
      <c r="E828" s="45"/>
      <c r="F828" s="45"/>
    </row>
    <row r="829" ht="15.75" customHeight="1">
      <c r="A829" s="45"/>
      <c r="B829" s="45"/>
      <c r="C829" s="45"/>
      <c r="D829" s="45"/>
      <c r="E829" s="45"/>
      <c r="F829" s="45"/>
    </row>
    <row r="830" ht="15.75" customHeight="1">
      <c r="A830" s="45"/>
      <c r="B830" s="45"/>
      <c r="C830" s="45"/>
      <c r="D830" s="45"/>
      <c r="E830" s="45"/>
      <c r="F830" s="45"/>
    </row>
    <row r="831" ht="15.75" customHeight="1">
      <c r="A831" s="45"/>
      <c r="B831" s="45"/>
      <c r="C831" s="45"/>
      <c r="D831" s="45"/>
      <c r="E831" s="45"/>
      <c r="F831" s="45"/>
    </row>
    <row r="832" ht="15.75" customHeight="1">
      <c r="A832" s="45"/>
      <c r="B832" s="45"/>
      <c r="C832" s="45"/>
      <c r="D832" s="45"/>
      <c r="E832" s="45"/>
      <c r="F832" s="45"/>
    </row>
    <row r="833" ht="15.75" customHeight="1">
      <c r="A833" s="45"/>
      <c r="B833" s="45"/>
      <c r="C833" s="45"/>
      <c r="D833" s="45"/>
      <c r="E833" s="45"/>
      <c r="F833" s="45"/>
    </row>
    <row r="834" ht="15.75" customHeight="1">
      <c r="A834" s="45"/>
      <c r="B834" s="45"/>
      <c r="C834" s="45"/>
      <c r="D834" s="45"/>
      <c r="E834" s="45"/>
      <c r="F834" s="45"/>
    </row>
    <row r="835" ht="15.75" customHeight="1">
      <c r="A835" s="45"/>
      <c r="B835" s="45"/>
      <c r="C835" s="45"/>
      <c r="D835" s="45"/>
      <c r="E835" s="45"/>
      <c r="F835" s="45"/>
    </row>
    <row r="836" ht="15.75" customHeight="1">
      <c r="A836" s="45"/>
      <c r="B836" s="45"/>
      <c r="C836" s="45"/>
      <c r="D836" s="45"/>
      <c r="E836" s="45"/>
      <c r="F836" s="45"/>
    </row>
    <row r="837" ht="15.75" customHeight="1">
      <c r="A837" s="45"/>
      <c r="B837" s="45"/>
      <c r="C837" s="45"/>
      <c r="D837" s="45"/>
      <c r="E837" s="45"/>
      <c r="F837" s="45"/>
    </row>
    <row r="838" ht="15.75" customHeight="1">
      <c r="A838" s="45"/>
      <c r="B838" s="45"/>
      <c r="C838" s="45"/>
      <c r="D838" s="45"/>
      <c r="E838" s="45"/>
      <c r="F838" s="45"/>
    </row>
    <row r="839" ht="15.75" customHeight="1">
      <c r="A839" s="45"/>
      <c r="B839" s="45"/>
      <c r="C839" s="45"/>
      <c r="D839" s="45"/>
      <c r="E839" s="45"/>
      <c r="F839" s="45"/>
    </row>
    <row r="840" ht="15.75" customHeight="1">
      <c r="A840" s="45"/>
      <c r="B840" s="45"/>
      <c r="C840" s="45"/>
      <c r="D840" s="45"/>
      <c r="E840" s="45"/>
      <c r="F840" s="45"/>
    </row>
    <row r="841" ht="15.75" customHeight="1">
      <c r="A841" s="45"/>
      <c r="B841" s="45"/>
      <c r="C841" s="45"/>
      <c r="D841" s="45"/>
      <c r="E841" s="45"/>
      <c r="F841" s="45"/>
    </row>
    <row r="842" ht="15.75" customHeight="1">
      <c r="A842" s="45"/>
      <c r="B842" s="45"/>
      <c r="C842" s="45"/>
      <c r="D842" s="45"/>
      <c r="E842" s="45"/>
      <c r="F842" s="45"/>
    </row>
    <row r="843" ht="15.75" customHeight="1">
      <c r="A843" s="45"/>
      <c r="B843" s="45"/>
      <c r="C843" s="45"/>
      <c r="D843" s="45"/>
      <c r="E843" s="45"/>
      <c r="F843" s="45"/>
    </row>
    <row r="844" ht="15.75" customHeight="1">
      <c r="A844" s="45"/>
      <c r="B844" s="45"/>
      <c r="C844" s="45"/>
      <c r="D844" s="45"/>
      <c r="E844" s="45"/>
      <c r="F844" s="45"/>
    </row>
    <row r="845" ht="15.75" customHeight="1">
      <c r="A845" s="45"/>
      <c r="B845" s="45"/>
      <c r="C845" s="45"/>
      <c r="D845" s="45"/>
      <c r="E845" s="45"/>
      <c r="F845" s="45"/>
    </row>
    <row r="846" ht="15.75" customHeight="1">
      <c r="A846" s="45"/>
      <c r="B846" s="45"/>
      <c r="C846" s="45"/>
      <c r="D846" s="45"/>
      <c r="E846" s="45"/>
      <c r="F846" s="45"/>
    </row>
    <row r="847" ht="15.75" customHeight="1">
      <c r="A847" s="45"/>
      <c r="B847" s="45"/>
      <c r="C847" s="45"/>
      <c r="D847" s="45"/>
      <c r="E847" s="45"/>
      <c r="F847" s="45"/>
    </row>
    <row r="848" ht="15.75" customHeight="1">
      <c r="A848" s="45"/>
      <c r="B848" s="45"/>
      <c r="C848" s="45"/>
      <c r="D848" s="45"/>
      <c r="E848" s="45"/>
      <c r="F848" s="45"/>
    </row>
    <row r="849" ht="15.75" customHeight="1">
      <c r="A849" s="45"/>
      <c r="B849" s="45"/>
      <c r="C849" s="45"/>
      <c r="D849" s="45"/>
      <c r="E849" s="45"/>
      <c r="F849" s="45"/>
    </row>
    <row r="850" ht="15.75" customHeight="1">
      <c r="A850" s="45"/>
      <c r="B850" s="45"/>
      <c r="C850" s="45"/>
      <c r="D850" s="45"/>
      <c r="E850" s="45"/>
      <c r="F850" s="45"/>
    </row>
    <row r="851" ht="15.75" customHeight="1">
      <c r="A851" s="45"/>
      <c r="B851" s="45"/>
      <c r="C851" s="45"/>
      <c r="D851" s="45"/>
      <c r="E851" s="45"/>
      <c r="F851" s="45"/>
    </row>
    <row r="852" ht="15.75" customHeight="1">
      <c r="A852" s="45"/>
      <c r="B852" s="45"/>
      <c r="C852" s="45"/>
      <c r="D852" s="45"/>
      <c r="E852" s="45"/>
      <c r="F852" s="45"/>
    </row>
    <row r="853" ht="15.75" customHeight="1">
      <c r="A853" s="45"/>
      <c r="B853" s="45"/>
      <c r="C853" s="45"/>
      <c r="D853" s="45"/>
      <c r="E853" s="45"/>
      <c r="F853" s="45"/>
    </row>
    <row r="854" ht="15.75" customHeight="1">
      <c r="A854" s="45"/>
      <c r="B854" s="45"/>
      <c r="C854" s="45"/>
      <c r="D854" s="45"/>
      <c r="E854" s="45"/>
      <c r="F854" s="45"/>
    </row>
    <row r="855" ht="15.75" customHeight="1">
      <c r="A855" s="45"/>
      <c r="B855" s="45"/>
      <c r="C855" s="45"/>
      <c r="D855" s="45"/>
      <c r="E855" s="45"/>
      <c r="F855" s="45"/>
    </row>
    <row r="856" ht="15.75" customHeight="1">
      <c r="A856" s="45"/>
      <c r="B856" s="45"/>
      <c r="C856" s="45"/>
      <c r="D856" s="45"/>
      <c r="E856" s="45"/>
      <c r="F856" s="45"/>
    </row>
    <row r="857" ht="15.75" customHeight="1">
      <c r="A857" s="45"/>
      <c r="B857" s="45"/>
      <c r="C857" s="45"/>
      <c r="D857" s="45"/>
      <c r="E857" s="45"/>
      <c r="F857" s="45"/>
    </row>
    <row r="858" ht="15.75" customHeight="1">
      <c r="A858" s="45"/>
      <c r="B858" s="45"/>
      <c r="C858" s="45"/>
      <c r="D858" s="45"/>
      <c r="E858" s="45"/>
      <c r="F858" s="45"/>
    </row>
    <row r="859" ht="15.75" customHeight="1">
      <c r="A859" s="45"/>
      <c r="B859" s="45"/>
      <c r="C859" s="45"/>
      <c r="D859" s="45"/>
      <c r="E859" s="45"/>
      <c r="F859" s="45"/>
    </row>
    <row r="860" ht="15.75" customHeight="1">
      <c r="A860" s="45"/>
      <c r="B860" s="45"/>
      <c r="C860" s="45"/>
      <c r="D860" s="45"/>
      <c r="E860" s="45"/>
      <c r="F860" s="45"/>
    </row>
    <row r="861" ht="15.75" customHeight="1">
      <c r="A861" s="45"/>
      <c r="B861" s="45"/>
      <c r="C861" s="45"/>
      <c r="D861" s="45"/>
      <c r="E861" s="45"/>
      <c r="F861" s="45"/>
    </row>
    <row r="862" ht="15.75" customHeight="1">
      <c r="A862" s="45"/>
      <c r="B862" s="45"/>
      <c r="C862" s="45"/>
      <c r="D862" s="45"/>
      <c r="E862" s="45"/>
      <c r="F862" s="45"/>
    </row>
    <row r="863" ht="15.75" customHeight="1">
      <c r="A863" s="45"/>
      <c r="B863" s="45"/>
      <c r="C863" s="45"/>
      <c r="D863" s="45"/>
      <c r="E863" s="45"/>
      <c r="F863" s="45"/>
    </row>
    <row r="864" ht="15.75" customHeight="1">
      <c r="A864" s="45"/>
      <c r="B864" s="45"/>
      <c r="C864" s="45"/>
      <c r="D864" s="45"/>
      <c r="E864" s="45"/>
      <c r="F864" s="45"/>
    </row>
    <row r="865" ht="15.75" customHeight="1">
      <c r="A865" s="45"/>
      <c r="B865" s="45"/>
      <c r="C865" s="45"/>
      <c r="D865" s="45"/>
      <c r="E865" s="45"/>
      <c r="F865" s="45"/>
    </row>
    <row r="866" ht="15.75" customHeight="1">
      <c r="A866" s="45"/>
      <c r="B866" s="45"/>
      <c r="C866" s="45"/>
      <c r="D866" s="45"/>
      <c r="E866" s="45"/>
      <c r="F866" s="45"/>
    </row>
    <row r="867" ht="15.75" customHeight="1">
      <c r="A867" s="45"/>
      <c r="B867" s="45"/>
      <c r="C867" s="45"/>
      <c r="D867" s="45"/>
      <c r="E867" s="45"/>
      <c r="F867" s="45"/>
    </row>
    <row r="868" ht="15.75" customHeight="1">
      <c r="A868" s="45"/>
      <c r="B868" s="45"/>
      <c r="C868" s="45"/>
      <c r="D868" s="45"/>
      <c r="E868" s="45"/>
      <c r="F868" s="45"/>
    </row>
    <row r="869" ht="15.75" customHeight="1">
      <c r="A869" s="45"/>
      <c r="B869" s="45"/>
      <c r="C869" s="45"/>
      <c r="D869" s="45"/>
      <c r="E869" s="45"/>
      <c r="F869" s="45"/>
    </row>
    <row r="870" ht="15.75" customHeight="1">
      <c r="A870" s="45"/>
      <c r="B870" s="45"/>
      <c r="C870" s="45"/>
      <c r="D870" s="45"/>
      <c r="E870" s="45"/>
      <c r="F870" s="45"/>
    </row>
    <row r="871" ht="15.75" customHeight="1">
      <c r="A871" s="45"/>
      <c r="B871" s="45"/>
      <c r="C871" s="45"/>
      <c r="D871" s="45"/>
      <c r="E871" s="45"/>
      <c r="F871" s="45"/>
    </row>
    <row r="872" ht="15.75" customHeight="1">
      <c r="A872" s="45"/>
      <c r="B872" s="45"/>
      <c r="C872" s="45"/>
      <c r="D872" s="45"/>
      <c r="E872" s="45"/>
      <c r="F872" s="45"/>
    </row>
    <row r="873" ht="15.75" customHeight="1">
      <c r="A873" s="45"/>
      <c r="B873" s="45"/>
      <c r="C873" s="45"/>
      <c r="D873" s="45"/>
      <c r="E873" s="45"/>
      <c r="F873" s="45"/>
    </row>
    <row r="874" ht="15.75" customHeight="1">
      <c r="A874" s="45"/>
      <c r="B874" s="45"/>
      <c r="C874" s="45"/>
      <c r="D874" s="45"/>
      <c r="E874" s="45"/>
      <c r="F874" s="45"/>
    </row>
    <row r="875" ht="15.75" customHeight="1">
      <c r="A875" s="45"/>
      <c r="B875" s="45"/>
      <c r="C875" s="45"/>
      <c r="D875" s="45"/>
      <c r="E875" s="45"/>
      <c r="F875" s="45"/>
    </row>
    <row r="876" ht="15.75" customHeight="1">
      <c r="A876" s="45"/>
      <c r="B876" s="45"/>
      <c r="C876" s="45"/>
      <c r="D876" s="45"/>
      <c r="E876" s="45"/>
      <c r="F876" s="45"/>
    </row>
    <row r="877" ht="15.75" customHeight="1">
      <c r="A877" s="45"/>
      <c r="B877" s="45"/>
      <c r="C877" s="45"/>
      <c r="D877" s="45"/>
      <c r="E877" s="45"/>
      <c r="F877" s="45"/>
    </row>
    <row r="878" ht="15.75" customHeight="1">
      <c r="A878" s="45"/>
      <c r="B878" s="45"/>
      <c r="C878" s="45"/>
      <c r="D878" s="45"/>
      <c r="E878" s="45"/>
      <c r="F878" s="45"/>
    </row>
    <row r="879" ht="15.75" customHeight="1">
      <c r="A879" s="45"/>
      <c r="B879" s="45"/>
      <c r="C879" s="45"/>
      <c r="D879" s="45"/>
      <c r="E879" s="45"/>
      <c r="F879" s="45"/>
    </row>
    <row r="880" ht="15.75" customHeight="1">
      <c r="A880" s="45"/>
      <c r="B880" s="45"/>
      <c r="C880" s="45"/>
      <c r="D880" s="45"/>
      <c r="E880" s="45"/>
      <c r="F880" s="45"/>
    </row>
    <row r="881" ht="15.75" customHeight="1">
      <c r="A881" s="45"/>
      <c r="B881" s="45"/>
      <c r="C881" s="45"/>
      <c r="D881" s="45"/>
      <c r="E881" s="45"/>
      <c r="F881" s="45"/>
    </row>
    <row r="882" ht="15.75" customHeight="1">
      <c r="A882" s="45"/>
      <c r="B882" s="45"/>
      <c r="C882" s="45"/>
      <c r="D882" s="45"/>
      <c r="E882" s="45"/>
      <c r="F882" s="45"/>
    </row>
    <row r="883" ht="15.75" customHeight="1">
      <c r="A883" s="45"/>
      <c r="B883" s="45"/>
      <c r="C883" s="45"/>
      <c r="D883" s="45"/>
      <c r="E883" s="45"/>
      <c r="F883" s="45"/>
    </row>
    <row r="884" ht="15.75" customHeight="1">
      <c r="A884" s="45"/>
      <c r="B884" s="45"/>
      <c r="C884" s="45"/>
      <c r="D884" s="45"/>
      <c r="E884" s="45"/>
      <c r="F884" s="45"/>
    </row>
    <row r="885" ht="15.75" customHeight="1">
      <c r="A885" s="45"/>
      <c r="B885" s="45"/>
      <c r="C885" s="45"/>
      <c r="D885" s="45"/>
      <c r="E885" s="45"/>
      <c r="F885" s="45"/>
    </row>
    <row r="886" ht="15.75" customHeight="1">
      <c r="A886" s="45"/>
      <c r="B886" s="45"/>
      <c r="C886" s="45"/>
      <c r="D886" s="45"/>
      <c r="E886" s="45"/>
      <c r="F886" s="45"/>
    </row>
    <row r="887" ht="15.75" customHeight="1">
      <c r="A887" s="45"/>
      <c r="B887" s="45"/>
      <c r="C887" s="45"/>
      <c r="D887" s="45"/>
      <c r="E887" s="45"/>
      <c r="F887" s="45"/>
    </row>
    <row r="888" ht="15.75" customHeight="1">
      <c r="A888" s="45"/>
      <c r="B888" s="45"/>
      <c r="C888" s="45"/>
      <c r="D888" s="45"/>
      <c r="E888" s="45"/>
      <c r="F888" s="45"/>
    </row>
    <row r="889" ht="15.75" customHeight="1">
      <c r="A889" s="45"/>
      <c r="B889" s="45"/>
      <c r="C889" s="45"/>
      <c r="D889" s="45"/>
      <c r="E889" s="45"/>
      <c r="F889" s="45"/>
    </row>
    <row r="890" ht="15.75" customHeight="1">
      <c r="A890" s="45"/>
      <c r="B890" s="45"/>
      <c r="C890" s="45"/>
      <c r="D890" s="45"/>
      <c r="E890" s="45"/>
      <c r="F890" s="45"/>
    </row>
    <row r="891" ht="15.75" customHeight="1">
      <c r="A891" s="45"/>
      <c r="B891" s="45"/>
      <c r="C891" s="45"/>
      <c r="D891" s="45"/>
      <c r="E891" s="45"/>
      <c r="F891" s="45"/>
    </row>
    <row r="892" ht="15.75" customHeight="1">
      <c r="A892" s="45"/>
      <c r="B892" s="45"/>
      <c r="C892" s="45"/>
      <c r="D892" s="45"/>
      <c r="E892" s="45"/>
      <c r="F892" s="45"/>
    </row>
    <row r="893" ht="15.75" customHeight="1">
      <c r="A893" s="45"/>
      <c r="B893" s="45"/>
      <c r="C893" s="45"/>
      <c r="D893" s="45"/>
      <c r="E893" s="45"/>
      <c r="F893" s="45"/>
    </row>
    <row r="894" ht="15.75" customHeight="1">
      <c r="A894" s="45"/>
      <c r="B894" s="45"/>
      <c r="C894" s="45"/>
      <c r="D894" s="45"/>
      <c r="E894" s="45"/>
      <c r="F894" s="45"/>
    </row>
    <row r="895" ht="15.75" customHeight="1">
      <c r="A895" s="45"/>
      <c r="B895" s="45"/>
      <c r="C895" s="45"/>
      <c r="D895" s="45"/>
      <c r="E895" s="45"/>
      <c r="F895" s="45"/>
    </row>
    <row r="896" ht="15.75" customHeight="1">
      <c r="A896" s="45"/>
      <c r="B896" s="45"/>
      <c r="C896" s="45"/>
      <c r="D896" s="45"/>
      <c r="E896" s="45"/>
      <c r="F896" s="45"/>
    </row>
    <row r="897" ht="15.75" customHeight="1">
      <c r="A897" s="45"/>
      <c r="B897" s="45"/>
      <c r="C897" s="45"/>
      <c r="D897" s="45"/>
      <c r="E897" s="45"/>
      <c r="F897" s="45"/>
    </row>
    <row r="898" ht="15.75" customHeight="1">
      <c r="A898" s="45"/>
      <c r="B898" s="45"/>
      <c r="C898" s="45"/>
      <c r="D898" s="45"/>
      <c r="E898" s="45"/>
      <c r="F898" s="45"/>
    </row>
    <row r="899" ht="15.75" customHeight="1">
      <c r="A899" s="45"/>
      <c r="B899" s="45"/>
      <c r="C899" s="45"/>
      <c r="D899" s="45"/>
      <c r="E899" s="45"/>
      <c r="F899" s="45"/>
    </row>
    <row r="900" ht="15.75" customHeight="1">
      <c r="A900" s="45"/>
      <c r="B900" s="45"/>
      <c r="C900" s="45"/>
      <c r="D900" s="45"/>
      <c r="E900" s="45"/>
      <c r="F900" s="45"/>
    </row>
    <row r="901" ht="15.75" customHeight="1">
      <c r="A901" s="45"/>
      <c r="B901" s="45"/>
      <c r="C901" s="45"/>
      <c r="D901" s="45"/>
      <c r="E901" s="45"/>
      <c r="F901" s="45"/>
    </row>
    <row r="902" ht="15.75" customHeight="1">
      <c r="A902" s="45"/>
      <c r="B902" s="45"/>
      <c r="C902" s="45"/>
      <c r="D902" s="45"/>
      <c r="E902" s="45"/>
      <c r="F902" s="45"/>
    </row>
    <row r="903" ht="15.75" customHeight="1">
      <c r="A903" s="45"/>
      <c r="B903" s="45"/>
      <c r="C903" s="45"/>
      <c r="D903" s="45"/>
      <c r="E903" s="45"/>
      <c r="F903" s="45"/>
    </row>
    <row r="904" ht="15.75" customHeight="1">
      <c r="A904" s="45"/>
      <c r="B904" s="45"/>
      <c r="C904" s="45"/>
      <c r="D904" s="45"/>
      <c r="E904" s="45"/>
      <c r="F904" s="45"/>
    </row>
    <row r="905" ht="15.75" customHeight="1">
      <c r="A905" s="45"/>
      <c r="B905" s="45"/>
      <c r="C905" s="45"/>
      <c r="D905" s="45"/>
      <c r="E905" s="45"/>
      <c r="F905" s="45"/>
    </row>
    <row r="906" ht="15.75" customHeight="1">
      <c r="A906" s="45"/>
      <c r="B906" s="45"/>
      <c r="C906" s="45"/>
      <c r="D906" s="45"/>
      <c r="E906" s="45"/>
      <c r="F906" s="45"/>
    </row>
    <row r="907" ht="15.75" customHeight="1">
      <c r="A907" s="45"/>
      <c r="B907" s="45"/>
      <c r="C907" s="45"/>
      <c r="D907" s="45"/>
      <c r="E907" s="45"/>
      <c r="F907" s="45"/>
    </row>
    <row r="908" ht="15.75" customHeight="1">
      <c r="A908" s="45"/>
      <c r="B908" s="45"/>
      <c r="C908" s="45"/>
      <c r="D908" s="45"/>
      <c r="E908" s="45"/>
      <c r="F908" s="45"/>
    </row>
    <row r="909" ht="15.75" customHeight="1">
      <c r="A909" s="45"/>
      <c r="B909" s="45"/>
      <c r="C909" s="45"/>
      <c r="D909" s="45"/>
      <c r="E909" s="45"/>
      <c r="F909" s="45"/>
    </row>
    <row r="910" ht="15.75" customHeight="1">
      <c r="A910" s="45"/>
      <c r="B910" s="45"/>
      <c r="C910" s="45"/>
      <c r="D910" s="45"/>
      <c r="E910" s="45"/>
      <c r="F910" s="45"/>
    </row>
    <row r="911" ht="15.75" customHeight="1">
      <c r="A911" s="45"/>
      <c r="B911" s="45"/>
      <c r="C911" s="45"/>
      <c r="D911" s="45"/>
      <c r="E911" s="45"/>
      <c r="F911" s="45"/>
    </row>
    <row r="912" ht="15.75" customHeight="1">
      <c r="A912" s="45"/>
      <c r="B912" s="45"/>
      <c r="C912" s="45"/>
      <c r="D912" s="45"/>
      <c r="E912" s="45"/>
      <c r="F912" s="45"/>
    </row>
    <row r="913" ht="15.75" customHeight="1">
      <c r="A913" s="45"/>
      <c r="B913" s="45"/>
      <c r="C913" s="45"/>
      <c r="D913" s="45"/>
      <c r="E913" s="45"/>
      <c r="F913" s="45"/>
    </row>
    <row r="914" ht="15.75" customHeight="1">
      <c r="A914" s="45"/>
      <c r="B914" s="45"/>
      <c r="C914" s="45"/>
      <c r="D914" s="45"/>
      <c r="E914" s="45"/>
      <c r="F914" s="45"/>
    </row>
    <row r="915" ht="15.75" customHeight="1">
      <c r="A915" s="45"/>
      <c r="B915" s="45"/>
      <c r="C915" s="45"/>
      <c r="D915" s="45"/>
      <c r="E915" s="45"/>
      <c r="F915" s="45"/>
    </row>
    <row r="916" ht="15.75" customHeight="1">
      <c r="A916" s="45"/>
      <c r="B916" s="45"/>
      <c r="C916" s="45"/>
      <c r="D916" s="45"/>
      <c r="E916" s="45"/>
      <c r="F916" s="45"/>
    </row>
    <row r="917" ht="15.75" customHeight="1">
      <c r="A917" s="45"/>
      <c r="B917" s="45"/>
      <c r="C917" s="45"/>
      <c r="D917" s="45"/>
      <c r="E917" s="45"/>
      <c r="F917" s="45"/>
    </row>
    <row r="918" ht="15.75" customHeight="1">
      <c r="A918" s="45"/>
      <c r="B918" s="45"/>
      <c r="C918" s="45"/>
      <c r="D918" s="45"/>
      <c r="E918" s="45"/>
      <c r="F918" s="45"/>
    </row>
    <row r="919" ht="15.75" customHeight="1">
      <c r="A919" s="45"/>
      <c r="B919" s="45"/>
      <c r="C919" s="45"/>
      <c r="D919" s="45"/>
      <c r="E919" s="45"/>
      <c r="F919" s="45"/>
    </row>
    <row r="920" ht="15.75" customHeight="1">
      <c r="A920" s="45"/>
      <c r="B920" s="45"/>
      <c r="C920" s="45"/>
      <c r="D920" s="45"/>
      <c r="E920" s="45"/>
      <c r="F920" s="45"/>
    </row>
    <row r="921" ht="15.75" customHeight="1">
      <c r="A921" s="45"/>
      <c r="B921" s="45"/>
      <c r="C921" s="45"/>
      <c r="D921" s="45"/>
      <c r="E921" s="45"/>
      <c r="F921" s="45"/>
    </row>
    <row r="922" ht="15.75" customHeight="1">
      <c r="A922" s="45"/>
      <c r="B922" s="45"/>
      <c r="C922" s="45"/>
      <c r="D922" s="45"/>
      <c r="E922" s="45"/>
      <c r="F922" s="45"/>
    </row>
    <row r="923" ht="15.75" customHeight="1">
      <c r="A923" s="45"/>
      <c r="B923" s="45"/>
      <c r="C923" s="45"/>
      <c r="D923" s="45"/>
      <c r="E923" s="45"/>
      <c r="F923" s="45"/>
    </row>
    <row r="924" ht="15.75" customHeight="1">
      <c r="A924" s="45"/>
      <c r="B924" s="45"/>
      <c r="C924" s="45"/>
      <c r="D924" s="45"/>
      <c r="E924" s="45"/>
      <c r="F924" s="45"/>
    </row>
    <row r="925" ht="15.75" customHeight="1">
      <c r="A925" s="45"/>
      <c r="B925" s="45"/>
      <c r="C925" s="45"/>
      <c r="D925" s="45"/>
      <c r="E925" s="45"/>
      <c r="F925" s="45"/>
    </row>
    <row r="926" ht="15.75" customHeight="1">
      <c r="A926" s="45"/>
      <c r="B926" s="45"/>
      <c r="C926" s="45"/>
      <c r="D926" s="45"/>
      <c r="E926" s="45"/>
      <c r="F926" s="45"/>
    </row>
    <row r="927" ht="15.75" customHeight="1">
      <c r="A927" s="45"/>
      <c r="B927" s="45"/>
      <c r="C927" s="45"/>
      <c r="D927" s="45"/>
      <c r="E927" s="45"/>
      <c r="F927" s="45"/>
    </row>
    <row r="928" ht="15.75" customHeight="1">
      <c r="A928" s="45"/>
      <c r="B928" s="45"/>
      <c r="C928" s="45"/>
      <c r="D928" s="45"/>
      <c r="E928" s="45"/>
      <c r="F928" s="45"/>
    </row>
    <row r="929" ht="15.75" customHeight="1">
      <c r="A929" s="45"/>
      <c r="B929" s="45"/>
      <c r="C929" s="45"/>
      <c r="D929" s="45"/>
      <c r="E929" s="45"/>
      <c r="F929" s="45"/>
    </row>
    <row r="930" ht="15.75" customHeight="1">
      <c r="A930" s="45"/>
      <c r="B930" s="45"/>
      <c r="C930" s="45"/>
      <c r="D930" s="45"/>
      <c r="E930" s="45"/>
      <c r="F930" s="45"/>
    </row>
    <row r="931" ht="15.75" customHeight="1">
      <c r="A931" s="45"/>
      <c r="B931" s="45"/>
      <c r="C931" s="45"/>
      <c r="D931" s="45"/>
      <c r="E931" s="45"/>
      <c r="F931" s="45"/>
    </row>
    <row r="932" ht="15.75" customHeight="1">
      <c r="A932" s="45"/>
      <c r="B932" s="45"/>
      <c r="C932" s="45"/>
      <c r="D932" s="45"/>
      <c r="E932" s="45"/>
      <c r="F932" s="45"/>
    </row>
    <row r="933" ht="15.75" customHeight="1">
      <c r="A933" s="45"/>
      <c r="B933" s="45"/>
      <c r="C933" s="45"/>
      <c r="D933" s="45"/>
      <c r="E933" s="45"/>
      <c r="F933" s="45"/>
    </row>
    <row r="934" ht="15.75" customHeight="1">
      <c r="A934" s="45"/>
      <c r="B934" s="45"/>
      <c r="C934" s="45"/>
      <c r="D934" s="45"/>
      <c r="E934" s="45"/>
      <c r="F934" s="45"/>
    </row>
    <row r="935" ht="15.75" customHeight="1">
      <c r="A935" s="45"/>
      <c r="B935" s="45"/>
      <c r="C935" s="45"/>
      <c r="D935" s="45"/>
      <c r="E935" s="45"/>
      <c r="F935" s="45"/>
    </row>
    <row r="936" ht="15.75" customHeight="1">
      <c r="A936" s="45"/>
      <c r="B936" s="45"/>
      <c r="C936" s="45"/>
      <c r="D936" s="45"/>
      <c r="E936" s="45"/>
      <c r="F936" s="45"/>
    </row>
    <row r="937" ht="15.75" customHeight="1">
      <c r="A937" s="45"/>
      <c r="B937" s="45"/>
      <c r="C937" s="45"/>
      <c r="D937" s="45"/>
      <c r="E937" s="45"/>
      <c r="F937" s="45"/>
    </row>
    <row r="938" ht="15.75" customHeight="1">
      <c r="A938" s="45"/>
      <c r="B938" s="45"/>
      <c r="C938" s="45"/>
      <c r="D938" s="45"/>
      <c r="E938" s="45"/>
      <c r="F938" s="45"/>
    </row>
    <row r="939" ht="15.75" customHeight="1">
      <c r="A939" s="45"/>
      <c r="B939" s="45"/>
      <c r="C939" s="45"/>
      <c r="D939" s="45"/>
      <c r="E939" s="45"/>
      <c r="F939" s="45"/>
    </row>
    <row r="940" ht="15.75" customHeight="1">
      <c r="A940" s="45"/>
      <c r="B940" s="45"/>
      <c r="C940" s="45"/>
      <c r="D940" s="45"/>
      <c r="E940" s="45"/>
      <c r="F940" s="45"/>
    </row>
    <row r="941" ht="15.75" customHeight="1">
      <c r="A941" s="45"/>
      <c r="B941" s="45"/>
      <c r="C941" s="45"/>
      <c r="D941" s="45"/>
      <c r="E941" s="45"/>
      <c r="F941" s="45"/>
    </row>
    <row r="942" ht="15.75" customHeight="1">
      <c r="A942" s="45"/>
      <c r="B942" s="45"/>
      <c r="C942" s="45"/>
      <c r="D942" s="45"/>
      <c r="E942" s="45"/>
      <c r="F942" s="45"/>
    </row>
    <row r="943" ht="15.75" customHeight="1">
      <c r="A943" s="45"/>
      <c r="B943" s="45"/>
      <c r="C943" s="45"/>
      <c r="D943" s="45"/>
      <c r="E943" s="45"/>
      <c r="F943" s="45"/>
    </row>
    <row r="944" ht="15.75" customHeight="1">
      <c r="A944" s="45"/>
      <c r="B944" s="45"/>
      <c r="C944" s="45"/>
      <c r="D944" s="45"/>
      <c r="E944" s="45"/>
      <c r="F944" s="45"/>
    </row>
    <row r="945" ht="15.75" customHeight="1">
      <c r="A945" s="45"/>
      <c r="B945" s="45"/>
      <c r="C945" s="45"/>
      <c r="D945" s="45"/>
      <c r="E945" s="45"/>
      <c r="F945" s="45"/>
    </row>
    <row r="946" ht="15.75" customHeight="1">
      <c r="A946" s="45"/>
      <c r="B946" s="45"/>
      <c r="C946" s="45"/>
      <c r="D946" s="45"/>
      <c r="E946" s="45"/>
      <c r="F946" s="45"/>
    </row>
    <row r="947" ht="15.75" customHeight="1">
      <c r="A947" s="45"/>
      <c r="B947" s="45"/>
      <c r="C947" s="45"/>
      <c r="D947" s="45"/>
      <c r="E947" s="45"/>
      <c r="F947" s="45"/>
    </row>
    <row r="948" ht="15.75" customHeight="1">
      <c r="A948" s="45"/>
      <c r="B948" s="45"/>
      <c r="C948" s="45"/>
      <c r="D948" s="45"/>
      <c r="E948" s="45"/>
      <c r="F948" s="45"/>
    </row>
    <row r="949" ht="15.75" customHeight="1">
      <c r="A949" s="45"/>
      <c r="B949" s="45"/>
      <c r="C949" s="45"/>
      <c r="D949" s="45"/>
      <c r="E949" s="45"/>
      <c r="F949" s="45"/>
    </row>
    <row r="950" ht="15.75" customHeight="1">
      <c r="A950" s="45"/>
      <c r="B950" s="45"/>
      <c r="C950" s="45"/>
      <c r="D950" s="45"/>
      <c r="E950" s="45"/>
      <c r="F950" s="45"/>
    </row>
    <row r="951" ht="15.75" customHeight="1">
      <c r="A951" s="45"/>
      <c r="B951" s="45"/>
      <c r="C951" s="45"/>
      <c r="D951" s="45"/>
      <c r="E951" s="45"/>
      <c r="F951" s="45"/>
    </row>
    <row r="952" ht="15.75" customHeight="1">
      <c r="A952" s="45"/>
      <c r="B952" s="45"/>
      <c r="C952" s="45"/>
      <c r="D952" s="45"/>
      <c r="E952" s="45"/>
      <c r="F952" s="45"/>
    </row>
    <row r="953" ht="15.75" customHeight="1">
      <c r="A953" s="45"/>
      <c r="B953" s="45"/>
      <c r="C953" s="45"/>
      <c r="D953" s="45"/>
      <c r="E953" s="45"/>
      <c r="F953" s="45"/>
    </row>
    <row r="954" ht="15.75" customHeight="1">
      <c r="A954" s="45"/>
      <c r="B954" s="45"/>
      <c r="C954" s="45"/>
      <c r="D954" s="45"/>
      <c r="E954" s="45"/>
      <c r="F954" s="45"/>
    </row>
    <row r="955" ht="15.75" customHeight="1">
      <c r="A955" s="45"/>
      <c r="B955" s="45"/>
      <c r="C955" s="45"/>
      <c r="D955" s="45"/>
      <c r="E955" s="45"/>
      <c r="F955" s="45"/>
    </row>
    <row r="956" ht="15.75" customHeight="1">
      <c r="A956" s="45"/>
      <c r="B956" s="45"/>
      <c r="C956" s="45"/>
      <c r="D956" s="45"/>
      <c r="E956" s="45"/>
      <c r="F956" s="45"/>
    </row>
    <row r="957" ht="15.75" customHeight="1">
      <c r="A957" s="45"/>
      <c r="B957" s="45"/>
      <c r="C957" s="45"/>
      <c r="D957" s="45"/>
      <c r="E957" s="45"/>
      <c r="F957" s="45"/>
    </row>
    <row r="958" ht="15.75" customHeight="1">
      <c r="A958" s="45"/>
      <c r="B958" s="45"/>
      <c r="C958" s="45"/>
      <c r="D958" s="45"/>
      <c r="E958" s="45"/>
      <c r="F958" s="45"/>
    </row>
    <row r="959" ht="15.75" customHeight="1">
      <c r="A959" s="45"/>
      <c r="B959" s="45"/>
      <c r="C959" s="45"/>
      <c r="D959" s="45"/>
      <c r="E959" s="45"/>
      <c r="F959" s="45"/>
    </row>
    <row r="960" ht="15.75" customHeight="1">
      <c r="A960" s="45"/>
      <c r="B960" s="45"/>
      <c r="C960" s="45"/>
      <c r="D960" s="45"/>
      <c r="E960" s="45"/>
      <c r="F960" s="45"/>
    </row>
    <row r="961" ht="15.75" customHeight="1">
      <c r="A961" s="45"/>
      <c r="B961" s="45"/>
      <c r="C961" s="45"/>
      <c r="D961" s="45"/>
      <c r="E961" s="45"/>
      <c r="F961" s="45"/>
    </row>
    <row r="962" ht="15.75" customHeight="1">
      <c r="A962" s="45"/>
      <c r="B962" s="45"/>
      <c r="C962" s="45"/>
      <c r="D962" s="45"/>
      <c r="E962" s="45"/>
      <c r="F962" s="45"/>
    </row>
    <row r="963" ht="15.75" customHeight="1">
      <c r="A963" s="45"/>
      <c r="B963" s="45"/>
      <c r="C963" s="45"/>
      <c r="D963" s="45"/>
      <c r="E963" s="45"/>
      <c r="F963" s="45"/>
    </row>
    <row r="964" ht="15.75" customHeight="1">
      <c r="A964" s="45"/>
      <c r="B964" s="45"/>
      <c r="C964" s="45"/>
      <c r="D964" s="45"/>
      <c r="E964" s="45"/>
      <c r="F964" s="45"/>
    </row>
    <row r="965" ht="15.75" customHeight="1">
      <c r="A965" s="45"/>
      <c r="B965" s="45"/>
      <c r="C965" s="45"/>
      <c r="D965" s="45"/>
      <c r="E965" s="45"/>
      <c r="F965" s="45"/>
    </row>
    <row r="966" ht="15.75" customHeight="1">
      <c r="A966" s="45"/>
      <c r="B966" s="45"/>
      <c r="C966" s="45"/>
      <c r="D966" s="45"/>
      <c r="E966" s="45"/>
      <c r="F966" s="45"/>
    </row>
    <row r="967" ht="15.75" customHeight="1">
      <c r="A967" s="45"/>
      <c r="B967" s="45"/>
      <c r="C967" s="45"/>
      <c r="D967" s="45"/>
      <c r="E967" s="45"/>
      <c r="F967" s="45"/>
    </row>
    <row r="968" ht="15.75" customHeight="1">
      <c r="A968" s="45"/>
      <c r="B968" s="45"/>
      <c r="C968" s="45"/>
      <c r="D968" s="45"/>
      <c r="E968" s="45"/>
      <c r="F968" s="45"/>
    </row>
    <row r="969" ht="15.75" customHeight="1">
      <c r="A969" s="45"/>
      <c r="B969" s="45"/>
      <c r="C969" s="45"/>
      <c r="D969" s="45"/>
      <c r="E969" s="45"/>
      <c r="F969" s="45"/>
    </row>
    <row r="970" ht="15.75" customHeight="1">
      <c r="A970" s="45"/>
      <c r="B970" s="45"/>
      <c r="C970" s="45"/>
      <c r="D970" s="45"/>
      <c r="E970" s="45"/>
      <c r="F970" s="45"/>
    </row>
    <row r="971" ht="15.75" customHeight="1">
      <c r="A971" s="45"/>
      <c r="B971" s="45"/>
      <c r="C971" s="45"/>
      <c r="D971" s="45"/>
      <c r="E971" s="45"/>
      <c r="F971" s="45"/>
    </row>
    <row r="972" ht="15.75" customHeight="1">
      <c r="A972" s="45"/>
      <c r="B972" s="45"/>
      <c r="C972" s="45"/>
      <c r="D972" s="45"/>
      <c r="E972" s="45"/>
      <c r="F972" s="45"/>
    </row>
    <row r="973" ht="15.75" customHeight="1">
      <c r="A973" s="45"/>
      <c r="B973" s="45"/>
      <c r="C973" s="45"/>
      <c r="D973" s="45"/>
      <c r="E973" s="45"/>
      <c r="F973" s="45"/>
    </row>
    <row r="974" ht="15.75" customHeight="1">
      <c r="A974" s="45"/>
      <c r="B974" s="45"/>
      <c r="C974" s="45"/>
      <c r="D974" s="45"/>
      <c r="E974" s="45"/>
      <c r="F974" s="45"/>
    </row>
    <row r="975" ht="15.75" customHeight="1">
      <c r="A975" s="45"/>
      <c r="B975" s="45"/>
      <c r="C975" s="45"/>
      <c r="D975" s="45"/>
      <c r="E975" s="45"/>
      <c r="F975" s="45"/>
    </row>
    <row r="976" ht="15.75" customHeight="1">
      <c r="A976" s="45"/>
      <c r="B976" s="45"/>
      <c r="C976" s="45"/>
      <c r="D976" s="45"/>
      <c r="E976" s="45"/>
      <c r="F976" s="45"/>
    </row>
    <row r="977" ht="15.75" customHeight="1">
      <c r="A977" s="45"/>
      <c r="B977" s="45"/>
      <c r="C977" s="45"/>
      <c r="D977" s="45"/>
      <c r="E977" s="45"/>
      <c r="F977" s="45"/>
    </row>
    <row r="978" ht="15.75" customHeight="1">
      <c r="A978" s="45"/>
      <c r="B978" s="45"/>
      <c r="C978" s="45"/>
      <c r="D978" s="45"/>
      <c r="E978" s="45"/>
      <c r="F978" s="45"/>
    </row>
    <row r="979" ht="15.75" customHeight="1">
      <c r="A979" s="45"/>
      <c r="B979" s="45"/>
      <c r="C979" s="45"/>
      <c r="D979" s="45"/>
      <c r="E979" s="45"/>
      <c r="F979" s="45"/>
    </row>
    <row r="980" ht="15.75" customHeight="1">
      <c r="A980" s="45"/>
      <c r="B980" s="45"/>
      <c r="C980" s="45"/>
      <c r="D980" s="45"/>
      <c r="E980" s="45"/>
      <c r="F980" s="45"/>
    </row>
    <row r="981" ht="15.75" customHeight="1">
      <c r="A981" s="45"/>
      <c r="B981" s="45"/>
      <c r="C981" s="45"/>
      <c r="D981" s="45"/>
      <c r="E981" s="45"/>
      <c r="F981" s="45"/>
    </row>
    <row r="982" ht="15.75" customHeight="1">
      <c r="A982" s="45"/>
      <c r="B982" s="45"/>
      <c r="C982" s="45"/>
      <c r="D982" s="45"/>
      <c r="E982" s="45"/>
      <c r="F982" s="45"/>
    </row>
    <row r="983" ht="15.75" customHeight="1">
      <c r="A983" s="45"/>
      <c r="B983" s="45"/>
      <c r="C983" s="45"/>
      <c r="D983" s="45"/>
      <c r="E983" s="45"/>
      <c r="F983" s="45"/>
    </row>
    <row r="984" ht="15.75" customHeight="1">
      <c r="A984" s="45"/>
      <c r="B984" s="45"/>
      <c r="C984" s="45"/>
      <c r="D984" s="45"/>
      <c r="E984" s="45"/>
      <c r="F984" s="45"/>
    </row>
    <row r="985" ht="15.75" customHeight="1">
      <c r="A985" s="45"/>
      <c r="B985" s="45"/>
      <c r="C985" s="45"/>
      <c r="D985" s="45"/>
      <c r="E985" s="45"/>
      <c r="F985" s="45"/>
    </row>
    <row r="986" ht="15.75" customHeight="1">
      <c r="A986" s="45"/>
      <c r="B986" s="45"/>
      <c r="C986" s="45"/>
      <c r="D986" s="45"/>
      <c r="E986" s="45"/>
      <c r="F986" s="45"/>
    </row>
    <row r="987" ht="15.75" customHeight="1">
      <c r="A987" s="45"/>
      <c r="B987" s="45"/>
      <c r="C987" s="45"/>
      <c r="D987" s="45"/>
      <c r="E987" s="45"/>
      <c r="F987" s="45"/>
    </row>
    <row r="988" ht="15.75" customHeight="1">
      <c r="A988" s="45"/>
      <c r="B988" s="45"/>
      <c r="C988" s="45"/>
      <c r="D988" s="45"/>
      <c r="E988" s="45"/>
      <c r="F988" s="45"/>
    </row>
    <row r="989" ht="15.75" customHeight="1">
      <c r="A989" s="45"/>
      <c r="B989" s="45"/>
      <c r="C989" s="45"/>
      <c r="D989" s="45"/>
      <c r="E989" s="45"/>
      <c r="F989" s="45"/>
    </row>
    <row r="990" ht="15.75" customHeight="1">
      <c r="A990" s="45"/>
      <c r="B990" s="45"/>
      <c r="C990" s="45"/>
      <c r="D990" s="45"/>
      <c r="E990" s="45"/>
      <c r="F990" s="45"/>
    </row>
    <row r="991" ht="15.75" customHeight="1">
      <c r="A991" s="45"/>
      <c r="B991" s="45"/>
      <c r="C991" s="45"/>
      <c r="D991" s="45"/>
      <c r="E991" s="45"/>
      <c r="F991" s="45"/>
    </row>
    <row r="992" ht="15.75" customHeight="1">
      <c r="A992" s="45"/>
      <c r="B992" s="45"/>
      <c r="C992" s="45"/>
      <c r="D992" s="45"/>
      <c r="E992" s="45"/>
      <c r="F992" s="45"/>
    </row>
    <row r="993" ht="15.75" customHeight="1">
      <c r="A993" s="45"/>
      <c r="B993" s="45"/>
      <c r="C993" s="45"/>
      <c r="D993" s="45"/>
      <c r="E993" s="45"/>
      <c r="F993" s="45"/>
    </row>
    <row r="994" ht="15.75" customHeight="1">
      <c r="A994" s="45"/>
      <c r="B994" s="45"/>
      <c r="C994" s="45"/>
      <c r="D994" s="45"/>
      <c r="E994" s="45"/>
      <c r="F994" s="45"/>
    </row>
    <row r="995" ht="15.75" customHeight="1">
      <c r="A995" s="45"/>
      <c r="B995" s="45"/>
      <c r="C995" s="45"/>
      <c r="D995" s="45"/>
      <c r="E995" s="45"/>
      <c r="F995" s="45"/>
    </row>
    <row r="996" ht="15.75" customHeight="1">
      <c r="A996" s="45"/>
      <c r="B996" s="45"/>
      <c r="C996" s="45"/>
      <c r="D996" s="45"/>
      <c r="E996" s="45"/>
      <c r="F996" s="45"/>
    </row>
    <row r="997" ht="15.75" customHeight="1">
      <c r="A997" s="45"/>
      <c r="B997" s="45"/>
      <c r="C997" s="45"/>
      <c r="D997" s="45"/>
      <c r="E997" s="45"/>
      <c r="F997" s="45"/>
    </row>
    <row r="998" ht="15.75" customHeight="1">
      <c r="A998" s="45"/>
      <c r="B998" s="45"/>
      <c r="C998" s="45"/>
      <c r="D998" s="45"/>
      <c r="E998" s="45"/>
      <c r="F998" s="45"/>
    </row>
    <row r="999" ht="15.75" customHeight="1">
      <c r="A999" s="45"/>
      <c r="B999" s="45"/>
      <c r="C999" s="45"/>
      <c r="D999" s="45"/>
      <c r="E999" s="45"/>
      <c r="F999" s="45"/>
    </row>
    <row r="1000" ht="15.75" customHeight="1">
      <c r="A1000" s="45"/>
      <c r="B1000" s="45"/>
      <c r="C1000" s="45"/>
      <c r="D1000" s="45"/>
      <c r="E1000" s="45"/>
      <c r="F1000" s="45"/>
    </row>
  </sheetData>
  <mergeCells count="1">
    <mergeCell ref="A1:D1"/>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15C"/>
    <pageSetUpPr/>
  </sheetPr>
  <sheetViews>
    <sheetView workbookViewId="0"/>
  </sheetViews>
  <sheetFormatPr customHeight="1" defaultColWidth="14.43" defaultRowHeight="15.0"/>
  <cols>
    <col customWidth="1" min="1" max="1" width="4.0"/>
    <col customWidth="1" min="2" max="2" width="30.0"/>
    <col customWidth="1" min="3" max="3" width="18.0"/>
    <col customWidth="1" min="4" max="4" width="15.43"/>
    <col customWidth="1" min="5" max="5" width="21.43"/>
    <col customWidth="1" min="6" max="9" width="18.0"/>
    <col customWidth="1" min="10" max="26" width="8.71"/>
  </cols>
  <sheetData>
    <row r="1" ht="15.0" customHeight="1">
      <c r="A1" s="42" t="s">
        <v>536</v>
      </c>
      <c r="B1" s="42"/>
      <c r="C1" s="42"/>
      <c r="D1" s="42"/>
      <c r="E1" s="42"/>
      <c r="F1" s="42"/>
      <c r="G1" s="42"/>
      <c r="H1" s="42"/>
      <c r="I1" s="42"/>
      <c r="J1" s="42"/>
      <c r="K1" s="42"/>
      <c r="L1" s="42"/>
      <c r="M1" s="42"/>
      <c r="N1" s="42"/>
      <c r="O1" s="42"/>
      <c r="P1" s="42"/>
      <c r="Q1" s="42"/>
      <c r="R1" s="42"/>
      <c r="S1" s="42"/>
      <c r="T1" s="42"/>
      <c r="U1" s="42"/>
      <c r="V1" s="42"/>
      <c r="W1" s="42"/>
      <c r="X1" s="42"/>
      <c r="Y1" s="42"/>
      <c r="Z1" s="42"/>
    </row>
    <row r="2" ht="15.0" customHeight="1">
      <c r="A2" s="42"/>
      <c r="B2" s="362"/>
      <c r="J2" s="42"/>
      <c r="K2" s="42"/>
      <c r="L2" s="42"/>
      <c r="M2" s="42"/>
      <c r="N2" s="42"/>
      <c r="O2" s="42"/>
      <c r="P2" s="42"/>
      <c r="Q2" s="42"/>
      <c r="R2" s="42"/>
      <c r="S2" s="42"/>
      <c r="T2" s="42"/>
      <c r="U2" s="42"/>
      <c r="V2" s="42"/>
      <c r="W2" s="42"/>
      <c r="X2" s="42"/>
      <c r="Y2" s="42"/>
      <c r="Z2" s="42"/>
    </row>
    <row r="3" ht="15.0" customHeight="1">
      <c r="A3" s="42"/>
      <c r="B3" s="42"/>
      <c r="C3" s="42"/>
      <c r="D3" s="42"/>
      <c r="E3" s="42"/>
      <c r="F3" s="42"/>
      <c r="G3" s="42"/>
      <c r="H3" s="42"/>
      <c r="I3" s="42"/>
      <c r="J3" s="42"/>
      <c r="K3" s="42"/>
      <c r="L3" s="42"/>
      <c r="M3" s="42"/>
      <c r="N3" s="42"/>
      <c r="O3" s="42"/>
      <c r="P3" s="42"/>
      <c r="Q3" s="42"/>
      <c r="R3" s="42"/>
      <c r="S3" s="42"/>
      <c r="T3" s="42"/>
      <c r="U3" s="42"/>
      <c r="V3" s="42"/>
      <c r="W3" s="42"/>
      <c r="X3" s="42"/>
      <c r="Y3" s="42"/>
      <c r="Z3" s="42"/>
    </row>
    <row r="4" ht="15.0" customHeight="1">
      <c r="A4" s="42"/>
      <c r="B4" s="280" t="s">
        <v>537</v>
      </c>
      <c r="C4" s="42"/>
      <c r="D4" s="42"/>
      <c r="E4" s="280" t="s">
        <v>538</v>
      </c>
      <c r="F4" s="42"/>
      <c r="G4" s="42"/>
      <c r="H4" s="42"/>
      <c r="I4" s="42"/>
      <c r="J4" s="42"/>
      <c r="K4" s="42"/>
      <c r="L4" s="42"/>
      <c r="M4" s="42"/>
      <c r="N4" s="42"/>
      <c r="O4" s="42"/>
      <c r="P4" s="42"/>
      <c r="Q4" s="42"/>
      <c r="R4" s="42"/>
      <c r="S4" s="42"/>
      <c r="T4" s="42"/>
      <c r="U4" s="42"/>
      <c r="V4" s="42"/>
      <c r="W4" s="42"/>
      <c r="X4" s="42"/>
      <c r="Y4" s="42"/>
      <c r="Z4" s="42"/>
    </row>
    <row r="5" ht="15.0" customHeight="1">
      <c r="A5" s="42"/>
      <c r="B5" s="42"/>
      <c r="C5" s="42"/>
      <c r="D5" s="42"/>
      <c r="E5" s="42"/>
      <c r="F5" s="42"/>
      <c r="G5" s="42"/>
      <c r="H5" s="42"/>
      <c r="I5" s="42"/>
      <c r="J5" s="42"/>
      <c r="K5" s="42"/>
      <c r="L5" s="42"/>
      <c r="M5" s="42"/>
      <c r="N5" s="42"/>
      <c r="O5" s="42"/>
      <c r="P5" s="42"/>
      <c r="Q5" s="42"/>
      <c r="R5" s="42"/>
      <c r="S5" s="42"/>
      <c r="T5" s="42"/>
      <c r="U5" s="42"/>
      <c r="V5" s="42"/>
      <c r="W5" s="42"/>
      <c r="X5" s="42"/>
      <c r="Y5" s="42"/>
      <c r="Z5" s="42"/>
    </row>
    <row r="6" ht="15.0" customHeight="1">
      <c r="A6" s="42"/>
      <c r="B6" s="280" t="s">
        <v>539</v>
      </c>
      <c r="C6" s="363">
        <f>'Hypothèses'!B6-'Hypothèses'!B14</f>
        <v>252800</v>
      </c>
      <c r="D6" s="42"/>
      <c r="E6" s="280" t="s">
        <v>540</v>
      </c>
      <c r="F6" s="364">
        <f>-PMT(C7/12,C8*12,C6)</f>
        <v>1238.62284</v>
      </c>
      <c r="G6" s="42"/>
      <c r="H6" s="42"/>
      <c r="I6" s="42"/>
      <c r="J6" s="42"/>
      <c r="K6" s="42"/>
      <c r="L6" s="42"/>
      <c r="M6" s="42"/>
      <c r="N6" s="42"/>
      <c r="O6" s="42"/>
      <c r="P6" s="42"/>
      <c r="Q6" s="42"/>
      <c r="R6" s="42"/>
      <c r="S6" s="42"/>
      <c r="T6" s="42"/>
      <c r="U6" s="42"/>
      <c r="V6" s="42"/>
      <c r="W6" s="42"/>
      <c r="X6" s="42"/>
      <c r="Y6" s="42"/>
      <c r="Z6" s="42"/>
    </row>
    <row r="7" ht="15.0" customHeight="1">
      <c r="A7" s="42"/>
      <c r="B7" s="269" t="s">
        <v>541</v>
      </c>
      <c r="C7" s="365">
        <f>'Hypothèses'!B16</f>
        <v>0.033</v>
      </c>
      <c r="D7" s="42"/>
      <c r="E7" s="269" t="s">
        <v>542</v>
      </c>
      <c r="F7" s="366">
        <f>C6*C9/12</f>
        <v>73.73333333</v>
      </c>
      <c r="G7" s="42"/>
      <c r="H7" s="42"/>
      <c r="I7" s="42"/>
      <c r="J7" s="42"/>
      <c r="K7" s="42"/>
      <c r="L7" s="42"/>
      <c r="M7" s="42"/>
      <c r="N7" s="42"/>
      <c r="O7" s="42"/>
      <c r="P7" s="42"/>
      <c r="Q7" s="42"/>
      <c r="R7" s="42"/>
      <c r="S7" s="42"/>
      <c r="T7" s="42"/>
      <c r="U7" s="42"/>
      <c r="V7" s="42"/>
      <c r="W7" s="42"/>
      <c r="X7" s="42"/>
      <c r="Y7" s="42"/>
      <c r="Z7" s="42"/>
    </row>
    <row r="8" ht="15.0" customHeight="1">
      <c r="A8" s="42"/>
      <c r="B8" s="280" t="s">
        <v>543</v>
      </c>
      <c r="C8" s="367">
        <f>'Hypothèses'!B18</f>
        <v>25</v>
      </c>
      <c r="D8" s="42"/>
      <c r="E8" s="280" t="s">
        <v>544</v>
      </c>
      <c r="F8" s="368">
        <f>F6+F7</f>
        <v>1312.356174</v>
      </c>
      <c r="G8" s="42"/>
      <c r="H8" s="42"/>
      <c r="I8" s="42"/>
      <c r="J8" s="42"/>
      <c r="K8" s="42"/>
      <c r="L8" s="42"/>
      <c r="M8" s="42"/>
      <c r="N8" s="42"/>
      <c r="O8" s="42"/>
      <c r="P8" s="42"/>
      <c r="Q8" s="42"/>
      <c r="R8" s="42"/>
      <c r="S8" s="42"/>
      <c r="T8" s="42"/>
      <c r="U8" s="42"/>
      <c r="V8" s="42"/>
      <c r="W8" s="42"/>
      <c r="X8" s="42"/>
      <c r="Y8" s="42"/>
      <c r="Z8" s="42"/>
    </row>
    <row r="9" ht="15.0" customHeight="1">
      <c r="A9" s="42"/>
      <c r="B9" s="269" t="s">
        <v>545</v>
      </c>
      <c r="C9" s="365">
        <f>'Hypothèses'!B17</f>
        <v>0.0035</v>
      </c>
      <c r="D9" s="42"/>
      <c r="E9" s="269" t="s">
        <v>546</v>
      </c>
      <c r="F9" s="366">
        <f>F8*C8*12-C6</f>
        <v>140906.8521</v>
      </c>
      <c r="G9" s="42"/>
      <c r="H9" s="42"/>
      <c r="I9" s="42"/>
      <c r="J9" s="42"/>
      <c r="K9" s="42"/>
      <c r="L9" s="42"/>
      <c r="M9" s="42"/>
      <c r="N9" s="42"/>
      <c r="O9" s="42"/>
      <c r="P9" s="42"/>
      <c r="Q9" s="42"/>
      <c r="R9" s="42"/>
      <c r="S9" s="42"/>
      <c r="T9" s="42"/>
      <c r="U9" s="42"/>
      <c r="V9" s="42"/>
      <c r="W9" s="42"/>
      <c r="X9" s="42"/>
      <c r="Y9" s="42"/>
      <c r="Z9" s="42"/>
    </row>
    <row r="10" ht="15.0" customHeight="1">
      <c r="A10" s="42"/>
      <c r="B10" s="280" t="s">
        <v>547</v>
      </c>
      <c r="C10" s="369"/>
      <c r="D10" s="42"/>
      <c r="E10" s="280" t="s">
        <v>548</v>
      </c>
      <c r="F10" s="364">
        <f>F6*C8*12-C6</f>
        <v>118786.8521</v>
      </c>
      <c r="G10" s="42"/>
      <c r="H10" s="42"/>
      <c r="I10" s="42"/>
      <c r="J10" s="42"/>
      <c r="K10" s="42"/>
      <c r="L10" s="42"/>
      <c r="M10" s="42"/>
      <c r="N10" s="42"/>
      <c r="O10" s="42"/>
      <c r="P10" s="42"/>
      <c r="Q10" s="42"/>
      <c r="R10" s="42"/>
      <c r="S10" s="42"/>
      <c r="T10" s="42"/>
      <c r="U10" s="42"/>
      <c r="V10" s="42"/>
      <c r="W10" s="42"/>
      <c r="X10" s="42"/>
      <c r="Y10" s="42"/>
      <c r="Z10" s="42"/>
    </row>
    <row r="11" ht="15.0" customHeight="1">
      <c r="A11" s="42"/>
      <c r="B11" s="42"/>
      <c r="C11" s="42"/>
      <c r="D11" s="42"/>
      <c r="E11" s="269" t="s">
        <v>549</v>
      </c>
      <c r="F11" s="366">
        <f>F7*C8*12</f>
        <v>22120</v>
      </c>
      <c r="G11" s="42"/>
      <c r="H11" s="42"/>
      <c r="I11" s="42"/>
      <c r="J11" s="42"/>
      <c r="K11" s="42"/>
      <c r="L11" s="42"/>
      <c r="M11" s="42"/>
      <c r="N11" s="42"/>
      <c r="O11" s="42"/>
      <c r="P11" s="42"/>
      <c r="Q11" s="42"/>
      <c r="R11" s="42"/>
      <c r="S11" s="42"/>
      <c r="T11" s="42"/>
      <c r="U11" s="42"/>
      <c r="V11" s="42"/>
      <c r="W11" s="42"/>
      <c r="X11" s="42"/>
      <c r="Y11" s="42"/>
      <c r="Z11" s="42"/>
    </row>
    <row r="12" ht="15.0" customHeight="1">
      <c r="A12" s="42"/>
      <c r="B12" s="42"/>
      <c r="C12" s="42"/>
      <c r="D12" s="42"/>
      <c r="E12" s="280" t="s">
        <v>550</v>
      </c>
      <c r="F12" s="370">
        <f>RATE(C8*12,-(F6+F7),C6)*12</f>
        <v>0.03841566052</v>
      </c>
      <c r="G12" s="42"/>
      <c r="H12" s="42"/>
      <c r="I12" s="42"/>
      <c r="J12" s="42"/>
      <c r="K12" s="42"/>
      <c r="L12" s="42"/>
      <c r="M12" s="42"/>
      <c r="N12" s="42"/>
      <c r="O12" s="42"/>
      <c r="P12" s="42"/>
      <c r="Q12" s="42"/>
      <c r="R12" s="42"/>
      <c r="S12" s="42"/>
      <c r="T12" s="42"/>
      <c r="U12" s="42"/>
      <c r="V12" s="42"/>
      <c r="W12" s="42"/>
      <c r="X12" s="42"/>
      <c r="Y12" s="42"/>
      <c r="Z12" s="42"/>
    </row>
    <row r="13" ht="15.0" customHeight="1">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ht="15.0" customHeight="1">
      <c r="A14" s="42"/>
      <c r="B14" s="280" t="s">
        <v>551</v>
      </c>
      <c r="C14" s="42"/>
      <c r="D14" s="42"/>
      <c r="E14" s="42"/>
      <c r="F14" s="42"/>
      <c r="G14" s="42"/>
      <c r="H14" s="42"/>
      <c r="I14" s="42"/>
      <c r="J14" s="42"/>
      <c r="K14" s="42"/>
      <c r="L14" s="42"/>
      <c r="M14" s="42"/>
      <c r="N14" s="42"/>
      <c r="O14" s="42"/>
      <c r="P14" s="42"/>
      <c r="Q14" s="42"/>
      <c r="R14" s="42"/>
      <c r="S14" s="42"/>
      <c r="T14" s="42"/>
      <c r="U14" s="42"/>
      <c r="V14" s="42"/>
      <c r="W14" s="42"/>
      <c r="X14" s="42"/>
      <c r="Y14" s="42"/>
      <c r="Z14" s="42"/>
    </row>
    <row r="15" ht="15.0" customHeight="1">
      <c r="A15" s="42"/>
      <c r="B15" s="371" t="s">
        <v>552</v>
      </c>
      <c r="C15" s="371" t="s">
        <v>553</v>
      </c>
      <c r="D15" s="371" t="s">
        <v>554</v>
      </c>
      <c r="E15" s="371" t="s">
        <v>555</v>
      </c>
      <c r="F15" s="371" t="s">
        <v>556</v>
      </c>
      <c r="G15" s="371" t="s">
        <v>557</v>
      </c>
      <c r="H15" s="371" t="s">
        <v>558</v>
      </c>
      <c r="I15" s="42"/>
      <c r="J15" s="42"/>
      <c r="K15" s="42"/>
      <c r="L15" s="42"/>
      <c r="M15" s="42"/>
      <c r="N15" s="42"/>
      <c r="O15" s="42"/>
      <c r="P15" s="42"/>
      <c r="Q15" s="42"/>
      <c r="R15" s="42"/>
      <c r="S15" s="42"/>
      <c r="T15" s="42"/>
      <c r="U15" s="42"/>
      <c r="V15" s="42"/>
      <c r="W15" s="42"/>
      <c r="X15" s="42"/>
      <c r="Y15" s="42"/>
      <c r="Z15" s="42"/>
    </row>
    <row r="16" ht="15.0" customHeight="1">
      <c r="A16" s="42"/>
      <c r="B16" s="372">
        <v>1.0</v>
      </c>
      <c r="C16" s="373">
        <f t="shared" ref="C16:C40" si="1">IF(B16&lt;=C$8,B16,"")</f>
        <v>1</v>
      </c>
      <c r="D16" s="374">
        <f t="shared" ref="D16:D40" si="2">IF(B16&lt;=C$8,-CUMPRINC(C$7/12,C$8*12,C$6,(B16-1)*12+1,B16*12,0),0)</f>
        <v>6620.615068</v>
      </c>
      <c r="E16" s="374">
        <f t="shared" ref="E16:E40" si="3">IF(B16&lt;=C$8,-CUMIPMT(C$7/12,C$8*12,C$6,(B16-1)*12+1,B16*12,0),0)</f>
        <v>8242.859016</v>
      </c>
      <c r="F16" s="374">
        <f t="shared" ref="F16:F40" si="4">IF(B16&lt;=C$8,C$6*C$9,0)</f>
        <v>884.8</v>
      </c>
      <c r="G16" s="374">
        <f t="shared" ref="G16:G40" si="5">IF(B16&lt;=C$8,D16+E16+F16,0)</f>
        <v>15748.27408</v>
      </c>
      <c r="H16" s="374">
        <f t="shared" ref="H16:H40" si="6">IF(B16&lt;=C$8,C$6+CUMPRINC(C$7/12,C$8*12,C$6,1,B16*12,0),0)</f>
        <v>246179.3849</v>
      </c>
      <c r="I16" s="42"/>
      <c r="J16" s="42"/>
      <c r="K16" s="42"/>
      <c r="L16" s="42"/>
      <c r="M16" s="42"/>
      <c r="N16" s="42"/>
      <c r="O16" s="42"/>
      <c r="P16" s="42"/>
      <c r="Q16" s="42"/>
      <c r="R16" s="42"/>
      <c r="S16" s="42"/>
      <c r="T16" s="42"/>
      <c r="U16" s="42"/>
      <c r="V16" s="42"/>
      <c r="W16" s="42"/>
      <c r="X16" s="42"/>
      <c r="Y16" s="42"/>
      <c r="Z16" s="42"/>
    </row>
    <row r="17" ht="15.0" customHeight="1">
      <c r="A17" s="42"/>
      <c r="B17" s="375">
        <v>2.0</v>
      </c>
      <c r="C17" s="371">
        <f t="shared" si="1"/>
        <v>2</v>
      </c>
      <c r="D17" s="376">
        <f t="shared" si="2"/>
        <v>6842.43036</v>
      </c>
      <c r="E17" s="376">
        <f t="shared" si="3"/>
        <v>8021.043724</v>
      </c>
      <c r="F17" s="376">
        <f t="shared" si="4"/>
        <v>884.8</v>
      </c>
      <c r="G17" s="376">
        <f t="shared" si="5"/>
        <v>15748.27408</v>
      </c>
      <c r="H17" s="376">
        <f t="shared" si="6"/>
        <v>239336.9546</v>
      </c>
      <c r="I17" s="42"/>
      <c r="J17" s="42"/>
      <c r="K17" s="42"/>
      <c r="L17" s="42"/>
      <c r="M17" s="42"/>
      <c r="N17" s="42"/>
      <c r="O17" s="42"/>
      <c r="P17" s="42"/>
      <c r="Q17" s="42"/>
      <c r="R17" s="42"/>
      <c r="S17" s="42"/>
      <c r="T17" s="42"/>
      <c r="U17" s="42"/>
      <c r="V17" s="42"/>
      <c r="W17" s="42"/>
      <c r="X17" s="42"/>
      <c r="Y17" s="42"/>
      <c r="Z17" s="42"/>
    </row>
    <row r="18" ht="15.0" customHeight="1">
      <c r="A18" s="42"/>
      <c r="B18" s="372">
        <v>3.0</v>
      </c>
      <c r="C18" s="373">
        <f t="shared" si="1"/>
        <v>3</v>
      </c>
      <c r="D18" s="374">
        <f t="shared" si="2"/>
        <v>7071.67729</v>
      </c>
      <c r="E18" s="374">
        <f t="shared" si="3"/>
        <v>7791.796794</v>
      </c>
      <c r="F18" s="374">
        <f t="shared" si="4"/>
        <v>884.8</v>
      </c>
      <c r="G18" s="374">
        <f t="shared" si="5"/>
        <v>15748.27408</v>
      </c>
      <c r="H18" s="374">
        <f t="shared" si="6"/>
        <v>232265.2773</v>
      </c>
      <c r="I18" s="42"/>
      <c r="J18" s="42"/>
      <c r="K18" s="42"/>
      <c r="L18" s="42"/>
      <c r="M18" s="42"/>
      <c r="N18" s="42"/>
      <c r="O18" s="42"/>
      <c r="P18" s="42"/>
      <c r="Q18" s="42"/>
      <c r="R18" s="42"/>
      <c r="S18" s="42"/>
      <c r="T18" s="42"/>
      <c r="U18" s="42"/>
      <c r="V18" s="42"/>
      <c r="W18" s="42"/>
      <c r="X18" s="42"/>
      <c r="Y18" s="42"/>
      <c r="Z18" s="42"/>
    </row>
    <row r="19" ht="15.0" customHeight="1">
      <c r="A19" s="42"/>
      <c r="B19" s="375">
        <v>4.0</v>
      </c>
      <c r="C19" s="371">
        <f t="shared" si="1"/>
        <v>4</v>
      </c>
      <c r="D19" s="376">
        <f t="shared" si="2"/>
        <v>7308.604848</v>
      </c>
      <c r="E19" s="376">
        <f t="shared" si="3"/>
        <v>7554.869236</v>
      </c>
      <c r="F19" s="376">
        <f t="shared" si="4"/>
        <v>884.8</v>
      </c>
      <c r="G19" s="376">
        <f t="shared" si="5"/>
        <v>15748.27408</v>
      </c>
      <c r="H19" s="376">
        <f t="shared" si="6"/>
        <v>224956.6724</v>
      </c>
      <c r="I19" s="42"/>
      <c r="J19" s="42"/>
      <c r="K19" s="42"/>
      <c r="L19" s="42"/>
      <c r="M19" s="42"/>
      <c r="N19" s="42"/>
      <c r="O19" s="42"/>
      <c r="P19" s="42"/>
      <c r="Q19" s="42"/>
      <c r="R19" s="42"/>
      <c r="S19" s="42"/>
      <c r="T19" s="42"/>
      <c r="U19" s="42"/>
      <c r="V19" s="42"/>
      <c r="W19" s="42"/>
      <c r="X19" s="42"/>
      <c r="Y19" s="42"/>
      <c r="Z19" s="42"/>
    </row>
    <row r="20" ht="15.0" customHeight="1">
      <c r="A20" s="42"/>
      <c r="B20" s="372">
        <v>5.0</v>
      </c>
      <c r="C20" s="373">
        <f t="shared" si="1"/>
        <v>5</v>
      </c>
      <c r="D20" s="374">
        <f t="shared" si="2"/>
        <v>7553.470362</v>
      </c>
      <c r="E20" s="374">
        <f t="shared" si="3"/>
        <v>7310.003722</v>
      </c>
      <c r="F20" s="374">
        <f t="shared" si="4"/>
        <v>884.8</v>
      </c>
      <c r="G20" s="374">
        <f t="shared" si="5"/>
        <v>15748.27408</v>
      </c>
      <c r="H20" s="374">
        <f t="shared" si="6"/>
        <v>217403.2021</v>
      </c>
      <c r="I20" s="42"/>
      <c r="J20" s="42"/>
      <c r="K20" s="42"/>
      <c r="L20" s="42"/>
      <c r="M20" s="42"/>
      <c r="N20" s="42"/>
      <c r="O20" s="42"/>
      <c r="P20" s="42"/>
      <c r="Q20" s="42"/>
      <c r="R20" s="42"/>
      <c r="S20" s="42"/>
      <c r="T20" s="42"/>
      <c r="U20" s="42"/>
      <c r="V20" s="42"/>
      <c r="W20" s="42"/>
      <c r="X20" s="42"/>
      <c r="Y20" s="42"/>
      <c r="Z20" s="42"/>
    </row>
    <row r="21" ht="15.75" customHeight="1">
      <c r="A21" s="42"/>
      <c r="B21" s="375">
        <v>6.0</v>
      </c>
      <c r="C21" s="371">
        <f t="shared" si="1"/>
        <v>6</v>
      </c>
      <c r="D21" s="376">
        <f t="shared" si="2"/>
        <v>7806.539784</v>
      </c>
      <c r="E21" s="376">
        <f t="shared" si="3"/>
        <v>7056.934299</v>
      </c>
      <c r="F21" s="376">
        <f t="shared" si="4"/>
        <v>884.8</v>
      </c>
      <c r="G21" s="376">
        <f t="shared" si="5"/>
        <v>15748.27408</v>
      </c>
      <c r="H21" s="376">
        <f t="shared" si="6"/>
        <v>209596.6623</v>
      </c>
      <c r="I21" s="42"/>
      <c r="J21" s="42"/>
      <c r="K21" s="42"/>
      <c r="L21" s="42"/>
      <c r="M21" s="42"/>
      <c r="N21" s="42"/>
      <c r="O21" s="42"/>
      <c r="P21" s="42"/>
      <c r="Q21" s="42"/>
      <c r="R21" s="42"/>
      <c r="S21" s="42"/>
      <c r="T21" s="42"/>
      <c r="U21" s="42"/>
      <c r="V21" s="42"/>
      <c r="W21" s="42"/>
      <c r="X21" s="42"/>
      <c r="Y21" s="42"/>
      <c r="Z21" s="42"/>
    </row>
    <row r="22" ht="15.75" customHeight="1">
      <c r="A22" s="42"/>
      <c r="B22" s="372">
        <v>7.0</v>
      </c>
      <c r="C22" s="373">
        <f t="shared" si="1"/>
        <v>7</v>
      </c>
      <c r="D22" s="374">
        <f t="shared" si="2"/>
        <v>8068.087976</v>
      </c>
      <c r="E22" s="374">
        <f t="shared" si="3"/>
        <v>6795.386108</v>
      </c>
      <c r="F22" s="374">
        <f t="shared" si="4"/>
        <v>884.8</v>
      </c>
      <c r="G22" s="374">
        <f t="shared" si="5"/>
        <v>15748.27408</v>
      </c>
      <c r="H22" s="374">
        <f t="shared" si="6"/>
        <v>201528.5743</v>
      </c>
      <c r="I22" s="42"/>
      <c r="J22" s="42"/>
      <c r="K22" s="42"/>
      <c r="L22" s="42"/>
      <c r="M22" s="42"/>
      <c r="N22" s="42"/>
      <c r="O22" s="42"/>
      <c r="P22" s="42"/>
      <c r="Q22" s="42"/>
      <c r="R22" s="42"/>
      <c r="S22" s="42"/>
      <c r="T22" s="42"/>
      <c r="U22" s="42"/>
      <c r="V22" s="42"/>
      <c r="W22" s="42"/>
      <c r="X22" s="42"/>
      <c r="Y22" s="42"/>
      <c r="Z22" s="42"/>
    </row>
    <row r="23" ht="15.75" customHeight="1">
      <c r="A23" s="42"/>
      <c r="B23" s="375">
        <v>8.0</v>
      </c>
      <c r="C23" s="371">
        <f t="shared" si="1"/>
        <v>8</v>
      </c>
      <c r="D23" s="376">
        <f t="shared" si="2"/>
        <v>8338.399007</v>
      </c>
      <c r="E23" s="376">
        <f t="shared" si="3"/>
        <v>6525.075077</v>
      </c>
      <c r="F23" s="376">
        <f t="shared" si="4"/>
        <v>884.8</v>
      </c>
      <c r="G23" s="376">
        <f t="shared" si="5"/>
        <v>15748.27408</v>
      </c>
      <c r="H23" s="376">
        <f t="shared" si="6"/>
        <v>193190.1753</v>
      </c>
      <c r="I23" s="42"/>
      <c r="J23" s="42"/>
      <c r="K23" s="42"/>
      <c r="L23" s="42"/>
      <c r="M23" s="42"/>
      <c r="N23" s="42"/>
      <c r="O23" s="42"/>
      <c r="P23" s="42"/>
      <c r="Q23" s="42"/>
      <c r="R23" s="42"/>
      <c r="S23" s="42"/>
      <c r="T23" s="42"/>
      <c r="U23" s="42"/>
      <c r="V23" s="42"/>
      <c r="W23" s="42"/>
      <c r="X23" s="42"/>
      <c r="Y23" s="42"/>
      <c r="Z23" s="42"/>
    </row>
    <row r="24" ht="15.75" customHeight="1">
      <c r="A24" s="42"/>
      <c r="B24" s="372">
        <v>9.0</v>
      </c>
      <c r="C24" s="373">
        <f t="shared" si="1"/>
        <v>9</v>
      </c>
      <c r="D24" s="374">
        <f t="shared" si="2"/>
        <v>8617.766465</v>
      </c>
      <c r="E24" s="374">
        <f t="shared" si="3"/>
        <v>6245.707619</v>
      </c>
      <c r="F24" s="374">
        <f t="shared" si="4"/>
        <v>884.8</v>
      </c>
      <c r="G24" s="374">
        <f t="shared" si="5"/>
        <v>15748.27408</v>
      </c>
      <c r="H24" s="374">
        <f t="shared" si="6"/>
        <v>184572.4088</v>
      </c>
      <c r="I24" s="42"/>
      <c r="J24" s="42"/>
      <c r="K24" s="42"/>
      <c r="L24" s="42"/>
      <c r="M24" s="42"/>
      <c r="N24" s="42"/>
      <c r="O24" s="42"/>
      <c r="P24" s="42"/>
      <c r="Q24" s="42"/>
      <c r="R24" s="42"/>
      <c r="S24" s="42"/>
      <c r="T24" s="42"/>
      <c r="U24" s="42"/>
      <c r="V24" s="42"/>
      <c r="W24" s="42"/>
      <c r="X24" s="42"/>
      <c r="Y24" s="42"/>
      <c r="Z24" s="42"/>
    </row>
    <row r="25" ht="15.75" customHeight="1">
      <c r="A25" s="42"/>
      <c r="B25" s="375">
        <v>10.0</v>
      </c>
      <c r="C25" s="371">
        <f t="shared" si="1"/>
        <v>10</v>
      </c>
      <c r="D25" s="376">
        <f t="shared" si="2"/>
        <v>8906.493775</v>
      </c>
      <c r="E25" s="376">
        <f t="shared" si="3"/>
        <v>5956.980308</v>
      </c>
      <c r="F25" s="376">
        <f t="shared" si="4"/>
        <v>884.8</v>
      </c>
      <c r="G25" s="376">
        <f t="shared" si="5"/>
        <v>15748.27408</v>
      </c>
      <c r="H25" s="376">
        <f t="shared" si="6"/>
        <v>175665.9151</v>
      </c>
      <c r="I25" s="42"/>
      <c r="J25" s="42"/>
      <c r="K25" s="42"/>
      <c r="L25" s="42"/>
      <c r="M25" s="42"/>
      <c r="N25" s="42"/>
      <c r="O25" s="42"/>
      <c r="P25" s="42"/>
      <c r="Q25" s="42"/>
      <c r="R25" s="42"/>
      <c r="S25" s="42"/>
      <c r="T25" s="42"/>
      <c r="U25" s="42"/>
      <c r="V25" s="42"/>
      <c r="W25" s="42"/>
      <c r="X25" s="42"/>
      <c r="Y25" s="42"/>
      <c r="Z25" s="42"/>
    </row>
    <row r="26" ht="15.75" customHeight="1">
      <c r="A26" s="42"/>
      <c r="B26" s="372">
        <v>11.0</v>
      </c>
      <c r="C26" s="373">
        <f t="shared" si="1"/>
        <v>11</v>
      </c>
      <c r="D26" s="374">
        <f t="shared" si="2"/>
        <v>9204.894527</v>
      </c>
      <c r="E26" s="374">
        <f t="shared" si="3"/>
        <v>5658.579557</v>
      </c>
      <c r="F26" s="374">
        <f t="shared" si="4"/>
        <v>884.8</v>
      </c>
      <c r="G26" s="374">
        <f t="shared" si="5"/>
        <v>15748.27408</v>
      </c>
      <c r="H26" s="374">
        <f t="shared" si="6"/>
        <v>166461.0205</v>
      </c>
      <c r="I26" s="42"/>
      <c r="J26" s="42"/>
      <c r="K26" s="42"/>
      <c r="L26" s="42"/>
      <c r="M26" s="42"/>
      <c r="N26" s="42"/>
      <c r="O26" s="42"/>
      <c r="P26" s="42"/>
      <c r="Q26" s="42"/>
      <c r="R26" s="42"/>
      <c r="S26" s="42"/>
      <c r="T26" s="42"/>
      <c r="U26" s="42"/>
      <c r="V26" s="42"/>
      <c r="W26" s="42"/>
      <c r="X26" s="42"/>
      <c r="Y26" s="42"/>
      <c r="Z26" s="42"/>
    </row>
    <row r="27" ht="15.75" customHeight="1">
      <c r="A27" s="42"/>
      <c r="B27" s="375">
        <v>12.0</v>
      </c>
      <c r="C27" s="371">
        <f t="shared" si="1"/>
        <v>12</v>
      </c>
      <c r="D27" s="376">
        <f t="shared" si="2"/>
        <v>9513.292816</v>
      </c>
      <c r="E27" s="376">
        <f t="shared" si="3"/>
        <v>5350.181268</v>
      </c>
      <c r="F27" s="376">
        <f t="shared" si="4"/>
        <v>884.8</v>
      </c>
      <c r="G27" s="376">
        <f t="shared" si="5"/>
        <v>15748.27408</v>
      </c>
      <c r="H27" s="376">
        <f t="shared" si="6"/>
        <v>156947.7277</v>
      </c>
      <c r="I27" s="42"/>
      <c r="J27" s="42"/>
      <c r="K27" s="42"/>
      <c r="L27" s="42"/>
      <c r="M27" s="42"/>
      <c r="N27" s="42"/>
      <c r="O27" s="42"/>
      <c r="P27" s="42"/>
      <c r="Q27" s="42"/>
      <c r="R27" s="42"/>
      <c r="S27" s="42"/>
      <c r="T27" s="42"/>
      <c r="U27" s="42"/>
      <c r="V27" s="42"/>
      <c r="W27" s="42"/>
      <c r="X27" s="42"/>
      <c r="Y27" s="42"/>
      <c r="Z27" s="42"/>
    </row>
    <row r="28" ht="15.75" customHeight="1">
      <c r="A28" s="42"/>
      <c r="B28" s="372">
        <v>13.0</v>
      </c>
      <c r="C28" s="373">
        <f t="shared" si="1"/>
        <v>13</v>
      </c>
      <c r="D28" s="374">
        <f t="shared" si="2"/>
        <v>9832.023598</v>
      </c>
      <c r="E28" s="374">
        <f t="shared" si="3"/>
        <v>5031.450486</v>
      </c>
      <c r="F28" s="374">
        <f t="shared" si="4"/>
        <v>884.8</v>
      </c>
      <c r="G28" s="374">
        <f t="shared" si="5"/>
        <v>15748.27408</v>
      </c>
      <c r="H28" s="374">
        <f t="shared" si="6"/>
        <v>147115.7041</v>
      </c>
      <c r="I28" s="42"/>
      <c r="J28" s="42"/>
      <c r="K28" s="42"/>
      <c r="L28" s="42"/>
      <c r="M28" s="42"/>
      <c r="N28" s="42"/>
      <c r="O28" s="42"/>
      <c r="P28" s="42"/>
      <c r="Q28" s="42"/>
      <c r="R28" s="42"/>
      <c r="S28" s="42"/>
      <c r="T28" s="42"/>
      <c r="U28" s="42"/>
      <c r="V28" s="42"/>
      <c r="W28" s="42"/>
      <c r="X28" s="42"/>
      <c r="Y28" s="42"/>
      <c r="Z28" s="42"/>
    </row>
    <row r="29" ht="15.75" customHeight="1">
      <c r="A29" s="42"/>
      <c r="B29" s="375">
        <v>14.0</v>
      </c>
      <c r="C29" s="371">
        <f t="shared" si="1"/>
        <v>14</v>
      </c>
      <c r="D29" s="376">
        <f t="shared" si="2"/>
        <v>10161.43305</v>
      </c>
      <c r="E29" s="376">
        <f t="shared" si="3"/>
        <v>4702.041034</v>
      </c>
      <c r="F29" s="376">
        <f t="shared" si="4"/>
        <v>884.8</v>
      </c>
      <c r="G29" s="376">
        <f t="shared" si="5"/>
        <v>15748.27408</v>
      </c>
      <c r="H29" s="376">
        <f t="shared" si="6"/>
        <v>136954.2711</v>
      </c>
      <c r="I29" s="42"/>
      <c r="J29" s="42"/>
      <c r="K29" s="42"/>
      <c r="L29" s="42"/>
      <c r="M29" s="42"/>
      <c r="N29" s="42"/>
      <c r="O29" s="42"/>
      <c r="P29" s="42"/>
      <c r="Q29" s="42"/>
      <c r="R29" s="42"/>
      <c r="S29" s="42"/>
      <c r="T29" s="42"/>
      <c r="U29" s="42"/>
      <c r="V29" s="42"/>
      <c r="W29" s="42"/>
      <c r="X29" s="42"/>
      <c r="Y29" s="42"/>
      <c r="Z29" s="42"/>
    </row>
    <row r="30" ht="15.75" customHeight="1">
      <c r="A30" s="42"/>
      <c r="B30" s="372">
        <v>15.0</v>
      </c>
      <c r="C30" s="373">
        <f t="shared" si="1"/>
        <v>15</v>
      </c>
      <c r="D30" s="374">
        <f t="shared" si="2"/>
        <v>10501.87895</v>
      </c>
      <c r="E30" s="374">
        <f t="shared" si="3"/>
        <v>4361.595137</v>
      </c>
      <c r="F30" s="374">
        <f t="shared" si="4"/>
        <v>884.8</v>
      </c>
      <c r="G30" s="374">
        <f t="shared" si="5"/>
        <v>15748.27408</v>
      </c>
      <c r="H30" s="374">
        <f t="shared" si="6"/>
        <v>126452.3921</v>
      </c>
      <c r="I30" s="42"/>
      <c r="J30" s="42"/>
      <c r="K30" s="42"/>
      <c r="L30" s="42"/>
      <c r="M30" s="42"/>
      <c r="N30" s="42"/>
      <c r="O30" s="42"/>
      <c r="P30" s="42"/>
      <c r="Q30" s="42"/>
      <c r="R30" s="42"/>
      <c r="S30" s="42"/>
      <c r="T30" s="42"/>
      <c r="U30" s="42"/>
      <c r="V30" s="42"/>
      <c r="W30" s="42"/>
      <c r="X30" s="42"/>
      <c r="Y30" s="42"/>
      <c r="Z30" s="42"/>
    </row>
    <row r="31" ht="15.75" customHeight="1">
      <c r="A31" s="42"/>
      <c r="B31" s="375">
        <v>16.0</v>
      </c>
      <c r="C31" s="371">
        <f t="shared" si="1"/>
        <v>16</v>
      </c>
      <c r="D31" s="376">
        <f t="shared" si="2"/>
        <v>10853.73105</v>
      </c>
      <c r="E31" s="376">
        <f t="shared" si="3"/>
        <v>4009.743034</v>
      </c>
      <c r="F31" s="376">
        <f t="shared" si="4"/>
        <v>884.8</v>
      </c>
      <c r="G31" s="376">
        <f t="shared" si="5"/>
        <v>15748.27408</v>
      </c>
      <c r="H31" s="376">
        <f t="shared" si="6"/>
        <v>115598.6611</v>
      </c>
      <c r="I31" s="42"/>
      <c r="J31" s="42"/>
      <c r="K31" s="42"/>
      <c r="L31" s="42"/>
      <c r="M31" s="42"/>
      <c r="N31" s="42"/>
      <c r="O31" s="42"/>
      <c r="P31" s="42"/>
      <c r="Q31" s="42"/>
      <c r="R31" s="42"/>
      <c r="S31" s="42"/>
      <c r="T31" s="42"/>
      <c r="U31" s="42"/>
      <c r="V31" s="42"/>
      <c r="W31" s="42"/>
      <c r="X31" s="42"/>
      <c r="Y31" s="42"/>
      <c r="Z31" s="42"/>
    </row>
    <row r="32" ht="15.75" customHeight="1">
      <c r="A32" s="42"/>
      <c r="B32" s="372">
        <v>17.0</v>
      </c>
      <c r="C32" s="373">
        <f t="shared" si="1"/>
        <v>17</v>
      </c>
      <c r="D32" s="374">
        <f t="shared" si="2"/>
        <v>11217.37151</v>
      </c>
      <c r="E32" s="374">
        <f t="shared" si="3"/>
        <v>3646.102573</v>
      </c>
      <c r="F32" s="374">
        <f t="shared" si="4"/>
        <v>884.8</v>
      </c>
      <c r="G32" s="374">
        <f t="shared" si="5"/>
        <v>15748.27408</v>
      </c>
      <c r="H32" s="374">
        <f t="shared" si="6"/>
        <v>104381.2896</v>
      </c>
      <c r="I32" s="42"/>
      <c r="J32" s="42"/>
      <c r="K32" s="42"/>
      <c r="L32" s="42"/>
      <c r="M32" s="42"/>
      <c r="N32" s="42"/>
      <c r="O32" s="42"/>
      <c r="P32" s="42"/>
      <c r="Q32" s="42"/>
      <c r="R32" s="42"/>
      <c r="S32" s="42"/>
      <c r="T32" s="42"/>
      <c r="U32" s="42"/>
      <c r="V32" s="42"/>
      <c r="W32" s="42"/>
      <c r="X32" s="42"/>
      <c r="Y32" s="42"/>
      <c r="Z32" s="42"/>
    </row>
    <row r="33" ht="15.75" customHeight="1">
      <c r="A33" s="42"/>
      <c r="B33" s="375">
        <v>18.0</v>
      </c>
      <c r="C33" s="371">
        <f t="shared" si="1"/>
        <v>18</v>
      </c>
      <c r="D33" s="376">
        <f t="shared" si="2"/>
        <v>11593.19528</v>
      </c>
      <c r="E33" s="376">
        <f t="shared" si="3"/>
        <v>3270.2788</v>
      </c>
      <c r="F33" s="376">
        <f t="shared" si="4"/>
        <v>884.8</v>
      </c>
      <c r="G33" s="376">
        <f t="shared" si="5"/>
        <v>15748.27408</v>
      </c>
      <c r="H33" s="376">
        <f t="shared" si="6"/>
        <v>92788.09428</v>
      </c>
      <c r="I33" s="42"/>
      <c r="J33" s="42"/>
      <c r="K33" s="42"/>
      <c r="L33" s="42"/>
      <c r="M33" s="42"/>
      <c r="N33" s="42"/>
      <c r="O33" s="42"/>
      <c r="P33" s="42"/>
      <c r="Q33" s="42"/>
      <c r="R33" s="42"/>
      <c r="S33" s="42"/>
      <c r="T33" s="42"/>
      <c r="U33" s="42"/>
      <c r="V33" s="42"/>
      <c r="W33" s="42"/>
      <c r="X33" s="42"/>
      <c r="Y33" s="42"/>
      <c r="Z33" s="42"/>
    </row>
    <row r="34" ht="15.75" customHeight="1">
      <c r="A34" s="42"/>
      <c r="B34" s="372">
        <v>19.0</v>
      </c>
      <c r="C34" s="373">
        <f t="shared" si="1"/>
        <v>19</v>
      </c>
      <c r="D34" s="374">
        <f t="shared" si="2"/>
        <v>11981.61055</v>
      </c>
      <c r="E34" s="374">
        <f t="shared" si="3"/>
        <v>2881.86353</v>
      </c>
      <c r="F34" s="374">
        <f t="shared" si="4"/>
        <v>884.8</v>
      </c>
      <c r="G34" s="374">
        <f t="shared" si="5"/>
        <v>15748.27408</v>
      </c>
      <c r="H34" s="374">
        <f t="shared" si="6"/>
        <v>80806.48373</v>
      </c>
      <c r="I34" s="42"/>
      <c r="J34" s="42"/>
      <c r="K34" s="42"/>
      <c r="L34" s="42"/>
      <c r="M34" s="42"/>
      <c r="N34" s="42"/>
      <c r="O34" s="42"/>
      <c r="P34" s="42"/>
      <c r="Q34" s="42"/>
      <c r="R34" s="42"/>
      <c r="S34" s="42"/>
      <c r="T34" s="42"/>
      <c r="U34" s="42"/>
      <c r="V34" s="42"/>
      <c r="W34" s="42"/>
      <c r="X34" s="42"/>
      <c r="Y34" s="42"/>
      <c r="Z34" s="42"/>
    </row>
    <row r="35" ht="15.75" customHeight="1">
      <c r="A35" s="42"/>
      <c r="B35" s="375">
        <v>20.0</v>
      </c>
      <c r="C35" s="371">
        <f t="shared" si="1"/>
        <v>20</v>
      </c>
      <c r="D35" s="376">
        <f t="shared" si="2"/>
        <v>12383.03918</v>
      </c>
      <c r="E35" s="376">
        <f t="shared" si="3"/>
        <v>2480.4349</v>
      </c>
      <c r="F35" s="376">
        <f t="shared" si="4"/>
        <v>884.8</v>
      </c>
      <c r="G35" s="376">
        <f t="shared" si="5"/>
        <v>15748.27408</v>
      </c>
      <c r="H35" s="376">
        <f t="shared" si="6"/>
        <v>68423.44454</v>
      </c>
      <c r="I35" s="42"/>
      <c r="J35" s="42"/>
      <c r="K35" s="42"/>
      <c r="L35" s="42"/>
      <c r="M35" s="42"/>
      <c r="N35" s="42"/>
      <c r="O35" s="42"/>
      <c r="P35" s="42"/>
      <c r="Q35" s="42"/>
      <c r="R35" s="42"/>
      <c r="S35" s="42"/>
      <c r="T35" s="42"/>
      <c r="U35" s="42"/>
      <c r="V35" s="42"/>
      <c r="W35" s="42"/>
      <c r="X35" s="42"/>
      <c r="Y35" s="42"/>
      <c r="Z35" s="42"/>
    </row>
    <row r="36" ht="15.75" customHeight="1">
      <c r="A36" s="42"/>
      <c r="B36" s="372">
        <v>21.0</v>
      </c>
      <c r="C36" s="373">
        <f t="shared" si="1"/>
        <v>21</v>
      </c>
      <c r="D36" s="364">
        <f t="shared" si="2"/>
        <v>12797.91717</v>
      </c>
      <c r="E36" s="364">
        <f t="shared" si="3"/>
        <v>2065.556914</v>
      </c>
      <c r="F36" s="364">
        <f t="shared" si="4"/>
        <v>884.8</v>
      </c>
      <c r="G36" s="364">
        <f t="shared" si="5"/>
        <v>15748.27408</v>
      </c>
      <c r="H36" s="364">
        <f t="shared" si="6"/>
        <v>55625.52737</v>
      </c>
      <c r="I36" s="42"/>
      <c r="J36" s="42"/>
      <c r="K36" s="42"/>
      <c r="L36" s="42"/>
      <c r="M36" s="42"/>
      <c r="N36" s="42"/>
      <c r="O36" s="42"/>
      <c r="P36" s="42"/>
      <c r="Q36" s="42"/>
      <c r="R36" s="42"/>
      <c r="S36" s="42"/>
      <c r="T36" s="42"/>
      <c r="U36" s="42"/>
      <c r="V36" s="42"/>
      <c r="W36" s="42"/>
      <c r="X36" s="42"/>
      <c r="Y36" s="42"/>
      <c r="Z36" s="42"/>
    </row>
    <row r="37" ht="15.75" customHeight="1">
      <c r="A37" s="42"/>
      <c r="B37" s="375">
        <v>22.0</v>
      </c>
      <c r="C37" s="371">
        <f t="shared" si="1"/>
        <v>22</v>
      </c>
      <c r="D37" s="366">
        <f t="shared" si="2"/>
        <v>13226.69511</v>
      </c>
      <c r="E37" s="366">
        <f t="shared" si="3"/>
        <v>1636.778969</v>
      </c>
      <c r="F37" s="366">
        <f t="shared" si="4"/>
        <v>884.8</v>
      </c>
      <c r="G37" s="366">
        <f t="shared" si="5"/>
        <v>15748.27408</v>
      </c>
      <c r="H37" s="366">
        <f t="shared" si="6"/>
        <v>42398.83226</v>
      </c>
      <c r="I37" s="42"/>
      <c r="J37" s="42"/>
      <c r="K37" s="42"/>
      <c r="L37" s="42"/>
      <c r="M37" s="42"/>
      <c r="N37" s="42"/>
      <c r="O37" s="42"/>
      <c r="P37" s="42"/>
      <c r="Q37" s="42"/>
      <c r="R37" s="42"/>
      <c r="S37" s="42"/>
      <c r="T37" s="42"/>
      <c r="U37" s="42"/>
      <c r="V37" s="42"/>
      <c r="W37" s="42"/>
      <c r="X37" s="42"/>
      <c r="Y37" s="42"/>
      <c r="Z37" s="42"/>
    </row>
    <row r="38" ht="15.75" customHeight="1">
      <c r="A38" s="42"/>
      <c r="B38" s="372">
        <v>23.0</v>
      </c>
      <c r="C38" s="373">
        <f t="shared" si="1"/>
        <v>23</v>
      </c>
      <c r="D38" s="364">
        <f t="shared" si="2"/>
        <v>13669.83872</v>
      </c>
      <c r="E38" s="364">
        <f t="shared" si="3"/>
        <v>1193.635364</v>
      </c>
      <c r="F38" s="364">
        <f t="shared" si="4"/>
        <v>884.8</v>
      </c>
      <c r="G38" s="364">
        <f t="shared" si="5"/>
        <v>15748.27408</v>
      </c>
      <c r="H38" s="364">
        <f t="shared" si="6"/>
        <v>28728.99354</v>
      </c>
      <c r="I38" s="42"/>
      <c r="J38" s="42"/>
      <c r="K38" s="42"/>
      <c r="L38" s="42"/>
      <c r="M38" s="42"/>
      <c r="N38" s="42"/>
      <c r="O38" s="42"/>
      <c r="P38" s="42"/>
      <c r="Q38" s="42"/>
      <c r="R38" s="42"/>
      <c r="S38" s="42"/>
      <c r="T38" s="42"/>
      <c r="U38" s="42"/>
      <c r="V38" s="42"/>
      <c r="W38" s="42"/>
      <c r="X38" s="42"/>
      <c r="Y38" s="42"/>
      <c r="Z38" s="42"/>
    </row>
    <row r="39" ht="15.75" customHeight="1">
      <c r="A39" s="42"/>
      <c r="B39" s="375">
        <v>24.0</v>
      </c>
      <c r="C39" s="371">
        <f t="shared" si="1"/>
        <v>24</v>
      </c>
      <c r="D39" s="366">
        <f t="shared" si="2"/>
        <v>14127.82929</v>
      </c>
      <c r="E39" s="366">
        <f t="shared" si="3"/>
        <v>735.6447952</v>
      </c>
      <c r="F39" s="366">
        <f t="shared" si="4"/>
        <v>884.8</v>
      </c>
      <c r="G39" s="366">
        <f t="shared" si="5"/>
        <v>15748.27408</v>
      </c>
      <c r="H39" s="366">
        <f t="shared" si="6"/>
        <v>14601.16425</v>
      </c>
      <c r="I39" s="42"/>
      <c r="J39" s="42"/>
      <c r="K39" s="42"/>
      <c r="L39" s="42"/>
      <c r="M39" s="42"/>
      <c r="N39" s="42"/>
      <c r="O39" s="42"/>
      <c r="P39" s="42"/>
      <c r="Q39" s="42"/>
      <c r="R39" s="42"/>
      <c r="S39" s="42"/>
      <c r="T39" s="42"/>
      <c r="U39" s="42"/>
      <c r="V39" s="42"/>
      <c r="W39" s="42"/>
      <c r="X39" s="42"/>
      <c r="Y39" s="42"/>
      <c r="Z39" s="42"/>
    </row>
    <row r="40" ht="15.75" customHeight="1">
      <c r="A40" s="42"/>
      <c r="B40" s="372">
        <v>25.0</v>
      </c>
      <c r="C40" s="373">
        <f t="shared" si="1"/>
        <v>25</v>
      </c>
      <c r="D40" s="364">
        <f t="shared" si="2"/>
        <v>14601.16425</v>
      </c>
      <c r="E40" s="364">
        <f t="shared" si="3"/>
        <v>262.3098349</v>
      </c>
      <c r="F40" s="364">
        <f t="shared" si="4"/>
        <v>884.8</v>
      </c>
      <c r="G40" s="364">
        <f t="shared" si="5"/>
        <v>15748.27408</v>
      </c>
      <c r="H40" s="364">
        <f t="shared" si="6"/>
        <v>0.000000002852175385</v>
      </c>
      <c r="I40" s="42"/>
      <c r="J40" s="42"/>
      <c r="K40" s="42"/>
      <c r="L40" s="42"/>
      <c r="M40" s="42"/>
      <c r="N40" s="42"/>
      <c r="O40" s="42"/>
      <c r="P40" s="42"/>
      <c r="Q40" s="42"/>
      <c r="R40" s="42"/>
      <c r="S40" s="42"/>
      <c r="T40" s="42"/>
      <c r="U40" s="42"/>
      <c r="V40" s="42"/>
      <c r="W40" s="42"/>
      <c r="X40" s="42"/>
      <c r="Y40" s="42"/>
      <c r="Z40" s="42"/>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ht="15.75" customHeight="1">
      <c r="A42" s="42"/>
      <c r="B42" s="42"/>
      <c r="C42" s="373" t="s">
        <v>559</v>
      </c>
      <c r="D42" s="368">
        <f t="shared" ref="D42:G42" si="7">SUM(D16:D40)</f>
        <v>252800</v>
      </c>
      <c r="E42" s="368">
        <f t="shared" si="7"/>
        <v>118786.8521</v>
      </c>
      <c r="F42" s="368">
        <f t="shared" si="7"/>
        <v>22120</v>
      </c>
      <c r="G42" s="368">
        <f t="shared" si="7"/>
        <v>393706.8521</v>
      </c>
      <c r="H42" s="377"/>
      <c r="I42" s="42"/>
      <c r="J42" s="42"/>
      <c r="K42" s="42"/>
      <c r="L42" s="42"/>
      <c r="M42" s="42"/>
      <c r="N42" s="42"/>
      <c r="O42" s="42"/>
      <c r="P42" s="42"/>
      <c r="Q42" s="42"/>
      <c r="R42" s="42"/>
      <c r="S42" s="42"/>
      <c r="T42" s="42"/>
      <c r="U42" s="42"/>
      <c r="V42" s="42"/>
      <c r="W42" s="42"/>
      <c r="X42" s="42"/>
      <c r="Y42" s="42"/>
      <c r="Z42" s="42"/>
    </row>
    <row r="43" ht="15.75" customHeight="1">
      <c r="A43" s="42"/>
      <c r="B43" s="42"/>
      <c r="C43" s="269" t="s">
        <v>560</v>
      </c>
      <c r="D43" s="269" t="str">
        <f>IF(ABS(D42-C6)&lt;0.01,"✓ OK","✗ ERREUR")</f>
        <v>✓ OK</v>
      </c>
      <c r="E43" s="42"/>
      <c r="F43" s="42"/>
      <c r="G43" s="42"/>
      <c r="H43" s="42"/>
      <c r="I43" s="42"/>
      <c r="J43" s="42"/>
      <c r="K43" s="42"/>
      <c r="L43" s="42"/>
      <c r="M43" s="42"/>
      <c r="N43" s="42"/>
      <c r="O43" s="42"/>
      <c r="P43" s="42"/>
      <c r="Q43" s="42"/>
      <c r="R43" s="42"/>
      <c r="S43" s="42"/>
      <c r="T43" s="42"/>
      <c r="U43" s="42"/>
      <c r="V43" s="42"/>
      <c r="W43" s="42"/>
      <c r="X43" s="42"/>
      <c r="Y43" s="42"/>
      <c r="Z43" s="42"/>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1">
    <mergeCell ref="B2:I2"/>
  </mergeCells>
  <printOptions/>
  <pageMargins bottom="1.0" footer="0.0" header="0.0" left="0.75" right="0.75" top="1.0"/>
  <pageSetup paperSize="9" orientation="portrait"/>
  <drawing r:id="rId1"/>
</worksheet>
</file>